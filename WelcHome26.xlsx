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tteobattistini/Desktop/"/>
    </mc:Choice>
  </mc:AlternateContent>
  <xr:revisionPtr revIDLastSave="0" documentId="13_ncr:1_{234299CD-68C6-D64F-A821-4FBA12C4BA4F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PRENOTAZIONI" sheetId="1" r:id="rId1"/>
    <sheet name="TOTALI" sheetId="2" r:id="rId2"/>
    <sheet name="RIEPILOGO" sheetId="3" r:id="rId3"/>
    <sheet name="MATTEO" sheetId="4" r:id="rId4"/>
    <sheet name="Kit+biancheria" sheetId="5" r:id="rId5"/>
    <sheet name="Nella" sheetId="14" r:id="rId6"/>
    <sheet name="Miramare" sheetId="16" r:id="rId7"/>
    <sheet name="Quercia" sheetId="6" r:id="rId8"/>
    <sheet name="Letizia" sheetId="11" r:id="rId9"/>
    <sheet name="Agantonio" sheetId="9" r:id="rId10"/>
    <sheet name="Verde Oliva" sheetId="17" r:id="rId11"/>
    <sheet name="Nicola" sheetId="18" r:id="rId12"/>
    <sheet name="Lanciano" sheetId="15" r:id="rId13"/>
    <sheet name="Borgo" sheetId="8" r:id="rId14"/>
    <sheet name="Elena" sheetId="7" r:id="rId15"/>
    <sheet name="Bella Gialla" sheetId="10" r:id="rId16"/>
    <sheet name="Via San Rocco" sheetId="12" r:id="rId17"/>
    <sheet name="Via Cavour" sheetId="13" r:id="rId18"/>
    <sheet name="White Cottage" sheetId="19" r:id="rId19"/>
  </sheets>
  <definedNames>
    <definedName name="_xlnm._FilterDatabase" localSheetId="9" hidden="1">Agantonio!$A$3:$Q$63</definedName>
    <definedName name="_xlnm._FilterDatabase" localSheetId="13" hidden="1">Borgo!$A$3:$R$63</definedName>
    <definedName name="_xlnm._FilterDatabase" localSheetId="14" hidden="1">Elena!$A$3:$R$63</definedName>
    <definedName name="_xlnm._FilterDatabase" localSheetId="7" hidden="1">Quercia!$A$3:$R$63</definedName>
    <definedName name="_xlnm._FilterDatabase" localSheetId="17" hidden="1">'Via Cavour'!$A$3:$P$63</definedName>
    <definedName name="_xlnm._FilterDatabase" localSheetId="16" hidden="1">'Via San Rocco'!$A$3:$P$63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1" l="1"/>
  <c r="M100" i="1"/>
  <c r="M104" i="1"/>
  <c r="M65" i="1"/>
  <c r="M89" i="1"/>
  <c r="M57" i="1"/>
  <c r="M34" i="1"/>
  <c r="M40" i="1"/>
  <c r="M48" i="1"/>
  <c r="M52" i="1"/>
  <c r="J5" i="14"/>
  <c r="J6" i="9"/>
  <c r="M85" i="1"/>
  <c r="M54" i="1"/>
  <c r="M78" i="1"/>
  <c r="AD34" i="19"/>
  <c r="AC34" i="19"/>
  <c r="AI15" i="19"/>
  <c r="AH15" i="19"/>
  <c r="AI14" i="19"/>
  <c r="AH14" i="19"/>
  <c r="AI13" i="19"/>
  <c r="AH13" i="19"/>
  <c r="AI12" i="19"/>
  <c r="AH12" i="19"/>
  <c r="AI11" i="19"/>
  <c r="AH11" i="19"/>
  <c r="AI10" i="19"/>
  <c r="AH10" i="19"/>
  <c r="AI9" i="19"/>
  <c r="AH9" i="19"/>
  <c r="AI8" i="19"/>
  <c r="AH8" i="19"/>
  <c r="AI7" i="19"/>
  <c r="AH7" i="19"/>
  <c r="AI6" i="19"/>
  <c r="AH6" i="19"/>
  <c r="AI5" i="19"/>
  <c r="AH5" i="19"/>
  <c r="AI4" i="19"/>
  <c r="AH4" i="19"/>
  <c r="AD34" i="18"/>
  <c r="AC34" i="18"/>
  <c r="AI15" i="18"/>
  <c r="AH15" i="18"/>
  <c r="AI14" i="18"/>
  <c r="AH14" i="18"/>
  <c r="AI13" i="18"/>
  <c r="AH13" i="18"/>
  <c r="AI12" i="18"/>
  <c r="AH12" i="18"/>
  <c r="AI11" i="18"/>
  <c r="AH11" i="18"/>
  <c r="AI10" i="18"/>
  <c r="AH10" i="18"/>
  <c r="AI9" i="18"/>
  <c r="AH9" i="18"/>
  <c r="AI8" i="18"/>
  <c r="AH8" i="18"/>
  <c r="AI7" i="18"/>
  <c r="AH7" i="18"/>
  <c r="AI6" i="18"/>
  <c r="AH6" i="18"/>
  <c r="AI5" i="18"/>
  <c r="AH5" i="18"/>
  <c r="AI4" i="18"/>
  <c r="AH4" i="18"/>
  <c r="AD34" i="17"/>
  <c r="AC34" i="17"/>
  <c r="AI15" i="17"/>
  <c r="AH15" i="17"/>
  <c r="AI14" i="17"/>
  <c r="AH14" i="17"/>
  <c r="AI13" i="17"/>
  <c r="AH13" i="17"/>
  <c r="AI12" i="17"/>
  <c r="AH12" i="17"/>
  <c r="AI11" i="17"/>
  <c r="AH11" i="17"/>
  <c r="AI10" i="17"/>
  <c r="AH10" i="17"/>
  <c r="AI9" i="17"/>
  <c r="AH9" i="17"/>
  <c r="AI8" i="17"/>
  <c r="AH8" i="17"/>
  <c r="AI7" i="17"/>
  <c r="AH7" i="17"/>
  <c r="AI6" i="17"/>
  <c r="AH6" i="17"/>
  <c r="AI5" i="17"/>
  <c r="AH5" i="17"/>
  <c r="AI4" i="17"/>
  <c r="AH4" i="17"/>
  <c r="AD34" i="16"/>
  <c r="AC34" i="16"/>
  <c r="AI15" i="16"/>
  <c r="AH15" i="16"/>
  <c r="AI14" i="16"/>
  <c r="AH14" i="16"/>
  <c r="AI13" i="16"/>
  <c r="AH13" i="16"/>
  <c r="AI12" i="16"/>
  <c r="AH12" i="16"/>
  <c r="AI11" i="16"/>
  <c r="AH11" i="16"/>
  <c r="AI10" i="16"/>
  <c r="AH10" i="16"/>
  <c r="AI9" i="16"/>
  <c r="AH9" i="16"/>
  <c r="AI8" i="16"/>
  <c r="AH8" i="16"/>
  <c r="AI7" i="16"/>
  <c r="AH7" i="16"/>
  <c r="AI6" i="16"/>
  <c r="AH6" i="16"/>
  <c r="AI5" i="16"/>
  <c r="AH5" i="16"/>
  <c r="AI4" i="16"/>
  <c r="AH4" i="16"/>
  <c r="AD34" i="15"/>
  <c r="AC34" i="15"/>
  <c r="AI15" i="15"/>
  <c r="AH15" i="15"/>
  <c r="AI14" i="15"/>
  <c r="AH14" i="15"/>
  <c r="AI13" i="15"/>
  <c r="AH13" i="15"/>
  <c r="AI12" i="15"/>
  <c r="AH12" i="15"/>
  <c r="AI11" i="15"/>
  <c r="AH11" i="15"/>
  <c r="AI10" i="15"/>
  <c r="AH10" i="15"/>
  <c r="AI9" i="15"/>
  <c r="AH9" i="15"/>
  <c r="AI8" i="15"/>
  <c r="AH8" i="15"/>
  <c r="AI7" i="15"/>
  <c r="AH7" i="15"/>
  <c r="AI6" i="15"/>
  <c r="AH6" i="15"/>
  <c r="AI5" i="15"/>
  <c r="AH5" i="15"/>
  <c r="AI4" i="15"/>
  <c r="AH4" i="15"/>
  <c r="AD34" i="14"/>
  <c r="AC34" i="14"/>
  <c r="AI15" i="14"/>
  <c r="AH15" i="14"/>
  <c r="AI14" i="14"/>
  <c r="AH14" i="14"/>
  <c r="AI13" i="14"/>
  <c r="AH13" i="14"/>
  <c r="AI12" i="14"/>
  <c r="AH12" i="14"/>
  <c r="AI11" i="14"/>
  <c r="AH11" i="14"/>
  <c r="AI10" i="14"/>
  <c r="AH10" i="14"/>
  <c r="AI9" i="14"/>
  <c r="AH9" i="14"/>
  <c r="AI8" i="14"/>
  <c r="AH8" i="14"/>
  <c r="AI7" i="14"/>
  <c r="AH7" i="14"/>
  <c r="AI6" i="14"/>
  <c r="AH6" i="14"/>
  <c r="AI5" i="14"/>
  <c r="AH5" i="14"/>
  <c r="AI4" i="14"/>
  <c r="AH4" i="14"/>
  <c r="AC34" i="13"/>
  <c r="AB34" i="13"/>
  <c r="AH15" i="13"/>
  <c r="AG15" i="13"/>
  <c r="AH14" i="13"/>
  <c r="AG14" i="13"/>
  <c r="AH13" i="13"/>
  <c r="AG13" i="13"/>
  <c r="AH12" i="13"/>
  <c r="AG12" i="13"/>
  <c r="AH11" i="13"/>
  <c r="AG11" i="13"/>
  <c r="AH10" i="13"/>
  <c r="AG10" i="13"/>
  <c r="AH9" i="13"/>
  <c r="AG9" i="13"/>
  <c r="AH8" i="13"/>
  <c r="AG8" i="13"/>
  <c r="AH7" i="13"/>
  <c r="AG7" i="13"/>
  <c r="AH6" i="13"/>
  <c r="AG6" i="13"/>
  <c r="AH5" i="13"/>
  <c r="AG5" i="13"/>
  <c r="AH4" i="13"/>
  <c r="AG4" i="13"/>
  <c r="AC34" i="12"/>
  <c r="AB34" i="12"/>
  <c r="AH15" i="12"/>
  <c r="AG15" i="12"/>
  <c r="AH14" i="12"/>
  <c r="AG14" i="12"/>
  <c r="AH13" i="12"/>
  <c r="AG13" i="12"/>
  <c r="AH12" i="12"/>
  <c r="AG12" i="12"/>
  <c r="AH11" i="12"/>
  <c r="AG11" i="12"/>
  <c r="AH10" i="12"/>
  <c r="AG10" i="12"/>
  <c r="AH9" i="12"/>
  <c r="AG9" i="12"/>
  <c r="AH8" i="12"/>
  <c r="AG8" i="12"/>
  <c r="AH7" i="12"/>
  <c r="AG7" i="12"/>
  <c r="AH6" i="12"/>
  <c r="AG6" i="12"/>
  <c r="AH5" i="12"/>
  <c r="AG5" i="12"/>
  <c r="AH4" i="12"/>
  <c r="AG4" i="12"/>
  <c r="AI15" i="11"/>
  <c r="AH15" i="11"/>
  <c r="AI14" i="11"/>
  <c r="AH14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J6" i="11"/>
  <c r="AI5" i="11"/>
  <c r="AH5" i="11"/>
  <c r="AI4" i="11"/>
  <c r="AH4" i="11"/>
  <c r="AD34" i="10"/>
  <c r="AC34" i="10"/>
  <c r="AI15" i="10"/>
  <c r="AH15" i="10"/>
  <c r="AI14" i="10"/>
  <c r="AH14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I4" i="10"/>
  <c r="AH4" i="10"/>
  <c r="AD34" i="9"/>
  <c r="AC34" i="9"/>
  <c r="AI15" i="9"/>
  <c r="AH15" i="9"/>
  <c r="AI14" i="9"/>
  <c r="AH14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I4" i="9"/>
  <c r="AH4" i="9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I4" i="8"/>
  <c r="AH4" i="8"/>
  <c r="AD34" i="7"/>
  <c r="AC34" i="7"/>
  <c r="AI15" i="7"/>
  <c r="AH15" i="7"/>
  <c r="AI14" i="7"/>
  <c r="AH14" i="7"/>
  <c r="AI13" i="7"/>
  <c r="AH13" i="7"/>
  <c r="AI12" i="7"/>
  <c r="AH12" i="7"/>
  <c r="AI11" i="7"/>
  <c r="AH11" i="7"/>
  <c r="AI10" i="7"/>
  <c r="AH10" i="7"/>
  <c r="AI9" i="7"/>
  <c r="AH9" i="7"/>
  <c r="AI8" i="7"/>
  <c r="AH8" i="7"/>
  <c r="AI7" i="7"/>
  <c r="AH7" i="7"/>
  <c r="AI6" i="7"/>
  <c r="AH6" i="7"/>
  <c r="AI5" i="7"/>
  <c r="AH5" i="7"/>
  <c r="AI4" i="7"/>
  <c r="AH4" i="7"/>
  <c r="AI15" i="6"/>
  <c r="AH15" i="6"/>
  <c r="AI14" i="6"/>
  <c r="AH14" i="6"/>
  <c r="AI13" i="6"/>
  <c r="AH13" i="6"/>
  <c r="J13" i="6"/>
  <c r="AI12" i="6"/>
  <c r="AH12" i="6"/>
  <c r="AI11" i="6"/>
  <c r="AH11" i="6"/>
  <c r="AI10" i="6"/>
  <c r="AH10" i="6"/>
  <c r="J10" i="6"/>
  <c r="AI9" i="6"/>
  <c r="AH9" i="6"/>
  <c r="AI8" i="6"/>
  <c r="AH8" i="6"/>
  <c r="AI7" i="6"/>
  <c r="AH7" i="6"/>
  <c r="AI6" i="6"/>
  <c r="AH6" i="6"/>
  <c r="AI5" i="6"/>
  <c r="AH5" i="6"/>
  <c r="AI4" i="6"/>
  <c r="AH4" i="6"/>
  <c r="G215" i="3"/>
  <c r="F215" i="3"/>
  <c r="C215" i="3"/>
  <c r="G214" i="3"/>
  <c r="F214" i="3"/>
  <c r="C214" i="3"/>
  <c r="G213" i="3"/>
  <c r="F213" i="3"/>
  <c r="C213" i="3"/>
  <c r="G212" i="3"/>
  <c r="F212" i="3"/>
  <c r="C212" i="3"/>
  <c r="G211" i="3"/>
  <c r="F211" i="3"/>
  <c r="C211" i="3"/>
  <c r="G210" i="3"/>
  <c r="F210" i="3"/>
  <c r="C210" i="3"/>
  <c r="G209" i="3"/>
  <c r="F209" i="3"/>
  <c r="C209" i="3"/>
  <c r="G208" i="3"/>
  <c r="F208" i="3"/>
  <c r="C208" i="3"/>
  <c r="G207" i="3"/>
  <c r="F207" i="3"/>
  <c r="C207" i="3"/>
  <c r="G206" i="3"/>
  <c r="F206" i="3"/>
  <c r="C206" i="3"/>
  <c r="G205" i="3"/>
  <c r="F205" i="3"/>
  <c r="C205" i="3"/>
  <c r="G204" i="3"/>
  <c r="F204" i="3"/>
  <c r="C204" i="3"/>
  <c r="G203" i="3"/>
  <c r="F203" i="3"/>
  <c r="C203" i="3"/>
  <c r="G202" i="3"/>
  <c r="F202" i="3"/>
  <c r="C202" i="3"/>
  <c r="G197" i="3"/>
  <c r="F197" i="3"/>
  <c r="C197" i="3"/>
  <c r="G196" i="3"/>
  <c r="F196" i="3"/>
  <c r="C196" i="3"/>
  <c r="G195" i="3"/>
  <c r="F195" i="3"/>
  <c r="C195" i="3"/>
  <c r="G194" i="3"/>
  <c r="F194" i="3"/>
  <c r="C194" i="3"/>
  <c r="G193" i="3"/>
  <c r="F193" i="3"/>
  <c r="C193" i="3"/>
  <c r="G192" i="3"/>
  <c r="F192" i="3"/>
  <c r="C192" i="3"/>
  <c r="G191" i="3"/>
  <c r="F191" i="3"/>
  <c r="C191" i="3"/>
  <c r="G190" i="3"/>
  <c r="F190" i="3"/>
  <c r="C190" i="3"/>
  <c r="G189" i="3"/>
  <c r="F189" i="3"/>
  <c r="C189" i="3"/>
  <c r="G188" i="3"/>
  <c r="F188" i="3"/>
  <c r="C188" i="3"/>
  <c r="G187" i="3"/>
  <c r="F187" i="3"/>
  <c r="C187" i="3"/>
  <c r="G186" i="3"/>
  <c r="F186" i="3"/>
  <c r="C186" i="3"/>
  <c r="G185" i="3"/>
  <c r="F185" i="3"/>
  <c r="C185" i="3"/>
  <c r="G184" i="3"/>
  <c r="F184" i="3"/>
  <c r="C184" i="3"/>
  <c r="G179" i="3"/>
  <c r="F179" i="3"/>
  <c r="C179" i="3"/>
  <c r="G178" i="3"/>
  <c r="F178" i="3"/>
  <c r="C178" i="3"/>
  <c r="G177" i="3"/>
  <c r="F177" i="3"/>
  <c r="C177" i="3"/>
  <c r="G176" i="3"/>
  <c r="F176" i="3"/>
  <c r="C176" i="3"/>
  <c r="G175" i="3"/>
  <c r="F175" i="3"/>
  <c r="C175" i="3"/>
  <c r="G174" i="3"/>
  <c r="F174" i="3"/>
  <c r="C174" i="3"/>
  <c r="G173" i="3"/>
  <c r="F173" i="3"/>
  <c r="C173" i="3"/>
  <c r="G172" i="3"/>
  <c r="F172" i="3"/>
  <c r="C172" i="3"/>
  <c r="G171" i="3"/>
  <c r="F171" i="3"/>
  <c r="C171" i="3"/>
  <c r="G170" i="3"/>
  <c r="F170" i="3"/>
  <c r="C170" i="3"/>
  <c r="G169" i="3"/>
  <c r="F169" i="3"/>
  <c r="C169" i="3"/>
  <c r="G168" i="3"/>
  <c r="F168" i="3"/>
  <c r="C168" i="3"/>
  <c r="G167" i="3"/>
  <c r="F167" i="3"/>
  <c r="C167" i="3"/>
  <c r="G166" i="3"/>
  <c r="F166" i="3"/>
  <c r="C166" i="3"/>
  <c r="G161" i="3"/>
  <c r="F161" i="3"/>
  <c r="C161" i="3"/>
  <c r="G160" i="3"/>
  <c r="F160" i="3"/>
  <c r="C160" i="3"/>
  <c r="G159" i="3"/>
  <c r="F159" i="3"/>
  <c r="C159" i="3"/>
  <c r="G158" i="3"/>
  <c r="F158" i="3"/>
  <c r="C158" i="3"/>
  <c r="G157" i="3"/>
  <c r="F157" i="3"/>
  <c r="C157" i="3"/>
  <c r="G156" i="3"/>
  <c r="F156" i="3"/>
  <c r="C156" i="3"/>
  <c r="G155" i="3"/>
  <c r="F155" i="3"/>
  <c r="C155" i="3"/>
  <c r="G154" i="3"/>
  <c r="F154" i="3"/>
  <c r="C154" i="3"/>
  <c r="G153" i="3"/>
  <c r="F153" i="3"/>
  <c r="C153" i="3"/>
  <c r="G152" i="3"/>
  <c r="F152" i="3"/>
  <c r="C152" i="3"/>
  <c r="G151" i="3"/>
  <c r="F151" i="3"/>
  <c r="C151" i="3"/>
  <c r="G150" i="3"/>
  <c r="F150" i="3"/>
  <c r="C150" i="3"/>
  <c r="G149" i="3"/>
  <c r="F149" i="3"/>
  <c r="C149" i="3"/>
  <c r="G148" i="3"/>
  <c r="F148" i="3"/>
  <c r="C148" i="3"/>
  <c r="G143" i="3"/>
  <c r="F143" i="3"/>
  <c r="C143" i="3"/>
  <c r="G142" i="3"/>
  <c r="F142" i="3"/>
  <c r="C142" i="3"/>
  <c r="G141" i="3"/>
  <c r="F141" i="3"/>
  <c r="C141" i="3"/>
  <c r="G140" i="3"/>
  <c r="F140" i="3"/>
  <c r="C140" i="3"/>
  <c r="G139" i="3"/>
  <c r="F139" i="3"/>
  <c r="C139" i="3"/>
  <c r="G138" i="3"/>
  <c r="F138" i="3"/>
  <c r="C138" i="3"/>
  <c r="G137" i="3"/>
  <c r="F137" i="3"/>
  <c r="C137" i="3"/>
  <c r="G136" i="3"/>
  <c r="F136" i="3"/>
  <c r="C136" i="3"/>
  <c r="G135" i="3"/>
  <c r="F135" i="3"/>
  <c r="C135" i="3"/>
  <c r="G134" i="3"/>
  <c r="F134" i="3"/>
  <c r="C134" i="3"/>
  <c r="G133" i="3"/>
  <c r="F133" i="3"/>
  <c r="C133" i="3"/>
  <c r="G132" i="3"/>
  <c r="F132" i="3"/>
  <c r="C132" i="3"/>
  <c r="G131" i="3"/>
  <c r="F131" i="3"/>
  <c r="C131" i="3"/>
  <c r="G130" i="3"/>
  <c r="F130" i="3"/>
  <c r="C130" i="3"/>
  <c r="G125" i="3"/>
  <c r="F125" i="3"/>
  <c r="C125" i="3"/>
  <c r="G124" i="3"/>
  <c r="F124" i="3"/>
  <c r="C124" i="3"/>
  <c r="G123" i="3"/>
  <c r="F123" i="3"/>
  <c r="C123" i="3"/>
  <c r="G122" i="3"/>
  <c r="F122" i="3"/>
  <c r="C122" i="3"/>
  <c r="G121" i="3"/>
  <c r="F121" i="3"/>
  <c r="C121" i="3"/>
  <c r="G120" i="3"/>
  <c r="F120" i="3"/>
  <c r="C120" i="3"/>
  <c r="G119" i="3"/>
  <c r="F119" i="3"/>
  <c r="C119" i="3"/>
  <c r="G118" i="3"/>
  <c r="F118" i="3"/>
  <c r="C118" i="3"/>
  <c r="G117" i="3"/>
  <c r="F117" i="3"/>
  <c r="C117" i="3"/>
  <c r="G116" i="3"/>
  <c r="F116" i="3"/>
  <c r="C116" i="3"/>
  <c r="G115" i="3"/>
  <c r="F115" i="3"/>
  <c r="C115" i="3"/>
  <c r="G114" i="3"/>
  <c r="F114" i="3"/>
  <c r="C114" i="3"/>
  <c r="G113" i="3"/>
  <c r="F113" i="3"/>
  <c r="C113" i="3"/>
  <c r="G112" i="3"/>
  <c r="F112" i="3"/>
  <c r="C112" i="3"/>
  <c r="G107" i="3"/>
  <c r="F107" i="3"/>
  <c r="C107" i="3"/>
  <c r="G106" i="3"/>
  <c r="F106" i="3"/>
  <c r="C106" i="3"/>
  <c r="G105" i="3"/>
  <c r="F105" i="3"/>
  <c r="C105" i="3"/>
  <c r="G104" i="3"/>
  <c r="F104" i="3"/>
  <c r="C104" i="3"/>
  <c r="G103" i="3"/>
  <c r="F103" i="3"/>
  <c r="C103" i="3"/>
  <c r="G102" i="3"/>
  <c r="F102" i="3"/>
  <c r="C102" i="3"/>
  <c r="G101" i="3"/>
  <c r="F101" i="3"/>
  <c r="C101" i="3"/>
  <c r="G100" i="3"/>
  <c r="F100" i="3"/>
  <c r="C100" i="3"/>
  <c r="G99" i="3"/>
  <c r="F99" i="3"/>
  <c r="C99" i="3"/>
  <c r="G98" i="3"/>
  <c r="F98" i="3"/>
  <c r="C98" i="3"/>
  <c r="G97" i="3"/>
  <c r="F97" i="3"/>
  <c r="C97" i="3"/>
  <c r="G96" i="3"/>
  <c r="F96" i="3"/>
  <c r="C96" i="3"/>
  <c r="G95" i="3"/>
  <c r="F95" i="3"/>
  <c r="C95" i="3"/>
  <c r="G94" i="3"/>
  <c r="F94" i="3"/>
  <c r="C94" i="3"/>
  <c r="G89" i="3"/>
  <c r="F89" i="3"/>
  <c r="C89" i="3"/>
  <c r="G88" i="3"/>
  <c r="F88" i="3"/>
  <c r="C88" i="3"/>
  <c r="G87" i="3"/>
  <c r="F87" i="3"/>
  <c r="C87" i="3"/>
  <c r="G86" i="3"/>
  <c r="F86" i="3"/>
  <c r="C86" i="3"/>
  <c r="G85" i="3"/>
  <c r="F85" i="3"/>
  <c r="C85" i="3"/>
  <c r="G84" i="3"/>
  <c r="F84" i="3"/>
  <c r="C84" i="3"/>
  <c r="G83" i="3"/>
  <c r="F83" i="3"/>
  <c r="C83" i="3"/>
  <c r="G82" i="3"/>
  <c r="F82" i="3"/>
  <c r="C82" i="3"/>
  <c r="G81" i="3"/>
  <c r="F81" i="3"/>
  <c r="C81" i="3"/>
  <c r="G80" i="3"/>
  <c r="F80" i="3"/>
  <c r="C80" i="3"/>
  <c r="G79" i="3"/>
  <c r="F79" i="3"/>
  <c r="C79" i="3"/>
  <c r="G78" i="3"/>
  <c r="F78" i="3"/>
  <c r="C78" i="3"/>
  <c r="G77" i="3"/>
  <c r="F77" i="3"/>
  <c r="C77" i="3"/>
  <c r="G76" i="3"/>
  <c r="F76" i="3"/>
  <c r="C76" i="3"/>
  <c r="G71" i="3"/>
  <c r="F71" i="3"/>
  <c r="C71" i="3"/>
  <c r="G70" i="3"/>
  <c r="F70" i="3"/>
  <c r="C70" i="3"/>
  <c r="G69" i="3"/>
  <c r="F69" i="3"/>
  <c r="C69" i="3"/>
  <c r="G68" i="3"/>
  <c r="F68" i="3"/>
  <c r="C68" i="3"/>
  <c r="G67" i="3"/>
  <c r="F67" i="3"/>
  <c r="C67" i="3"/>
  <c r="G66" i="3"/>
  <c r="F66" i="3"/>
  <c r="C66" i="3"/>
  <c r="G65" i="3"/>
  <c r="F65" i="3"/>
  <c r="C65" i="3"/>
  <c r="G64" i="3"/>
  <c r="F64" i="3"/>
  <c r="C64" i="3"/>
  <c r="G63" i="3"/>
  <c r="F63" i="3"/>
  <c r="C63" i="3"/>
  <c r="G62" i="3"/>
  <c r="F62" i="3"/>
  <c r="C62" i="3"/>
  <c r="G61" i="3"/>
  <c r="F61" i="3"/>
  <c r="C61" i="3"/>
  <c r="G60" i="3"/>
  <c r="F60" i="3"/>
  <c r="C60" i="3"/>
  <c r="G59" i="3"/>
  <c r="F59" i="3"/>
  <c r="C59" i="3"/>
  <c r="G58" i="3"/>
  <c r="F58" i="3"/>
  <c r="C58" i="3"/>
  <c r="G53" i="3"/>
  <c r="F53" i="3"/>
  <c r="C53" i="3"/>
  <c r="G52" i="3"/>
  <c r="F52" i="3"/>
  <c r="C52" i="3"/>
  <c r="G51" i="3"/>
  <c r="F51" i="3"/>
  <c r="C51" i="3"/>
  <c r="G50" i="3"/>
  <c r="F50" i="3"/>
  <c r="C50" i="3"/>
  <c r="G49" i="3"/>
  <c r="F49" i="3"/>
  <c r="C49" i="3"/>
  <c r="G48" i="3"/>
  <c r="F48" i="3"/>
  <c r="C48" i="3"/>
  <c r="G47" i="3"/>
  <c r="F47" i="3"/>
  <c r="C47" i="3"/>
  <c r="G46" i="3"/>
  <c r="F46" i="3"/>
  <c r="C46" i="3"/>
  <c r="G45" i="3"/>
  <c r="F45" i="3"/>
  <c r="C45" i="3"/>
  <c r="G44" i="3"/>
  <c r="F44" i="3"/>
  <c r="C44" i="3"/>
  <c r="G43" i="3"/>
  <c r="F43" i="3"/>
  <c r="C43" i="3"/>
  <c r="G42" i="3"/>
  <c r="F42" i="3"/>
  <c r="C42" i="3"/>
  <c r="G41" i="3"/>
  <c r="F41" i="3"/>
  <c r="C41" i="3"/>
  <c r="G40" i="3"/>
  <c r="F40" i="3"/>
  <c r="C40" i="3"/>
  <c r="G35" i="3"/>
  <c r="F35" i="3"/>
  <c r="C35" i="3"/>
  <c r="G34" i="3"/>
  <c r="F34" i="3"/>
  <c r="C34" i="3"/>
  <c r="G33" i="3"/>
  <c r="F33" i="3"/>
  <c r="C33" i="3"/>
  <c r="G32" i="3"/>
  <c r="F32" i="3"/>
  <c r="C32" i="3"/>
  <c r="G31" i="3"/>
  <c r="F31" i="3"/>
  <c r="C31" i="3"/>
  <c r="G30" i="3"/>
  <c r="F30" i="3"/>
  <c r="C30" i="3"/>
  <c r="G29" i="3"/>
  <c r="F29" i="3"/>
  <c r="C29" i="3"/>
  <c r="G28" i="3"/>
  <c r="F28" i="3"/>
  <c r="C28" i="3"/>
  <c r="G27" i="3"/>
  <c r="F27" i="3"/>
  <c r="C27" i="3"/>
  <c r="G26" i="3"/>
  <c r="F26" i="3"/>
  <c r="C26" i="3"/>
  <c r="G25" i="3"/>
  <c r="F25" i="3"/>
  <c r="C25" i="3"/>
  <c r="G24" i="3"/>
  <c r="F24" i="3"/>
  <c r="C24" i="3"/>
  <c r="G23" i="3"/>
  <c r="F23" i="3"/>
  <c r="C23" i="3"/>
  <c r="G22" i="3"/>
  <c r="F22" i="3"/>
  <c r="C22" i="3"/>
  <c r="G17" i="3"/>
  <c r="F17" i="3"/>
  <c r="C17" i="3"/>
  <c r="G16" i="3"/>
  <c r="F16" i="3"/>
  <c r="C16" i="3"/>
  <c r="G15" i="3"/>
  <c r="F15" i="3"/>
  <c r="C15" i="3"/>
  <c r="G14" i="3"/>
  <c r="F14" i="3"/>
  <c r="C14" i="3"/>
  <c r="G13" i="3"/>
  <c r="F13" i="3"/>
  <c r="C13" i="3"/>
  <c r="G12" i="3"/>
  <c r="F12" i="3"/>
  <c r="C12" i="3"/>
  <c r="G11" i="3"/>
  <c r="F11" i="3"/>
  <c r="C11" i="3"/>
  <c r="G10" i="3"/>
  <c r="F10" i="3"/>
  <c r="C10" i="3"/>
  <c r="G9" i="3"/>
  <c r="F9" i="3"/>
  <c r="C9" i="3"/>
  <c r="G8" i="3"/>
  <c r="F8" i="3"/>
  <c r="C8" i="3"/>
  <c r="G7" i="3"/>
  <c r="F7" i="3"/>
  <c r="C7" i="3"/>
  <c r="G6" i="3"/>
  <c r="F6" i="3"/>
  <c r="C6" i="3"/>
  <c r="G5" i="3"/>
  <c r="F5" i="3"/>
  <c r="C5" i="3"/>
  <c r="G4" i="3"/>
  <c r="F4" i="3"/>
  <c r="C4" i="3"/>
  <c r="N39" i="2"/>
  <c r="N38" i="2"/>
  <c r="N37" i="2"/>
  <c r="N36" i="2"/>
  <c r="N35" i="2"/>
  <c r="N34" i="2"/>
  <c r="N33" i="2"/>
  <c r="N32" i="2"/>
  <c r="N31" i="2"/>
  <c r="N30" i="2"/>
  <c r="N29" i="2"/>
  <c r="N28" i="2"/>
  <c r="M20" i="2"/>
  <c r="L20" i="2"/>
  <c r="K20" i="2"/>
  <c r="J20" i="2"/>
  <c r="I20" i="2"/>
  <c r="H20" i="2"/>
  <c r="G20" i="2"/>
  <c r="F20" i="2"/>
  <c r="E20" i="2"/>
  <c r="D20" i="2"/>
  <c r="C20" i="2"/>
  <c r="B20" i="2"/>
  <c r="M17" i="2"/>
  <c r="L17" i="2"/>
  <c r="K17" i="2"/>
  <c r="J17" i="2"/>
  <c r="I17" i="2"/>
  <c r="H17" i="2"/>
  <c r="G17" i="2"/>
  <c r="F17" i="2"/>
  <c r="E17" i="2"/>
  <c r="D17" i="2"/>
  <c r="C17" i="2"/>
  <c r="B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AU269" i="1"/>
  <c r="AT269" i="1"/>
  <c r="AU268" i="1"/>
  <c r="AT268" i="1"/>
  <c r="AU267" i="1"/>
  <c r="AT267" i="1"/>
  <c r="AU266" i="1"/>
  <c r="AT266" i="1"/>
  <c r="AU265" i="1"/>
  <c r="AT265" i="1"/>
  <c r="AU264" i="1"/>
  <c r="AT264" i="1"/>
  <c r="AU263" i="1"/>
  <c r="AT263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J262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J261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J260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J259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J258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J257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J256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J255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J254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J253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J252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J251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J250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J249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J248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J247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J246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J245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J244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J243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J242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J241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J240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J239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J238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J237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J236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J235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J234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J233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J232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J231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J230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J229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J228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J227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J226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J225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J224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J223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J222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J221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J220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J219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J218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J217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J216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M215" i="1"/>
  <c r="J215" i="1"/>
  <c r="C215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M214" i="1"/>
  <c r="J214" i="1"/>
  <c r="C214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M213" i="1"/>
  <c r="J213" i="1"/>
  <c r="C213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M212" i="1"/>
  <c r="J212" i="1"/>
  <c r="C212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M211" i="1"/>
  <c r="J211" i="1"/>
  <c r="C211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M210" i="1"/>
  <c r="J210" i="1"/>
  <c r="C210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M209" i="1"/>
  <c r="J209" i="1"/>
  <c r="C209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M208" i="1"/>
  <c r="J208" i="1"/>
  <c r="C208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M207" i="1"/>
  <c r="J207" i="1"/>
  <c r="C207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M206" i="1"/>
  <c r="J206" i="1"/>
  <c r="C206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M205" i="1"/>
  <c r="J205" i="1"/>
  <c r="C205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M204" i="1"/>
  <c r="J204" i="1"/>
  <c r="C204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M203" i="1"/>
  <c r="J203" i="1"/>
  <c r="C203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M202" i="1"/>
  <c r="J202" i="1"/>
  <c r="C202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M201" i="1"/>
  <c r="J201" i="1"/>
  <c r="C201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M200" i="1"/>
  <c r="J200" i="1"/>
  <c r="C200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M199" i="1"/>
  <c r="J199" i="1"/>
  <c r="C199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M198" i="1"/>
  <c r="J198" i="1"/>
  <c r="C198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M197" i="1"/>
  <c r="J197" i="1"/>
  <c r="C197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M196" i="1"/>
  <c r="J196" i="1"/>
  <c r="C196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M195" i="1"/>
  <c r="J195" i="1"/>
  <c r="C195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M194" i="1"/>
  <c r="J194" i="1"/>
  <c r="C194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M193" i="1"/>
  <c r="J193" i="1"/>
  <c r="C193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M192" i="1"/>
  <c r="J192" i="1"/>
  <c r="C192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M191" i="1"/>
  <c r="J191" i="1"/>
  <c r="C191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M190" i="1"/>
  <c r="J190" i="1"/>
  <c r="C190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M189" i="1"/>
  <c r="J189" i="1"/>
  <c r="C189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M188" i="1"/>
  <c r="J188" i="1"/>
  <c r="C188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M187" i="1"/>
  <c r="J187" i="1"/>
  <c r="C187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M186" i="1"/>
  <c r="J186" i="1"/>
  <c r="C186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M185" i="1"/>
  <c r="J185" i="1"/>
  <c r="C185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M184" i="1"/>
  <c r="J184" i="1"/>
  <c r="C184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M183" i="1"/>
  <c r="J183" i="1"/>
  <c r="C183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M182" i="1"/>
  <c r="J182" i="1"/>
  <c r="C182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M181" i="1"/>
  <c r="J181" i="1"/>
  <c r="C181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M180" i="1"/>
  <c r="J180" i="1"/>
  <c r="C180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M179" i="1"/>
  <c r="J179" i="1"/>
  <c r="C179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M178" i="1"/>
  <c r="J178" i="1"/>
  <c r="C178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M177" i="1"/>
  <c r="J177" i="1"/>
  <c r="C177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M176" i="1"/>
  <c r="J176" i="1"/>
  <c r="C176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M175" i="1"/>
  <c r="J175" i="1"/>
  <c r="C175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M174" i="1"/>
  <c r="J174" i="1"/>
  <c r="C174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M173" i="1"/>
  <c r="J173" i="1"/>
  <c r="C173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M172" i="1"/>
  <c r="J172" i="1"/>
  <c r="C172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M171" i="1"/>
  <c r="J171" i="1"/>
  <c r="C171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M170" i="1"/>
  <c r="J170" i="1"/>
  <c r="C170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M169" i="1"/>
  <c r="J169" i="1"/>
  <c r="C169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M168" i="1"/>
  <c r="J168" i="1"/>
  <c r="C168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M167" i="1"/>
  <c r="J167" i="1"/>
  <c r="C167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M166" i="1"/>
  <c r="J166" i="1"/>
  <c r="C166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M165" i="1"/>
  <c r="J165" i="1"/>
  <c r="C165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M164" i="1"/>
  <c r="J164" i="1"/>
  <c r="C164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M163" i="1"/>
  <c r="J163" i="1"/>
  <c r="C163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M162" i="1"/>
  <c r="J162" i="1"/>
  <c r="C162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M161" i="1"/>
  <c r="J161" i="1"/>
  <c r="C161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M160" i="1"/>
  <c r="J160" i="1"/>
  <c r="C160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M159" i="1"/>
  <c r="J159" i="1"/>
  <c r="C159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M158" i="1"/>
  <c r="J158" i="1"/>
  <c r="C158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M157" i="1"/>
  <c r="J157" i="1"/>
  <c r="C157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M156" i="1"/>
  <c r="J156" i="1"/>
  <c r="C156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M155" i="1"/>
  <c r="J155" i="1"/>
  <c r="C155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M154" i="1"/>
  <c r="J154" i="1"/>
  <c r="C154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M153" i="1"/>
  <c r="J153" i="1"/>
  <c r="C153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M152" i="1"/>
  <c r="J152" i="1"/>
  <c r="C152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M151" i="1"/>
  <c r="J151" i="1"/>
  <c r="C151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M150" i="1"/>
  <c r="J150" i="1"/>
  <c r="C150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M149" i="1"/>
  <c r="J149" i="1"/>
  <c r="C149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M148" i="1"/>
  <c r="J148" i="1"/>
  <c r="C148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M147" i="1"/>
  <c r="J147" i="1"/>
  <c r="C147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M146" i="1"/>
  <c r="J146" i="1"/>
  <c r="C146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M145" i="1"/>
  <c r="J145" i="1"/>
  <c r="C145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M144" i="1"/>
  <c r="J144" i="1"/>
  <c r="C144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M143" i="1"/>
  <c r="J143" i="1"/>
  <c r="C143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M142" i="1"/>
  <c r="J142" i="1"/>
  <c r="C142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M141" i="1"/>
  <c r="J141" i="1"/>
  <c r="C141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M140" i="1"/>
  <c r="J140" i="1"/>
  <c r="C140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M139" i="1"/>
  <c r="J139" i="1"/>
  <c r="C139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M138" i="1"/>
  <c r="J138" i="1"/>
  <c r="C138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M137" i="1"/>
  <c r="J137" i="1"/>
  <c r="C137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M136" i="1"/>
  <c r="J136" i="1"/>
  <c r="C136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M135" i="1"/>
  <c r="J135" i="1"/>
  <c r="C135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M134" i="1"/>
  <c r="J134" i="1"/>
  <c r="C134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M133" i="1"/>
  <c r="J133" i="1"/>
  <c r="C133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M132" i="1"/>
  <c r="J132" i="1"/>
  <c r="C132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M131" i="1"/>
  <c r="J131" i="1"/>
  <c r="C131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M130" i="1"/>
  <c r="J130" i="1"/>
  <c r="C130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M129" i="1"/>
  <c r="J129" i="1"/>
  <c r="C129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M128" i="1"/>
  <c r="J128" i="1"/>
  <c r="C128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M127" i="1"/>
  <c r="J127" i="1"/>
  <c r="C127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M126" i="1"/>
  <c r="J126" i="1"/>
  <c r="C126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M125" i="1"/>
  <c r="J125" i="1"/>
  <c r="C125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M124" i="1"/>
  <c r="J124" i="1"/>
  <c r="C124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M123" i="1"/>
  <c r="J123" i="1"/>
  <c r="C123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M122" i="1"/>
  <c r="J122" i="1"/>
  <c r="C122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M121" i="1"/>
  <c r="J121" i="1"/>
  <c r="C121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M120" i="1"/>
  <c r="J120" i="1"/>
  <c r="C120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M119" i="1"/>
  <c r="J119" i="1"/>
  <c r="C119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M118" i="1"/>
  <c r="J118" i="1"/>
  <c r="C118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M117" i="1"/>
  <c r="J117" i="1"/>
  <c r="C117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M116" i="1"/>
  <c r="J116" i="1"/>
  <c r="C116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M115" i="1"/>
  <c r="J115" i="1"/>
  <c r="C115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M114" i="1"/>
  <c r="J114" i="1"/>
  <c r="C114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M113" i="1"/>
  <c r="J113" i="1"/>
  <c r="C113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M112" i="1"/>
  <c r="J112" i="1"/>
  <c r="C112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M111" i="1"/>
  <c r="J111" i="1"/>
  <c r="C111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M110" i="1"/>
  <c r="J110" i="1"/>
  <c r="C110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M109" i="1"/>
  <c r="J109" i="1"/>
  <c r="C109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M108" i="1"/>
  <c r="J108" i="1"/>
  <c r="C108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M107" i="1"/>
  <c r="J107" i="1"/>
  <c r="C107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M106" i="1"/>
  <c r="J106" i="1"/>
  <c r="C106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M105" i="1"/>
  <c r="J105" i="1"/>
  <c r="C105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J94" i="1"/>
  <c r="C94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J100" i="1"/>
  <c r="C100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M91" i="1"/>
  <c r="J91" i="1"/>
  <c r="C9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M96" i="1"/>
  <c r="J96" i="1"/>
  <c r="C96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M81" i="1"/>
  <c r="J81" i="1"/>
  <c r="C81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M64" i="1"/>
  <c r="J64" i="1"/>
  <c r="C64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M83" i="1"/>
  <c r="J83" i="1"/>
  <c r="C83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M61" i="1"/>
  <c r="J61" i="1"/>
  <c r="C61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M72" i="1"/>
  <c r="J72" i="1"/>
  <c r="C72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M63" i="1"/>
  <c r="J63" i="1"/>
  <c r="C63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M86" i="1"/>
  <c r="J86" i="1"/>
  <c r="C86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M55" i="1"/>
  <c r="J55" i="1"/>
  <c r="C55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J104" i="1"/>
  <c r="C104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M71" i="1"/>
  <c r="J71" i="1"/>
  <c r="C71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J65" i="1"/>
  <c r="C65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M90" i="1"/>
  <c r="J90" i="1"/>
  <c r="C90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M53" i="1"/>
  <c r="J53" i="1"/>
  <c r="C53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J52" i="1"/>
  <c r="C52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M99" i="1"/>
  <c r="J99" i="1"/>
  <c r="C99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J57" i="1"/>
  <c r="C57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J48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M103" i="1"/>
  <c r="J103" i="1"/>
  <c r="C103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M56" i="1"/>
  <c r="J56" i="1"/>
  <c r="C56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M46" i="1"/>
  <c r="J46" i="1"/>
  <c r="C46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M58" i="1"/>
  <c r="J58" i="1"/>
  <c r="C5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M98" i="1"/>
  <c r="J98" i="1"/>
  <c r="C98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M82" i="1"/>
  <c r="J82" i="1"/>
  <c r="C82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M70" i="1"/>
  <c r="J70" i="1"/>
  <c r="C70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J85" i="1"/>
  <c r="C85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M97" i="1"/>
  <c r="J97" i="1"/>
  <c r="C97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M45" i="1"/>
  <c r="J45" i="1"/>
  <c r="C45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M62" i="1"/>
  <c r="J62" i="1"/>
  <c r="C62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M68" i="1"/>
  <c r="J68" i="1"/>
  <c r="C68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M80" i="1"/>
  <c r="J80" i="1"/>
  <c r="C80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M39" i="1"/>
  <c r="J39" i="1"/>
  <c r="C3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J54" i="1"/>
  <c r="C54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M50" i="1"/>
  <c r="J50" i="1"/>
  <c r="C50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M69" i="1"/>
  <c r="C69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M38" i="1"/>
  <c r="J38" i="1"/>
  <c r="C38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J78" i="1"/>
  <c r="C78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M95" i="1"/>
  <c r="J95" i="1"/>
  <c r="C95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M35" i="1"/>
  <c r="J35" i="1"/>
  <c r="C35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J34" i="1"/>
  <c r="C34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M79" i="1"/>
  <c r="J79" i="1"/>
  <c r="C79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M67" i="1"/>
  <c r="J67" i="1"/>
  <c r="C67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M32" i="1"/>
  <c r="J32" i="1"/>
  <c r="C32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M88" i="1"/>
  <c r="J88" i="1"/>
  <c r="C8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M74" i="1"/>
  <c r="J74" i="1"/>
  <c r="C74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M47" i="1"/>
  <c r="C4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M102" i="1"/>
  <c r="C102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M101" i="1"/>
  <c r="C101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M93" i="1"/>
  <c r="J93" i="1"/>
  <c r="C93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M92" i="1"/>
  <c r="J92" i="1"/>
  <c r="C92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J89" i="1"/>
  <c r="C89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M87" i="1"/>
  <c r="J87" i="1"/>
  <c r="C87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M84" i="1"/>
  <c r="J84" i="1"/>
  <c r="C84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M77" i="1"/>
  <c r="C77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M76" i="1"/>
  <c r="J76" i="1"/>
  <c r="C76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M75" i="1"/>
  <c r="C75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M73" i="1"/>
  <c r="C73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M66" i="1"/>
  <c r="J66" i="1"/>
  <c r="C66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M60" i="1"/>
  <c r="J60" i="1"/>
  <c r="C60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M59" i="1"/>
  <c r="J59" i="1"/>
  <c r="C59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M51" i="1"/>
  <c r="C5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M49" i="1"/>
  <c r="J49" i="1"/>
  <c r="C4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M44" i="1"/>
  <c r="J44" i="1"/>
  <c r="C44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M43" i="1"/>
  <c r="J43" i="1"/>
  <c r="C43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M42" i="1"/>
  <c r="C42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M41" i="1"/>
  <c r="J41" i="1"/>
  <c r="C41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J40" i="1"/>
  <c r="C40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M37" i="1"/>
  <c r="C37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M36" i="1"/>
  <c r="J36" i="1"/>
  <c r="C36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M33" i="1"/>
  <c r="J33" i="1"/>
  <c r="C33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M31" i="1"/>
  <c r="J31" i="1"/>
  <c r="C31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M30" i="1"/>
  <c r="J30" i="1"/>
  <c r="C30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M29" i="1"/>
  <c r="C29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M28" i="1"/>
  <c r="C28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M27" i="1"/>
  <c r="J27" i="1"/>
  <c r="C27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M26" i="1"/>
  <c r="C26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M25" i="1"/>
  <c r="J25" i="1"/>
  <c r="C25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M24" i="1"/>
  <c r="J24" i="1"/>
  <c r="C24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M23" i="1"/>
  <c r="C23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M22" i="1"/>
  <c r="J22" i="1"/>
  <c r="C22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M21" i="1"/>
  <c r="J21" i="1"/>
  <c r="C21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M20" i="1"/>
  <c r="J20" i="1"/>
  <c r="C20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M19" i="1"/>
  <c r="J19" i="1"/>
  <c r="C19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M18" i="1"/>
  <c r="J18" i="1"/>
  <c r="C18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M17" i="1"/>
  <c r="J17" i="1"/>
  <c r="C17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M16" i="1"/>
  <c r="J16" i="1"/>
  <c r="C16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M15" i="1"/>
  <c r="J15" i="1"/>
  <c r="C15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M14" i="1"/>
  <c r="J14" i="1"/>
  <c r="C14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M13" i="1"/>
  <c r="J13" i="1"/>
  <c r="C13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M12" i="1"/>
  <c r="C12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M11" i="1"/>
  <c r="C11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M10" i="1"/>
  <c r="C10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M9" i="1"/>
  <c r="J9" i="1"/>
  <c r="C9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M8" i="1"/>
  <c r="C8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S7" i="1"/>
  <c r="M7" i="1"/>
  <c r="C7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S6" i="1"/>
  <c r="M6" i="1"/>
  <c r="J6" i="1"/>
  <c r="C6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S5" i="1"/>
  <c r="M5" i="1"/>
  <c r="C5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S4" i="1"/>
  <c r="M4" i="1"/>
  <c r="C4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S3" i="1"/>
  <c r="M3" i="1"/>
  <c r="J3" i="1"/>
  <c r="C3" i="1"/>
  <c r="R63" i="19" l="1"/>
  <c r="L63" i="19"/>
  <c r="K63" i="19"/>
  <c r="G63" i="19"/>
  <c r="F63" i="19"/>
  <c r="E63" i="19"/>
  <c r="D63" i="19"/>
  <c r="B63" i="19"/>
  <c r="A63" i="19"/>
  <c r="C63" i="19" s="1"/>
  <c r="R62" i="19"/>
  <c r="L62" i="19"/>
  <c r="K62" i="19"/>
  <c r="G62" i="19"/>
  <c r="F62" i="19"/>
  <c r="E62" i="19"/>
  <c r="D62" i="19"/>
  <c r="B62" i="19"/>
  <c r="A62" i="19"/>
  <c r="C62" i="19" s="1"/>
  <c r="R61" i="19"/>
  <c r="L61" i="19"/>
  <c r="K61" i="19"/>
  <c r="G61" i="19"/>
  <c r="F61" i="19"/>
  <c r="E61" i="19"/>
  <c r="D61" i="19"/>
  <c r="B61" i="19"/>
  <c r="A61" i="19"/>
  <c r="C61" i="19" s="1"/>
  <c r="R60" i="19"/>
  <c r="L60" i="19"/>
  <c r="K60" i="19"/>
  <c r="G60" i="19"/>
  <c r="F60" i="19"/>
  <c r="E60" i="19"/>
  <c r="D60" i="19"/>
  <c r="B60" i="19"/>
  <c r="A60" i="19"/>
  <c r="C60" i="19" s="1"/>
  <c r="R59" i="19"/>
  <c r="L59" i="19"/>
  <c r="K59" i="19"/>
  <c r="G59" i="19"/>
  <c r="F59" i="19"/>
  <c r="E59" i="19"/>
  <c r="D59" i="19"/>
  <c r="B59" i="19"/>
  <c r="A59" i="19"/>
  <c r="C59" i="19" s="1"/>
  <c r="R58" i="19"/>
  <c r="L58" i="19"/>
  <c r="K58" i="19"/>
  <c r="G58" i="19"/>
  <c r="F58" i="19"/>
  <c r="E58" i="19"/>
  <c r="D58" i="19"/>
  <c r="B58" i="19"/>
  <c r="A58" i="19"/>
  <c r="C58" i="19" s="1"/>
  <c r="R57" i="19"/>
  <c r="L57" i="19"/>
  <c r="K57" i="19"/>
  <c r="G57" i="19"/>
  <c r="F57" i="19"/>
  <c r="E57" i="19"/>
  <c r="D57" i="19"/>
  <c r="B57" i="19"/>
  <c r="A57" i="19"/>
  <c r="C57" i="19" s="1"/>
  <c r="R56" i="19"/>
  <c r="L56" i="19"/>
  <c r="K56" i="19"/>
  <c r="G56" i="19"/>
  <c r="F56" i="19"/>
  <c r="E56" i="19"/>
  <c r="D56" i="19"/>
  <c r="B56" i="19"/>
  <c r="A56" i="19"/>
  <c r="C56" i="19" s="1"/>
  <c r="R55" i="19"/>
  <c r="L55" i="19"/>
  <c r="K55" i="19"/>
  <c r="G55" i="19"/>
  <c r="F55" i="19"/>
  <c r="E55" i="19"/>
  <c r="D55" i="19"/>
  <c r="B55" i="19"/>
  <c r="A55" i="19"/>
  <c r="C55" i="19" s="1"/>
  <c r="R54" i="19"/>
  <c r="L54" i="19"/>
  <c r="K54" i="19"/>
  <c r="G54" i="19"/>
  <c r="F54" i="19"/>
  <c r="E54" i="19"/>
  <c r="D54" i="19"/>
  <c r="B54" i="19"/>
  <c r="A54" i="19"/>
  <c r="C54" i="19" s="1"/>
  <c r="R53" i="19"/>
  <c r="L53" i="19"/>
  <c r="K53" i="19"/>
  <c r="G53" i="19"/>
  <c r="F53" i="19"/>
  <c r="E53" i="19"/>
  <c r="D53" i="19"/>
  <c r="B53" i="19"/>
  <c r="A53" i="19"/>
  <c r="C53" i="19" s="1"/>
  <c r="R52" i="19"/>
  <c r="L52" i="19"/>
  <c r="K52" i="19"/>
  <c r="G52" i="19"/>
  <c r="F52" i="19"/>
  <c r="E52" i="19"/>
  <c r="D52" i="19"/>
  <c r="B52" i="19"/>
  <c r="A52" i="19"/>
  <c r="C52" i="19" s="1"/>
  <c r="R51" i="19"/>
  <c r="L51" i="19"/>
  <c r="K51" i="19"/>
  <c r="G51" i="19"/>
  <c r="F51" i="19"/>
  <c r="E51" i="19"/>
  <c r="D51" i="19"/>
  <c r="B51" i="19"/>
  <c r="A51" i="19"/>
  <c r="C51" i="19" s="1"/>
  <c r="R50" i="19"/>
  <c r="L50" i="19"/>
  <c r="K50" i="19"/>
  <c r="G50" i="19"/>
  <c r="F50" i="19"/>
  <c r="E50" i="19"/>
  <c r="D50" i="19"/>
  <c r="B50" i="19"/>
  <c r="A50" i="19"/>
  <c r="C50" i="19" s="1"/>
  <c r="R49" i="19"/>
  <c r="L49" i="19"/>
  <c r="K49" i="19"/>
  <c r="G49" i="19"/>
  <c r="F49" i="19"/>
  <c r="E49" i="19"/>
  <c r="D49" i="19"/>
  <c r="B49" i="19"/>
  <c r="A49" i="19"/>
  <c r="C49" i="19" s="1"/>
  <c r="R48" i="19"/>
  <c r="L48" i="19"/>
  <c r="K48" i="19"/>
  <c r="G48" i="19"/>
  <c r="F48" i="19"/>
  <c r="E48" i="19"/>
  <c r="D48" i="19"/>
  <c r="B48" i="19"/>
  <c r="A48" i="19"/>
  <c r="C48" i="19" s="1"/>
  <c r="R47" i="19"/>
  <c r="L47" i="19"/>
  <c r="K47" i="19"/>
  <c r="G47" i="19"/>
  <c r="F47" i="19"/>
  <c r="E47" i="19"/>
  <c r="D47" i="19"/>
  <c r="B47" i="19"/>
  <c r="A47" i="19"/>
  <c r="C47" i="19" s="1"/>
  <c r="R46" i="19"/>
  <c r="L46" i="19"/>
  <c r="K46" i="19"/>
  <c r="G46" i="19"/>
  <c r="F46" i="19"/>
  <c r="E46" i="19"/>
  <c r="D46" i="19"/>
  <c r="B46" i="19"/>
  <c r="A46" i="19"/>
  <c r="C46" i="19" s="1"/>
  <c r="R45" i="19"/>
  <c r="L45" i="19"/>
  <c r="K45" i="19"/>
  <c r="G45" i="19"/>
  <c r="F45" i="19"/>
  <c r="E45" i="19"/>
  <c r="D45" i="19"/>
  <c r="B45" i="19"/>
  <c r="A45" i="19"/>
  <c r="C45" i="19" s="1"/>
  <c r="R44" i="19"/>
  <c r="L44" i="19"/>
  <c r="K44" i="19"/>
  <c r="G44" i="19"/>
  <c r="F44" i="19"/>
  <c r="E44" i="19"/>
  <c r="D44" i="19"/>
  <c r="B44" i="19"/>
  <c r="A44" i="19"/>
  <c r="C44" i="19" s="1"/>
  <c r="R43" i="19"/>
  <c r="L43" i="19"/>
  <c r="K43" i="19"/>
  <c r="G43" i="19"/>
  <c r="F43" i="19"/>
  <c r="E43" i="19"/>
  <c r="D43" i="19"/>
  <c r="B43" i="19"/>
  <c r="A43" i="19"/>
  <c r="C43" i="19" s="1"/>
  <c r="R42" i="19"/>
  <c r="L42" i="19"/>
  <c r="K42" i="19"/>
  <c r="G42" i="19"/>
  <c r="F42" i="19"/>
  <c r="E42" i="19"/>
  <c r="D42" i="19"/>
  <c r="B42" i="19"/>
  <c r="A42" i="19"/>
  <c r="C42" i="19" s="1"/>
  <c r="R41" i="19"/>
  <c r="L41" i="19"/>
  <c r="K41" i="19"/>
  <c r="G41" i="19"/>
  <c r="F41" i="19"/>
  <c r="E41" i="19"/>
  <c r="D41" i="19"/>
  <c r="B41" i="19"/>
  <c r="A41" i="19"/>
  <c r="C41" i="19" s="1"/>
  <c r="R40" i="19"/>
  <c r="L40" i="19"/>
  <c r="K40" i="19"/>
  <c r="G40" i="19"/>
  <c r="F40" i="19"/>
  <c r="E40" i="19"/>
  <c r="D40" i="19"/>
  <c r="B40" i="19"/>
  <c r="A40" i="19"/>
  <c r="C40" i="19" s="1"/>
  <c r="R39" i="19"/>
  <c r="L39" i="19"/>
  <c r="K39" i="19"/>
  <c r="G39" i="19"/>
  <c r="F39" i="19"/>
  <c r="E39" i="19"/>
  <c r="D39" i="19"/>
  <c r="B39" i="19"/>
  <c r="A39" i="19"/>
  <c r="C39" i="19" s="1"/>
  <c r="R38" i="19"/>
  <c r="L38" i="19"/>
  <c r="K38" i="19"/>
  <c r="G38" i="19"/>
  <c r="F38" i="19"/>
  <c r="E38" i="19"/>
  <c r="D38" i="19"/>
  <c r="B38" i="19"/>
  <c r="A38" i="19"/>
  <c r="C38" i="19" s="1"/>
  <c r="R37" i="19"/>
  <c r="L37" i="19"/>
  <c r="K37" i="19"/>
  <c r="G37" i="19"/>
  <c r="F37" i="19"/>
  <c r="E37" i="19"/>
  <c r="D37" i="19"/>
  <c r="B37" i="19"/>
  <c r="A37" i="19"/>
  <c r="C37" i="19" s="1"/>
  <c r="R36" i="19"/>
  <c r="L36" i="19"/>
  <c r="K36" i="19"/>
  <c r="G36" i="19"/>
  <c r="F36" i="19"/>
  <c r="E36" i="19"/>
  <c r="D36" i="19"/>
  <c r="B36" i="19"/>
  <c r="A36" i="19"/>
  <c r="C36" i="19" s="1"/>
  <c r="R35" i="19"/>
  <c r="L35" i="19"/>
  <c r="K35" i="19"/>
  <c r="G35" i="19"/>
  <c r="F35" i="19"/>
  <c r="E35" i="19"/>
  <c r="D35" i="19"/>
  <c r="B35" i="19"/>
  <c r="A35" i="19"/>
  <c r="C35" i="19" s="1"/>
  <c r="R34" i="19"/>
  <c r="L34" i="19"/>
  <c r="K34" i="19"/>
  <c r="G34" i="19"/>
  <c r="F34" i="19"/>
  <c r="E34" i="19"/>
  <c r="D34" i="19"/>
  <c r="B34" i="19"/>
  <c r="A34" i="19"/>
  <c r="C34" i="19" s="1"/>
  <c r="Z33" i="19"/>
  <c r="Y33" i="19"/>
  <c r="X33" i="19"/>
  <c r="W33" i="19"/>
  <c r="U33" i="19"/>
  <c r="T33" i="19"/>
  <c r="V33" i="19" s="1"/>
  <c r="R33" i="19"/>
  <c r="L33" i="19"/>
  <c r="K33" i="19"/>
  <c r="G33" i="19"/>
  <c r="F33" i="19"/>
  <c r="E33" i="19"/>
  <c r="D33" i="19"/>
  <c r="B33" i="19"/>
  <c r="A33" i="19"/>
  <c r="C33" i="19" s="1"/>
  <c r="Z32" i="19"/>
  <c r="Y32" i="19"/>
  <c r="X32" i="19"/>
  <c r="W32" i="19"/>
  <c r="U32" i="19"/>
  <c r="T32" i="19"/>
  <c r="V32" i="19" s="1"/>
  <c r="R32" i="19"/>
  <c r="L32" i="19"/>
  <c r="K32" i="19"/>
  <c r="G32" i="19"/>
  <c r="F32" i="19"/>
  <c r="E32" i="19"/>
  <c r="D32" i="19"/>
  <c r="B32" i="19"/>
  <c r="A32" i="19"/>
  <c r="C32" i="19" s="1"/>
  <c r="Z31" i="19"/>
  <c r="Y31" i="19"/>
  <c r="X31" i="19"/>
  <c r="W31" i="19"/>
  <c r="U31" i="19"/>
  <c r="T31" i="19"/>
  <c r="V31" i="19" s="1"/>
  <c r="R31" i="19"/>
  <c r="L31" i="19"/>
  <c r="K31" i="19"/>
  <c r="G31" i="19"/>
  <c r="F31" i="19"/>
  <c r="E31" i="19"/>
  <c r="D31" i="19"/>
  <c r="B31" i="19"/>
  <c r="A31" i="19"/>
  <c r="C31" i="19" s="1"/>
  <c r="Z30" i="19"/>
  <c r="Y30" i="19"/>
  <c r="X30" i="19"/>
  <c r="W30" i="19"/>
  <c r="U30" i="19"/>
  <c r="T30" i="19"/>
  <c r="V30" i="19" s="1"/>
  <c r="R30" i="19"/>
  <c r="L30" i="19"/>
  <c r="K30" i="19"/>
  <c r="G30" i="19"/>
  <c r="F30" i="19"/>
  <c r="E30" i="19"/>
  <c r="D30" i="19"/>
  <c r="B30" i="19"/>
  <c r="A30" i="19"/>
  <c r="C30" i="19" s="1"/>
  <c r="Z29" i="19"/>
  <c r="Y29" i="19"/>
  <c r="X29" i="19"/>
  <c r="W29" i="19"/>
  <c r="U29" i="19"/>
  <c r="T29" i="19"/>
  <c r="V29" i="19" s="1"/>
  <c r="R29" i="19"/>
  <c r="L29" i="19"/>
  <c r="K29" i="19"/>
  <c r="G29" i="19"/>
  <c r="F29" i="19"/>
  <c r="E29" i="19"/>
  <c r="D29" i="19"/>
  <c r="B29" i="19"/>
  <c r="A29" i="19"/>
  <c r="C29" i="19" s="1"/>
  <c r="Z28" i="19"/>
  <c r="Y28" i="19"/>
  <c r="X28" i="19"/>
  <c r="W28" i="19"/>
  <c r="U28" i="19"/>
  <c r="T28" i="19"/>
  <c r="V28" i="19" s="1"/>
  <c r="R28" i="19"/>
  <c r="L28" i="19"/>
  <c r="K28" i="19"/>
  <c r="G28" i="19"/>
  <c r="F28" i="19"/>
  <c r="E28" i="19"/>
  <c r="D28" i="19"/>
  <c r="B28" i="19"/>
  <c r="A28" i="19"/>
  <c r="C28" i="19" s="1"/>
  <c r="Z27" i="19"/>
  <c r="Y27" i="19"/>
  <c r="X27" i="19"/>
  <c r="W27" i="19"/>
  <c r="U27" i="19"/>
  <c r="T27" i="19"/>
  <c r="V27" i="19" s="1"/>
  <c r="R27" i="19"/>
  <c r="L27" i="19"/>
  <c r="K27" i="19"/>
  <c r="G27" i="19"/>
  <c r="F27" i="19"/>
  <c r="E27" i="19"/>
  <c r="D27" i="19"/>
  <c r="B27" i="19"/>
  <c r="A27" i="19"/>
  <c r="C27" i="19" s="1"/>
  <c r="Z26" i="19"/>
  <c r="Y26" i="19"/>
  <c r="X26" i="19"/>
  <c r="W26" i="19"/>
  <c r="U26" i="19"/>
  <c r="T26" i="19"/>
  <c r="V26" i="19" s="1"/>
  <c r="R26" i="19"/>
  <c r="L26" i="19"/>
  <c r="K26" i="19"/>
  <c r="G26" i="19"/>
  <c r="F26" i="19"/>
  <c r="E26" i="19"/>
  <c r="D26" i="19"/>
  <c r="B26" i="19"/>
  <c r="A26" i="19"/>
  <c r="C26" i="19" s="1"/>
  <c r="Z25" i="19"/>
  <c r="Y25" i="19"/>
  <c r="X25" i="19"/>
  <c r="W25" i="19"/>
  <c r="U25" i="19"/>
  <c r="T25" i="19"/>
  <c r="V25" i="19" s="1"/>
  <c r="R25" i="19"/>
  <c r="L25" i="19"/>
  <c r="K25" i="19"/>
  <c r="G25" i="19"/>
  <c r="F25" i="19"/>
  <c r="E25" i="19"/>
  <c r="D25" i="19"/>
  <c r="B25" i="19"/>
  <c r="A25" i="19"/>
  <c r="C25" i="19" s="1"/>
  <c r="Z24" i="19"/>
  <c r="Y24" i="19"/>
  <c r="X24" i="19"/>
  <c r="W24" i="19"/>
  <c r="U24" i="19"/>
  <c r="T24" i="19"/>
  <c r="V24" i="19" s="1"/>
  <c r="R24" i="19"/>
  <c r="L24" i="19"/>
  <c r="K24" i="19"/>
  <c r="G24" i="19"/>
  <c r="F24" i="19"/>
  <c r="E24" i="19"/>
  <c r="D24" i="19"/>
  <c r="B24" i="19"/>
  <c r="A24" i="19"/>
  <c r="C24" i="19" s="1"/>
  <c r="Z23" i="19"/>
  <c r="Y23" i="19"/>
  <c r="X23" i="19"/>
  <c r="W23" i="19"/>
  <c r="U23" i="19"/>
  <c r="T23" i="19"/>
  <c r="V23" i="19" s="1"/>
  <c r="R23" i="19"/>
  <c r="L23" i="19"/>
  <c r="K23" i="19"/>
  <c r="G23" i="19"/>
  <c r="F23" i="19"/>
  <c r="E23" i="19"/>
  <c r="D23" i="19"/>
  <c r="B23" i="19"/>
  <c r="A23" i="19"/>
  <c r="C23" i="19" s="1"/>
  <c r="Z22" i="19"/>
  <c r="Y22" i="19"/>
  <c r="X22" i="19"/>
  <c r="W22" i="19"/>
  <c r="U22" i="19"/>
  <c r="T22" i="19"/>
  <c r="V22" i="19" s="1"/>
  <c r="R22" i="19"/>
  <c r="L22" i="19"/>
  <c r="K22" i="19"/>
  <c r="G22" i="19"/>
  <c r="F22" i="19"/>
  <c r="E22" i="19"/>
  <c r="D22" i="19"/>
  <c r="B22" i="19"/>
  <c r="A22" i="19"/>
  <c r="C22" i="19" s="1"/>
  <c r="Z21" i="19"/>
  <c r="Y21" i="19"/>
  <c r="X21" i="19"/>
  <c r="W21" i="19"/>
  <c r="U21" i="19"/>
  <c r="T21" i="19"/>
  <c r="V21" i="19" s="1"/>
  <c r="R21" i="19"/>
  <c r="L21" i="19"/>
  <c r="K21" i="19"/>
  <c r="G21" i="19"/>
  <c r="F21" i="19"/>
  <c r="E21" i="19"/>
  <c r="D21" i="19"/>
  <c r="B21" i="19"/>
  <c r="A21" i="19"/>
  <c r="C21" i="19" s="1"/>
  <c r="Z20" i="19"/>
  <c r="Y20" i="19"/>
  <c r="X20" i="19"/>
  <c r="W20" i="19"/>
  <c r="U20" i="19"/>
  <c r="T20" i="19"/>
  <c r="V20" i="19" s="1"/>
  <c r="R20" i="19"/>
  <c r="L20" i="19"/>
  <c r="K20" i="19"/>
  <c r="G20" i="19"/>
  <c r="F20" i="19"/>
  <c r="E20" i="19"/>
  <c r="D20" i="19"/>
  <c r="B20" i="19"/>
  <c r="A20" i="19"/>
  <c r="C20" i="19" s="1"/>
  <c r="Z19" i="19"/>
  <c r="Y19" i="19"/>
  <c r="X19" i="19"/>
  <c r="W19" i="19"/>
  <c r="U19" i="19"/>
  <c r="T19" i="19"/>
  <c r="V19" i="19" s="1"/>
  <c r="R19" i="19"/>
  <c r="L19" i="19"/>
  <c r="K19" i="19"/>
  <c r="G19" i="19"/>
  <c r="F19" i="19"/>
  <c r="E19" i="19"/>
  <c r="D19" i="19"/>
  <c r="B19" i="19"/>
  <c r="A19" i="19"/>
  <c r="C19" i="19" s="1"/>
  <c r="Z18" i="19"/>
  <c r="Y18" i="19"/>
  <c r="X18" i="19"/>
  <c r="W18" i="19"/>
  <c r="U18" i="19"/>
  <c r="T18" i="19"/>
  <c r="V18" i="19" s="1"/>
  <c r="R18" i="19"/>
  <c r="L18" i="19"/>
  <c r="K18" i="19"/>
  <c r="G18" i="19"/>
  <c r="F18" i="19"/>
  <c r="E18" i="19"/>
  <c r="D18" i="19"/>
  <c r="B18" i="19"/>
  <c r="A18" i="19"/>
  <c r="C18" i="19" s="1"/>
  <c r="Z17" i="19"/>
  <c r="Y17" i="19"/>
  <c r="X17" i="19"/>
  <c r="W17" i="19"/>
  <c r="U17" i="19"/>
  <c r="T17" i="19"/>
  <c r="V17" i="19" s="1"/>
  <c r="R17" i="19"/>
  <c r="L17" i="19"/>
  <c r="K17" i="19"/>
  <c r="G17" i="19"/>
  <c r="F17" i="19"/>
  <c r="E17" i="19"/>
  <c r="D17" i="19"/>
  <c r="B17" i="19"/>
  <c r="A17" i="19"/>
  <c r="C17" i="19" s="1"/>
  <c r="AI16" i="19"/>
  <c r="AH16" i="19"/>
  <c r="Z16" i="19"/>
  <c r="Y16" i="19"/>
  <c r="X16" i="19"/>
  <c r="W16" i="19"/>
  <c r="U16" i="19"/>
  <c r="T16" i="19"/>
  <c r="V16" i="19" s="1"/>
  <c r="R16" i="19"/>
  <c r="L16" i="19"/>
  <c r="K16" i="19"/>
  <c r="G16" i="19"/>
  <c r="F16" i="19"/>
  <c r="E16" i="19"/>
  <c r="D16" i="19"/>
  <c r="B16" i="19"/>
  <c r="A16" i="19"/>
  <c r="C16" i="19" s="1"/>
  <c r="Z15" i="19"/>
  <c r="Y15" i="19"/>
  <c r="X15" i="19"/>
  <c r="W15" i="19"/>
  <c r="U15" i="19"/>
  <c r="T15" i="19"/>
  <c r="V15" i="19" s="1"/>
  <c r="R15" i="19"/>
  <c r="L15" i="19"/>
  <c r="K15" i="19"/>
  <c r="G15" i="19"/>
  <c r="F15" i="19"/>
  <c r="E15" i="19"/>
  <c r="D15" i="19"/>
  <c r="B15" i="19"/>
  <c r="A15" i="19"/>
  <c r="C15" i="19" s="1"/>
  <c r="Z14" i="19"/>
  <c r="Y14" i="19"/>
  <c r="X14" i="19"/>
  <c r="W14" i="19"/>
  <c r="U14" i="19"/>
  <c r="T14" i="19"/>
  <c r="V14" i="19" s="1"/>
  <c r="R14" i="19"/>
  <c r="L14" i="19"/>
  <c r="K14" i="19"/>
  <c r="G14" i="19"/>
  <c r="F14" i="19"/>
  <c r="E14" i="19"/>
  <c r="D14" i="19"/>
  <c r="B14" i="19"/>
  <c r="A14" i="19"/>
  <c r="C14" i="19" s="1"/>
  <c r="Z13" i="19"/>
  <c r="Y13" i="19"/>
  <c r="X13" i="19"/>
  <c r="W13" i="19"/>
  <c r="U13" i="19"/>
  <c r="T13" i="19"/>
  <c r="V13" i="19" s="1"/>
  <c r="R13" i="19"/>
  <c r="L13" i="19"/>
  <c r="K13" i="19"/>
  <c r="G13" i="19"/>
  <c r="F13" i="19"/>
  <c r="E13" i="19"/>
  <c r="D13" i="19"/>
  <c r="B13" i="19"/>
  <c r="A13" i="19"/>
  <c r="C13" i="19" s="1"/>
  <c r="Z12" i="19"/>
  <c r="Y12" i="19"/>
  <c r="X12" i="19"/>
  <c r="W12" i="19"/>
  <c r="U12" i="19"/>
  <c r="T12" i="19"/>
  <c r="V12" i="19" s="1"/>
  <c r="R12" i="19"/>
  <c r="L12" i="19"/>
  <c r="K12" i="19"/>
  <c r="G12" i="19"/>
  <c r="F12" i="19"/>
  <c r="E12" i="19"/>
  <c r="D12" i="19"/>
  <c r="B12" i="19"/>
  <c r="A12" i="19"/>
  <c r="C12" i="19" s="1"/>
  <c r="Z11" i="19"/>
  <c r="Y11" i="19"/>
  <c r="X11" i="19"/>
  <c r="W11" i="19"/>
  <c r="U11" i="19"/>
  <c r="T11" i="19"/>
  <c r="V11" i="19" s="1"/>
  <c r="R11" i="19"/>
  <c r="L11" i="19"/>
  <c r="K11" i="19"/>
  <c r="G11" i="19"/>
  <c r="F11" i="19"/>
  <c r="E11" i="19"/>
  <c r="D11" i="19"/>
  <c r="B11" i="19"/>
  <c r="A11" i="19"/>
  <c r="C11" i="19" s="1"/>
  <c r="Z10" i="19"/>
  <c r="Y10" i="19"/>
  <c r="X10" i="19"/>
  <c r="W10" i="19"/>
  <c r="U10" i="19"/>
  <c r="T10" i="19"/>
  <c r="V10" i="19" s="1"/>
  <c r="R10" i="19"/>
  <c r="L10" i="19"/>
  <c r="K10" i="19"/>
  <c r="G10" i="19"/>
  <c r="F10" i="19"/>
  <c r="E10" i="19"/>
  <c r="D10" i="19"/>
  <c r="B10" i="19"/>
  <c r="A10" i="19"/>
  <c r="C10" i="19" s="1"/>
  <c r="Z9" i="19"/>
  <c r="Y9" i="19"/>
  <c r="X9" i="19"/>
  <c r="W9" i="19"/>
  <c r="U9" i="19"/>
  <c r="T9" i="19"/>
  <c r="V9" i="19" s="1"/>
  <c r="R9" i="19"/>
  <c r="L9" i="19"/>
  <c r="K9" i="19"/>
  <c r="G9" i="19"/>
  <c r="F9" i="19"/>
  <c r="E9" i="19"/>
  <c r="D9" i="19"/>
  <c r="B9" i="19"/>
  <c r="A9" i="19"/>
  <c r="C9" i="19" s="1"/>
  <c r="Z8" i="19"/>
  <c r="Y8" i="19"/>
  <c r="X8" i="19"/>
  <c r="W8" i="19"/>
  <c r="U8" i="19"/>
  <c r="T8" i="19"/>
  <c r="V8" i="19" s="1"/>
  <c r="R8" i="19"/>
  <c r="L8" i="19"/>
  <c r="K8" i="19"/>
  <c r="G8" i="19"/>
  <c r="F8" i="19"/>
  <c r="E8" i="19"/>
  <c r="D8" i="19"/>
  <c r="B8" i="19"/>
  <c r="A8" i="19"/>
  <c r="C8" i="19" s="1"/>
  <c r="Z7" i="19"/>
  <c r="Y7" i="19"/>
  <c r="X7" i="19"/>
  <c r="W7" i="19"/>
  <c r="U7" i="19"/>
  <c r="T7" i="19"/>
  <c r="V7" i="19" s="1"/>
  <c r="R7" i="19"/>
  <c r="L7" i="19"/>
  <c r="K7" i="19"/>
  <c r="G7" i="19"/>
  <c r="F7" i="19"/>
  <c r="E7" i="19"/>
  <c r="D7" i="19"/>
  <c r="B7" i="19"/>
  <c r="A7" i="19"/>
  <c r="C7" i="19" s="1"/>
  <c r="Z5" i="19"/>
  <c r="Y5" i="19"/>
  <c r="X5" i="19"/>
  <c r="W5" i="19"/>
  <c r="U5" i="19"/>
  <c r="T5" i="19"/>
  <c r="V5" i="19" s="1"/>
  <c r="R5" i="19"/>
  <c r="L5" i="19"/>
  <c r="K5" i="19"/>
  <c r="G5" i="19"/>
  <c r="F5" i="19"/>
  <c r="E5" i="19"/>
  <c r="D5" i="19"/>
  <c r="B5" i="19"/>
  <c r="A5" i="19"/>
  <c r="C5" i="19" s="1"/>
  <c r="T4" i="19"/>
  <c r="V4" i="19" s="1"/>
  <c r="L4" i="19"/>
  <c r="F4" i="19"/>
  <c r="D4" i="19"/>
  <c r="A4" i="19"/>
  <c r="L63" i="18"/>
  <c r="K63" i="18"/>
  <c r="E63" i="18"/>
  <c r="D63" i="18"/>
  <c r="R62" i="18"/>
  <c r="G62" i="18"/>
  <c r="D62" i="18"/>
  <c r="R61" i="18"/>
  <c r="G61" i="18"/>
  <c r="D61" i="18"/>
  <c r="R60" i="18"/>
  <c r="G60" i="18"/>
  <c r="D60" i="18"/>
  <c r="R59" i="18"/>
  <c r="G59" i="18"/>
  <c r="D59" i="18"/>
  <c r="R58" i="18"/>
  <c r="G58" i="18"/>
  <c r="D58" i="18"/>
  <c r="R57" i="18"/>
  <c r="G57" i="18"/>
  <c r="D57" i="18"/>
  <c r="R56" i="18"/>
  <c r="G56" i="18"/>
  <c r="D56" i="18"/>
  <c r="R55" i="18"/>
  <c r="G55" i="18"/>
  <c r="D55" i="18"/>
  <c r="R54" i="18"/>
  <c r="G54" i="18"/>
  <c r="D54" i="18"/>
  <c r="R53" i="18"/>
  <c r="G53" i="18"/>
  <c r="D53" i="18"/>
  <c r="R52" i="18"/>
  <c r="L52" i="18"/>
  <c r="E52" i="18"/>
  <c r="A52" i="18"/>
  <c r="C52" i="18" s="1"/>
  <c r="G51" i="18"/>
  <c r="D51" i="18"/>
  <c r="R50" i="18"/>
  <c r="G50" i="18"/>
  <c r="D50" i="18"/>
  <c r="R49" i="18"/>
  <c r="K49" i="18"/>
  <c r="E49" i="18"/>
  <c r="B49" i="18"/>
  <c r="R45" i="18"/>
  <c r="G45" i="18"/>
  <c r="D45" i="18"/>
  <c r="R44" i="18"/>
  <c r="G44" i="18"/>
  <c r="D44" i="18"/>
  <c r="R43" i="18"/>
  <c r="G43" i="18"/>
  <c r="D43" i="18"/>
  <c r="R42" i="18"/>
  <c r="G42" i="18"/>
  <c r="D42" i="18"/>
  <c r="R41" i="18"/>
  <c r="G41" i="18"/>
  <c r="D41" i="18"/>
  <c r="R40" i="18"/>
  <c r="G40" i="18"/>
  <c r="D40" i="18"/>
  <c r="R39" i="18"/>
  <c r="G39" i="18"/>
  <c r="D39" i="18"/>
  <c r="R38" i="18"/>
  <c r="G38" i="18"/>
  <c r="D38" i="18"/>
  <c r="R37" i="18"/>
  <c r="G37" i="18"/>
  <c r="D37" i="18"/>
  <c r="R36" i="18"/>
  <c r="K36" i="18"/>
  <c r="E36" i="18"/>
  <c r="B36" i="18"/>
  <c r="K35" i="18"/>
  <c r="E35" i="18"/>
  <c r="B35" i="18"/>
  <c r="L34" i="18"/>
  <c r="F34" i="18"/>
  <c r="B34" i="18"/>
  <c r="Z33" i="18"/>
  <c r="X33" i="18"/>
  <c r="T33" i="18"/>
  <c r="V33" i="18" s="1"/>
  <c r="R33" i="18"/>
  <c r="K33" i="18"/>
  <c r="E33" i="18"/>
  <c r="A33" i="18"/>
  <c r="C33" i="18" s="1"/>
  <c r="X32" i="18"/>
  <c r="U32" i="18"/>
  <c r="K32" i="18"/>
  <c r="E32" i="18"/>
  <c r="B32" i="18"/>
  <c r="Y31" i="18"/>
  <c r="T31" i="18"/>
  <c r="V31" i="18" s="1"/>
  <c r="K31" i="18"/>
  <c r="E31" i="18"/>
  <c r="A31" i="18"/>
  <c r="C31" i="18" s="1"/>
  <c r="Y30" i="18"/>
  <c r="T30" i="18"/>
  <c r="V30" i="18" s="1"/>
  <c r="K30" i="18"/>
  <c r="E30" i="18"/>
  <c r="A30" i="18"/>
  <c r="C30" i="18" s="1"/>
  <c r="X29" i="18"/>
  <c r="U29" i="18"/>
  <c r="L29" i="18"/>
  <c r="F29" i="18"/>
  <c r="B29" i="18"/>
  <c r="Y28" i="18"/>
  <c r="T28" i="18"/>
  <c r="V28" i="18" s="1"/>
  <c r="K28" i="18"/>
  <c r="E28" i="18"/>
  <c r="B28" i="18"/>
  <c r="Y27" i="18"/>
  <c r="U27" i="18"/>
  <c r="L27" i="18"/>
  <c r="F27" i="18"/>
  <c r="A27" i="18"/>
  <c r="C27" i="18" s="1"/>
  <c r="X26" i="18"/>
  <c r="T26" i="18"/>
  <c r="V26" i="18" s="1"/>
  <c r="K26" i="18"/>
  <c r="E26" i="18"/>
  <c r="A26" i="18"/>
  <c r="C26" i="18" s="1"/>
  <c r="Y25" i="18"/>
  <c r="U25" i="18"/>
  <c r="K25" i="18"/>
  <c r="E25" i="18"/>
  <c r="B25" i="18"/>
  <c r="Z24" i="18"/>
  <c r="X24" i="18"/>
  <c r="U24" i="18"/>
  <c r="L24" i="18"/>
  <c r="F24" i="18"/>
  <c r="B24" i="18"/>
  <c r="Y23" i="18"/>
  <c r="T23" i="18"/>
  <c r="V23" i="18" s="1"/>
  <c r="L23" i="18"/>
  <c r="F23" i="18"/>
  <c r="B23" i="18"/>
  <c r="Y22" i="18"/>
  <c r="U22" i="18"/>
  <c r="L22" i="18"/>
  <c r="F22" i="18"/>
  <c r="B22" i="18"/>
  <c r="Y21" i="18"/>
  <c r="T21" i="18"/>
  <c r="V21" i="18" s="1"/>
  <c r="L21" i="18"/>
  <c r="F21" i="18"/>
  <c r="B21" i="18"/>
  <c r="X20" i="18"/>
  <c r="T20" i="18"/>
  <c r="V20" i="18" s="1"/>
  <c r="K20" i="18"/>
  <c r="E20" i="18"/>
  <c r="B20" i="18"/>
  <c r="Y19" i="18"/>
  <c r="U19" i="18"/>
  <c r="G19" i="18"/>
  <c r="D19" i="18"/>
  <c r="Z18" i="18"/>
  <c r="W18" i="18"/>
  <c r="R18" i="18"/>
  <c r="G18" i="18"/>
  <c r="D18" i="18"/>
  <c r="Z17" i="18"/>
  <c r="W17" i="18"/>
  <c r="R17" i="18"/>
  <c r="G17" i="18"/>
  <c r="D17" i="18"/>
  <c r="AH16" i="18"/>
  <c r="Y16" i="18"/>
  <c r="U16" i="18"/>
  <c r="L16" i="18"/>
  <c r="F16" i="18"/>
  <c r="A16" i="18"/>
  <c r="C16" i="18" s="1"/>
  <c r="Z14" i="18"/>
  <c r="Y14" i="18"/>
  <c r="X14" i="18"/>
  <c r="U14" i="18"/>
  <c r="R14" i="18"/>
  <c r="K14" i="18"/>
  <c r="F14" i="18"/>
  <c r="D14" i="18"/>
  <c r="A14" i="18"/>
  <c r="C14" i="18" s="1"/>
  <c r="Z12" i="18"/>
  <c r="Y12" i="18"/>
  <c r="X12" i="18"/>
  <c r="W12" i="18"/>
  <c r="U12" i="18"/>
  <c r="T12" i="18"/>
  <c r="V12" i="18" s="1"/>
  <c r="R12" i="18"/>
  <c r="L12" i="18"/>
  <c r="K12" i="18"/>
  <c r="G12" i="18"/>
  <c r="F12" i="18"/>
  <c r="E12" i="18"/>
  <c r="D12" i="18"/>
  <c r="B12" i="18"/>
  <c r="A12" i="18"/>
  <c r="C12" i="18" s="1"/>
  <c r="A61" i="17"/>
  <c r="C61" i="17" s="1"/>
  <c r="L60" i="17"/>
  <c r="G60" i="17"/>
  <c r="E60" i="17"/>
  <c r="B60" i="17"/>
  <c r="R59" i="17"/>
  <c r="K59" i="17"/>
  <c r="F59" i="17"/>
  <c r="D59" i="17"/>
  <c r="A59" i="17"/>
  <c r="C59" i="17" s="1"/>
  <c r="L58" i="17"/>
  <c r="G58" i="17"/>
  <c r="E58" i="17"/>
  <c r="A58" i="17"/>
  <c r="C58" i="17" s="1"/>
  <c r="K57" i="17"/>
  <c r="G57" i="17"/>
  <c r="D57" i="17"/>
  <c r="R56" i="17"/>
  <c r="G56" i="17"/>
  <c r="D56" i="17"/>
  <c r="R55" i="17"/>
  <c r="G55" i="17"/>
  <c r="D55" i="17"/>
  <c r="R54" i="17"/>
  <c r="G54" i="17"/>
  <c r="D54" i="17"/>
  <c r="R53" i="17"/>
  <c r="G53" i="17"/>
  <c r="D53" i="17"/>
  <c r="R52" i="17"/>
  <c r="G52" i="17"/>
  <c r="D52" i="17"/>
  <c r="R51" i="17"/>
  <c r="G51" i="17"/>
  <c r="D51" i="17"/>
  <c r="R50" i="17"/>
  <c r="G50" i="17"/>
  <c r="D50" i="17"/>
  <c r="R49" i="17"/>
  <c r="G49" i="17"/>
  <c r="D49" i="17"/>
  <c r="R48" i="17"/>
  <c r="G48" i="17"/>
  <c r="D48" i="17"/>
  <c r="R47" i="17"/>
  <c r="G47" i="17"/>
  <c r="D47" i="17"/>
  <c r="R46" i="17"/>
  <c r="G46" i="17"/>
  <c r="D46" i="17"/>
  <c r="R45" i="17"/>
  <c r="G45" i="17"/>
  <c r="D45" i="17"/>
  <c r="R44" i="17"/>
  <c r="K44" i="17"/>
  <c r="F44" i="17"/>
  <c r="B44" i="17"/>
  <c r="L43" i="17"/>
  <c r="F43" i="17"/>
  <c r="A43" i="17"/>
  <c r="C43" i="17" s="1"/>
  <c r="L42" i="17"/>
  <c r="F42" i="17"/>
  <c r="A42" i="17"/>
  <c r="C42" i="17" s="1"/>
  <c r="K41" i="17"/>
  <c r="E41" i="17"/>
  <c r="B41" i="17"/>
  <c r="G40" i="17"/>
  <c r="D40" i="17"/>
  <c r="R39" i="17"/>
  <c r="G39" i="17"/>
  <c r="D39" i="17"/>
  <c r="R38" i="17"/>
  <c r="L38" i="17"/>
  <c r="F38" i="17"/>
  <c r="B38" i="17"/>
  <c r="G37" i="17"/>
  <c r="D37" i="17"/>
  <c r="R36" i="17"/>
  <c r="L36" i="17"/>
  <c r="F36" i="17"/>
  <c r="B36" i="17"/>
  <c r="K35" i="17"/>
  <c r="E35" i="17"/>
  <c r="B35" i="17"/>
  <c r="R34" i="17"/>
  <c r="G34" i="17"/>
  <c r="D34" i="17"/>
  <c r="Y33" i="17"/>
  <c r="T33" i="17"/>
  <c r="V33" i="17" s="1"/>
  <c r="K33" i="17"/>
  <c r="E33" i="17"/>
  <c r="B33" i="17"/>
  <c r="Z32" i="17"/>
  <c r="X32" i="17"/>
  <c r="U32" i="17"/>
  <c r="R32" i="17"/>
  <c r="K32" i="17"/>
  <c r="G32" i="17"/>
  <c r="D32" i="17"/>
  <c r="Z31" i="17"/>
  <c r="X31" i="17"/>
  <c r="U31" i="17"/>
  <c r="K31" i="17"/>
  <c r="E31" i="17"/>
  <c r="A31" i="17"/>
  <c r="C31" i="17" s="1"/>
  <c r="X30" i="17"/>
  <c r="T30" i="17"/>
  <c r="V30" i="17" s="1"/>
  <c r="L30" i="17"/>
  <c r="F30" i="17"/>
  <c r="A30" i="17"/>
  <c r="C30" i="17" s="1"/>
  <c r="X29" i="17"/>
  <c r="U29" i="17"/>
  <c r="K29" i="17"/>
  <c r="F29" i="17"/>
  <c r="B29" i="17"/>
  <c r="Y28" i="17"/>
  <c r="U28" i="17"/>
  <c r="L28" i="17"/>
  <c r="F28" i="17"/>
  <c r="A28" i="17"/>
  <c r="C28" i="17" s="1"/>
  <c r="X27" i="17"/>
  <c r="U27" i="17"/>
  <c r="K27" i="17"/>
  <c r="E27" i="17"/>
  <c r="A27" i="17"/>
  <c r="C27" i="17" s="1"/>
  <c r="X26" i="17"/>
  <c r="U26" i="17"/>
  <c r="K26" i="17"/>
  <c r="E26" i="17"/>
  <c r="A26" i="17"/>
  <c r="C26" i="17" s="1"/>
  <c r="X25" i="17"/>
  <c r="T25" i="17"/>
  <c r="V25" i="17" s="1"/>
  <c r="L25" i="17"/>
  <c r="F25" i="17"/>
  <c r="B25" i="17"/>
  <c r="Y24" i="17"/>
  <c r="U24" i="17"/>
  <c r="L24" i="17"/>
  <c r="F24" i="17"/>
  <c r="B24" i="17"/>
  <c r="X23" i="17"/>
  <c r="T23" i="17"/>
  <c r="V23" i="17" s="1"/>
  <c r="L23" i="17"/>
  <c r="F23" i="17"/>
  <c r="B23" i="17"/>
  <c r="Y22" i="17"/>
  <c r="T22" i="17"/>
  <c r="V22" i="17" s="1"/>
  <c r="L22" i="17"/>
  <c r="F22" i="17"/>
  <c r="B22" i="17"/>
  <c r="Y21" i="17"/>
  <c r="T21" i="17"/>
  <c r="V21" i="17" s="1"/>
  <c r="K21" i="17"/>
  <c r="E21" i="17"/>
  <c r="A21" i="17"/>
  <c r="C21" i="17" s="1"/>
  <c r="X20" i="17"/>
  <c r="U20" i="17"/>
  <c r="L20" i="17"/>
  <c r="E20" i="17"/>
  <c r="B20" i="17"/>
  <c r="Y19" i="17"/>
  <c r="T19" i="17"/>
  <c r="V19" i="17" s="1"/>
  <c r="K19" i="17"/>
  <c r="E19" i="17"/>
  <c r="A19" i="17"/>
  <c r="C19" i="17" s="1"/>
  <c r="X18" i="17"/>
  <c r="T18" i="17"/>
  <c r="V18" i="17" s="1"/>
  <c r="L18" i="17"/>
  <c r="F18" i="17"/>
  <c r="A18" i="17"/>
  <c r="C18" i="17" s="1"/>
  <c r="X17" i="17"/>
  <c r="T17" i="17"/>
  <c r="V17" i="17" s="1"/>
  <c r="L17" i="17"/>
  <c r="F17" i="17"/>
  <c r="B17" i="17"/>
  <c r="AH16" i="17"/>
  <c r="X16" i="17"/>
  <c r="Z6" i="17"/>
  <c r="Y6" i="17"/>
  <c r="X6" i="17"/>
  <c r="W6" i="17"/>
  <c r="U6" i="17"/>
  <c r="T6" i="17"/>
  <c r="V6" i="17" s="1"/>
  <c r="R6" i="17"/>
  <c r="L6" i="17"/>
  <c r="K6" i="17"/>
  <c r="G6" i="17"/>
  <c r="F6" i="17"/>
  <c r="D6" i="17"/>
  <c r="B6" i="17"/>
  <c r="Z4" i="17"/>
  <c r="Y4" i="17"/>
  <c r="X4" i="17"/>
  <c r="W4" i="17"/>
  <c r="U4" i="17"/>
  <c r="T4" i="17"/>
  <c r="V4" i="17" s="1"/>
  <c r="R4" i="17"/>
  <c r="L4" i="17"/>
  <c r="K4" i="17"/>
  <c r="G4" i="17"/>
  <c r="F4" i="17"/>
  <c r="E4" i="17"/>
  <c r="D4" i="17"/>
  <c r="B4" i="17"/>
  <c r="A4" i="17"/>
  <c r="R63" i="16"/>
  <c r="L63" i="16"/>
  <c r="K63" i="16"/>
  <c r="G63" i="16"/>
  <c r="F63" i="16"/>
  <c r="E63" i="16"/>
  <c r="D63" i="16"/>
  <c r="B63" i="16"/>
  <c r="A63" i="16"/>
  <c r="C63" i="16" s="1"/>
  <c r="R62" i="16"/>
  <c r="L62" i="16"/>
  <c r="K62" i="16"/>
  <c r="G62" i="16"/>
  <c r="F62" i="16"/>
  <c r="E62" i="16"/>
  <c r="D62" i="16"/>
  <c r="B62" i="16"/>
  <c r="A62" i="16"/>
  <c r="C62" i="16" s="1"/>
  <c r="L61" i="16"/>
  <c r="G61" i="16"/>
  <c r="E61" i="16"/>
  <c r="B61" i="16"/>
  <c r="R60" i="16"/>
  <c r="K60" i="16"/>
  <c r="E60" i="16"/>
  <c r="F59" i="16"/>
  <c r="B59" i="16"/>
  <c r="L58" i="16"/>
  <c r="E58" i="16"/>
  <c r="A58" i="16"/>
  <c r="C58" i="16" s="1"/>
  <c r="L57" i="16"/>
  <c r="F57" i="16"/>
  <c r="B57" i="16"/>
  <c r="L56" i="16"/>
  <c r="F56" i="16"/>
  <c r="B56" i="16"/>
  <c r="K55" i="16"/>
  <c r="E55" i="16"/>
  <c r="A55" i="16"/>
  <c r="C55" i="16" s="1"/>
  <c r="L54" i="16"/>
  <c r="F54" i="16"/>
  <c r="B54" i="16"/>
  <c r="K53" i="16"/>
  <c r="E53" i="16"/>
  <c r="B53" i="16"/>
  <c r="K52" i="16"/>
  <c r="E52" i="16"/>
  <c r="A52" i="16"/>
  <c r="C52" i="16" s="1"/>
  <c r="K51" i="16"/>
  <c r="E51" i="16"/>
  <c r="A51" i="16"/>
  <c r="C51" i="16" s="1"/>
  <c r="L50" i="16"/>
  <c r="F50" i="16"/>
  <c r="B50" i="16"/>
  <c r="L49" i="16"/>
  <c r="F49" i="16"/>
  <c r="B49" i="16"/>
  <c r="K48" i="16"/>
  <c r="F48" i="16"/>
  <c r="B48" i="16"/>
  <c r="K47" i="16"/>
  <c r="E47" i="16"/>
  <c r="A47" i="16"/>
  <c r="C47" i="16" s="1"/>
  <c r="L46" i="16"/>
  <c r="F46" i="16"/>
  <c r="A46" i="16"/>
  <c r="C46" i="16" s="1"/>
  <c r="L45" i="16"/>
  <c r="F45" i="16"/>
  <c r="A45" i="16"/>
  <c r="C45" i="16" s="1"/>
  <c r="L44" i="16"/>
  <c r="F44" i="16"/>
  <c r="B44" i="16"/>
  <c r="K43" i="16"/>
  <c r="E43" i="16"/>
  <c r="A43" i="16"/>
  <c r="C43" i="16" s="1"/>
  <c r="G42" i="16"/>
  <c r="D42" i="16"/>
  <c r="R41" i="16"/>
  <c r="L41" i="16"/>
  <c r="F41" i="16"/>
  <c r="A41" i="16"/>
  <c r="C41" i="16" s="1"/>
  <c r="L40" i="16"/>
  <c r="F40" i="16"/>
  <c r="B40" i="16"/>
  <c r="K39" i="16"/>
  <c r="E39" i="16"/>
  <c r="B39" i="16"/>
  <c r="G38" i="16"/>
  <c r="D38" i="16"/>
  <c r="R37" i="16"/>
  <c r="G37" i="16"/>
  <c r="D37" i="16"/>
  <c r="R36" i="16"/>
  <c r="G36" i="16"/>
  <c r="D36" i="16"/>
  <c r="R35" i="16"/>
  <c r="L35" i="16"/>
  <c r="F35" i="16"/>
  <c r="B35" i="16"/>
  <c r="L34" i="16"/>
  <c r="F34" i="16"/>
  <c r="B34" i="16"/>
  <c r="Z33" i="16"/>
  <c r="T33" i="16"/>
  <c r="V33" i="16" s="1"/>
  <c r="K33" i="16"/>
  <c r="F33" i="16"/>
  <c r="B33" i="16"/>
  <c r="X32" i="16"/>
  <c r="U32" i="16"/>
  <c r="L32" i="16"/>
  <c r="F32" i="16"/>
  <c r="B32" i="16"/>
  <c r="Y31" i="16"/>
  <c r="U31" i="16"/>
  <c r="K31" i="16"/>
  <c r="E31" i="16"/>
  <c r="B31" i="16"/>
  <c r="X30" i="16"/>
  <c r="U30" i="16"/>
  <c r="L30" i="16"/>
  <c r="F30" i="16"/>
  <c r="A30" i="16"/>
  <c r="C30" i="16" s="1"/>
  <c r="Z29" i="16"/>
  <c r="W29" i="16"/>
  <c r="R29" i="16"/>
  <c r="G29" i="16"/>
  <c r="D29" i="16"/>
  <c r="Z28" i="16"/>
  <c r="W28" i="16"/>
  <c r="R28" i="16"/>
  <c r="G28" i="16"/>
  <c r="D28" i="16"/>
  <c r="Z27" i="16"/>
  <c r="W27" i="16"/>
  <c r="R27" i="16"/>
  <c r="G27" i="16"/>
  <c r="D27" i="16"/>
  <c r="Z26" i="16"/>
  <c r="W26" i="16"/>
  <c r="R26" i="16"/>
  <c r="G26" i="16"/>
  <c r="D26" i="16"/>
  <c r="Z25" i="16"/>
  <c r="W25" i="16"/>
  <c r="R25" i="16"/>
  <c r="G25" i="16"/>
  <c r="D25" i="16"/>
  <c r="Z24" i="16"/>
  <c r="W24" i="16"/>
  <c r="R24" i="16"/>
  <c r="G24" i="16"/>
  <c r="D24" i="16"/>
  <c r="Z23" i="16"/>
  <c r="W23" i="16"/>
  <c r="R23" i="16"/>
  <c r="G23" i="16"/>
  <c r="D23" i="16"/>
  <c r="Z22" i="16"/>
  <c r="W22" i="16"/>
  <c r="R22" i="16"/>
  <c r="G22" i="16"/>
  <c r="D22" i="16"/>
  <c r="Z21" i="16"/>
  <c r="T21" i="16"/>
  <c r="V21" i="16" s="1"/>
  <c r="L21" i="16"/>
  <c r="F21" i="16"/>
  <c r="A21" i="16"/>
  <c r="C21" i="16" s="1"/>
  <c r="Y20" i="16"/>
  <c r="T20" i="16"/>
  <c r="V20" i="16" s="1"/>
  <c r="K20" i="16"/>
  <c r="E20" i="16"/>
  <c r="Z19" i="16"/>
  <c r="W19" i="16"/>
  <c r="R19" i="16"/>
  <c r="G19" i="16"/>
  <c r="B19" i="16"/>
  <c r="X18" i="16"/>
  <c r="T18" i="16"/>
  <c r="V18" i="16" s="1"/>
  <c r="K18" i="16"/>
  <c r="E18" i="16"/>
  <c r="Z17" i="16"/>
  <c r="W17" i="16"/>
  <c r="L17" i="16"/>
  <c r="F17" i="16"/>
  <c r="B17" i="16"/>
  <c r="AH16" i="16"/>
  <c r="Y16" i="16"/>
  <c r="T16" i="16"/>
  <c r="V16" i="16" s="1"/>
  <c r="K16" i="16"/>
  <c r="E16" i="16"/>
  <c r="Z15" i="16"/>
  <c r="X15" i="16"/>
  <c r="W15" i="16"/>
  <c r="T15" i="16"/>
  <c r="V15" i="16" s="1"/>
  <c r="R15" i="16"/>
  <c r="L15" i="16"/>
  <c r="G15" i="16"/>
  <c r="F15" i="16"/>
  <c r="D15" i="16"/>
  <c r="B15" i="16"/>
  <c r="A15" i="16"/>
  <c r="C15" i="16" s="1"/>
  <c r="Z13" i="16"/>
  <c r="Y13" i="16"/>
  <c r="X13" i="16"/>
  <c r="W13" i="16"/>
  <c r="U13" i="16"/>
  <c r="T13" i="16"/>
  <c r="V13" i="16" s="1"/>
  <c r="R13" i="16"/>
  <c r="L13" i="16"/>
  <c r="K13" i="16"/>
  <c r="G13" i="16"/>
  <c r="F13" i="16"/>
  <c r="E13" i="16"/>
  <c r="B13" i="16"/>
  <c r="A13" i="16"/>
  <c r="C13" i="16" s="1"/>
  <c r="Z11" i="16"/>
  <c r="Y11" i="16"/>
  <c r="X11" i="16"/>
  <c r="W11" i="16"/>
  <c r="U11" i="16"/>
  <c r="R11" i="16"/>
  <c r="K11" i="16"/>
  <c r="F11" i="16"/>
  <c r="D11" i="16"/>
  <c r="A11" i="16"/>
  <c r="Z8" i="16"/>
  <c r="Y8" i="16"/>
  <c r="X8" i="16"/>
  <c r="W8" i="16"/>
  <c r="U8" i="16"/>
  <c r="T8" i="16"/>
  <c r="V8" i="16" s="1"/>
  <c r="R8" i="16"/>
  <c r="L8" i="16"/>
  <c r="K8" i="16"/>
  <c r="G8" i="16"/>
  <c r="F8" i="16"/>
  <c r="E8" i="16"/>
  <c r="D8" i="16"/>
  <c r="B8" i="16"/>
  <c r="A8" i="16"/>
  <c r="C8" i="16" s="1"/>
  <c r="Z6" i="16"/>
  <c r="Y6" i="16"/>
  <c r="X6" i="16"/>
  <c r="W6" i="16"/>
  <c r="U6" i="16"/>
  <c r="T6" i="16"/>
  <c r="V6" i="16" s="1"/>
  <c r="R6" i="16"/>
  <c r="L6" i="16"/>
  <c r="K6" i="16"/>
  <c r="G6" i="16"/>
  <c r="E6" i="16"/>
  <c r="D6" i="16"/>
  <c r="B6" i="16"/>
  <c r="A6" i="16"/>
  <c r="C6" i="16" s="1"/>
  <c r="Z4" i="16"/>
  <c r="Y4" i="16"/>
  <c r="X4" i="16"/>
  <c r="W4" i="16"/>
  <c r="U4" i="16"/>
  <c r="T4" i="16"/>
  <c r="V4" i="16" s="1"/>
  <c r="R4" i="16"/>
  <c r="L4" i="16"/>
  <c r="K4" i="16"/>
  <c r="G4" i="16"/>
  <c r="F4" i="16"/>
  <c r="E4" i="16"/>
  <c r="D4" i="16"/>
  <c r="B4" i="16"/>
  <c r="A4" i="16"/>
  <c r="R63" i="15"/>
  <c r="L63" i="15"/>
  <c r="K63" i="15"/>
  <c r="G63" i="15"/>
  <c r="F63" i="15"/>
  <c r="E63" i="15"/>
  <c r="D63" i="15"/>
  <c r="B63" i="15"/>
  <c r="A63" i="15"/>
  <c r="C63" i="15" s="1"/>
  <c r="R62" i="15"/>
  <c r="L62" i="15"/>
  <c r="K62" i="15"/>
  <c r="G62" i="15"/>
  <c r="E62" i="15"/>
  <c r="B62" i="15"/>
  <c r="R61" i="15"/>
  <c r="K61" i="15"/>
  <c r="G61" i="15"/>
  <c r="E61" i="15"/>
  <c r="A61" i="15"/>
  <c r="C61" i="15" s="1"/>
  <c r="L60" i="15"/>
  <c r="G60" i="15"/>
  <c r="E60" i="15"/>
  <c r="B60" i="15"/>
  <c r="R59" i="15"/>
  <c r="K59" i="15"/>
  <c r="F59" i="15"/>
  <c r="D59" i="15"/>
  <c r="A59" i="15"/>
  <c r="C59" i="15" s="1"/>
  <c r="L58" i="15"/>
  <c r="F58" i="15"/>
  <c r="D58" i="15"/>
  <c r="A58" i="15"/>
  <c r="C58" i="15" s="1"/>
  <c r="L57" i="15"/>
  <c r="G57" i="15"/>
  <c r="D57" i="15"/>
  <c r="A57" i="15"/>
  <c r="C57" i="15" s="1"/>
  <c r="L56" i="15"/>
  <c r="G56" i="15"/>
  <c r="E56" i="15"/>
  <c r="B56" i="15"/>
  <c r="K55" i="15"/>
  <c r="D55" i="15"/>
  <c r="A55" i="15"/>
  <c r="C55" i="15" s="1"/>
  <c r="G54" i="15"/>
  <c r="B54" i="15"/>
  <c r="L53" i="15"/>
  <c r="F53" i="15"/>
  <c r="A53" i="15"/>
  <c r="C53" i="15" s="1"/>
  <c r="L52" i="15"/>
  <c r="E52" i="15"/>
  <c r="A52" i="15"/>
  <c r="C52" i="15" s="1"/>
  <c r="K51" i="15"/>
  <c r="D51" i="15"/>
  <c r="R50" i="15"/>
  <c r="G50" i="15"/>
  <c r="B50" i="15"/>
  <c r="L49" i="15"/>
  <c r="F49" i="15"/>
  <c r="B49" i="15"/>
  <c r="K48" i="15"/>
  <c r="E48" i="15"/>
  <c r="R47" i="15"/>
  <c r="G47" i="15"/>
  <c r="D47" i="15"/>
  <c r="L46" i="15"/>
  <c r="F46" i="15"/>
  <c r="B46" i="15"/>
  <c r="K45" i="15"/>
  <c r="E45" i="15"/>
  <c r="B45" i="15"/>
  <c r="K44" i="15"/>
  <c r="E44" i="15"/>
  <c r="A44" i="15"/>
  <c r="C44" i="15" s="1"/>
  <c r="G43" i="15"/>
  <c r="D43" i="15"/>
  <c r="L42" i="15"/>
  <c r="F42" i="15"/>
  <c r="B42" i="15"/>
  <c r="K41" i="15"/>
  <c r="E41" i="15"/>
  <c r="A41" i="15"/>
  <c r="C41" i="15" s="1"/>
  <c r="G40" i="15"/>
  <c r="D40" i="15"/>
  <c r="L39" i="15"/>
  <c r="F39" i="15"/>
  <c r="A39" i="15"/>
  <c r="C39" i="15" s="1"/>
  <c r="F38" i="15"/>
  <c r="B38" i="15"/>
  <c r="L37" i="15"/>
  <c r="G37" i="15"/>
  <c r="D37" i="15"/>
  <c r="B37" i="15"/>
  <c r="K36" i="15"/>
  <c r="G36" i="15"/>
  <c r="D36" i="15"/>
  <c r="A36" i="15"/>
  <c r="C36" i="15" s="1"/>
  <c r="L35" i="15"/>
  <c r="G35" i="15"/>
  <c r="D35" i="15"/>
  <c r="A35" i="15"/>
  <c r="C35" i="15" s="1"/>
  <c r="K34" i="15"/>
  <c r="F34" i="15"/>
  <c r="E34" i="15"/>
  <c r="A34" i="15"/>
  <c r="C34" i="15" s="1"/>
  <c r="X33" i="15"/>
  <c r="T33" i="15"/>
  <c r="V33" i="15" s="1"/>
  <c r="G33" i="15"/>
  <c r="D33" i="15"/>
  <c r="A33" i="15"/>
  <c r="C33" i="15" s="1"/>
  <c r="W32" i="15"/>
  <c r="R32" i="15"/>
  <c r="G32" i="15"/>
  <c r="D32" i="15"/>
  <c r="Z31" i="15"/>
  <c r="U31" i="15"/>
  <c r="L31" i="15"/>
  <c r="Y30" i="15"/>
  <c r="D28" i="15"/>
  <c r="Z27" i="15"/>
  <c r="W27" i="15"/>
  <c r="L27" i="15"/>
  <c r="F27" i="15"/>
  <c r="A27" i="15"/>
  <c r="C27" i="15" s="1"/>
  <c r="W26" i="15"/>
  <c r="R26" i="15"/>
  <c r="K26" i="15"/>
  <c r="D26" i="15"/>
  <c r="Z25" i="15"/>
  <c r="U25" i="15"/>
  <c r="L25" i="15"/>
  <c r="F25" i="15"/>
  <c r="A25" i="15"/>
  <c r="C25" i="15" s="1"/>
  <c r="X24" i="15"/>
  <c r="U24" i="15"/>
  <c r="K24" i="15"/>
  <c r="E24" i="15"/>
  <c r="A24" i="15"/>
  <c r="C24" i="15" s="1"/>
  <c r="W23" i="15"/>
  <c r="R23" i="15"/>
  <c r="G23" i="15"/>
  <c r="B23" i="15"/>
  <c r="Y22" i="15"/>
  <c r="R22" i="15"/>
  <c r="G22" i="15"/>
  <c r="D22" i="15"/>
  <c r="Y21" i="15"/>
  <c r="U21" i="15"/>
  <c r="L21" i="15"/>
  <c r="E21" i="15"/>
  <c r="A21" i="15"/>
  <c r="C21" i="15" s="1"/>
  <c r="X20" i="15"/>
  <c r="R20" i="15"/>
  <c r="G20" i="15"/>
  <c r="B20" i="15"/>
  <c r="Y19" i="15"/>
  <c r="U19" i="15"/>
  <c r="K19" i="15"/>
  <c r="E19" i="15"/>
  <c r="A19" i="15"/>
  <c r="C19" i="15" s="1"/>
  <c r="W18" i="15"/>
  <c r="R18" i="15"/>
  <c r="F18" i="15"/>
  <c r="B18" i="15"/>
  <c r="Y17" i="15"/>
  <c r="U17" i="15"/>
  <c r="G17" i="15"/>
  <c r="D17" i="15"/>
  <c r="Y16" i="15"/>
  <c r="U16" i="15"/>
  <c r="L16" i="15"/>
  <c r="E16" i="15"/>
  <c r="A16" i="15"/>
  <c r="C16" i="15" s="1"/>
  <c r="Z15" i="15"/>
  <c r="Y15" i="15"/>
  <c r="X15" i="15"/>
  <c r="U15" i="15"/>
  <c r="T15" i="15"/>
  <c r="V15" i="15" s="1"/>
  <c r="R15" i="15"/>
  <c r="K15" i="15"/>
  <c r="G15" i="15"/>
  <c r="F15" i="15"/>
  <c r="D15" i="15"/>
  <c r="B15" i="15"/>
  <c r="A15" i="15"/>
  <c r="C15" i="15" s="1"/>
  <c r="Z13" i="15"/>
  <c r="Y13" i="15"/>
  <c r="X13" i="15"/>
  <c r="W13" i="15"/>
  <c r="U13" i="15"/>
  <c r="T13" i="15"/>
  <c r="V13" i="15" s="1"/>
  <c r="R13" i="15"/>
  <c r="L13" i="15"/>
  <c r="K13" i="15"/>
  <c r="G13" i="15"/>
  <c r="F13" i="15"/>
  <c r="E13" i="15"/>
  <c r="D13" i="15"/>
  <c r="B13" i="15"/>
  <c r="A13" i="15"/>
  <c r="C13" i="15" s="1"/>
  <c r="Z11" i="15"/>
  <c r="Y11" i="15"/>
  <c r="W11" i="15"/>
  <c r="T11" i="15"/>
  <c r="V11" i="15" s="1"/>
  <c r="L11" i="15"/>
  <c r="G11" i="15"/>
  <c r="E11" i="15"/>
  <c r="B11" i="15"/>
  <c r="Z6" i="15"/>
  <c r="Y6" i="15"/>
  <c r="X6" i="15"/>
  <c r="W6" i="15"/>
  <c r="U6" i="15"/>
  <c r="T6" i="15"/>
  <c r="V6" i="15" s="1"/>
  <c r="R6" i="15"/>
  <c r="L6" i="15"/>
  <c r="K6" i="15"/>
  <c r="G6" i="15"/>
  <c r="F6" i="15"/>
  <c r="E6" i="15"/>
  <c r="D6" i="15"/>
  <c r="B6" i="15"/>
  <c r="A6" i="15"/>
  <c r="Z4" i="15"/>
  <c r="Y4" i="15"/>
  <c r="X4" i="15"/>
  <c r="W4" i="15"/>
  <c r="U4" i="15"/>
  <c r="T4" i="15"/>
  <c r="V4" i="15" s="1"/>
  <c r="R4" i="15"/>
  <c r="L4" i="15"/>
  <c r="K4" i="15"/>
  <c r="G4" i="15"/>
  <c r="F4" i="15"/>
  <c r="E4" i="15"/>
  <c r="D4" i="15"/>
  <c r="B4" i="15"/>
  <c r="A4" i="15"/>
  <c r="R63" i="14"/>
  <c r="L63" i="14"/>
  <c r="K63" i="14"/>
  <c r="G63" i="14"/>
  <c r="F63" i="14"/>
  <c r="E63" i="14"/>
  <c r="D63" i="14"/>
  <c r="B63" i="14"/>
  <c r="A63" i="14"/>
  <c r="C63" i="14" s="1"/>
  <c r="R62" i="14"/>
  <c r="L62" i="14"/>
  <c r="K62" i="14"/>
  <c r="G62" i="14"/>
  <c r="F62" i="14"/>
  <c r="E62" i="14"/>
  <c r="D62" i="14"/>
  <c r="B62" i="14"/>
  <c r="A62" i="14"/>
  <c r="C62" i="14" s="1"/>
  <c r="R61" i="14"/>
  <c r="L61" i="14"/>
  <c r="G61" i="14"/>
  <c r="E61" i="14"/>
  <c r="B61" i="14"/>
  <c r="R60" i="14"/>
  <c r="G60" i="14"/>
  <c r="E60" i="14"/>
  <c r="A60" i="14"/>
  <c r="C60" i="14" s="1"/>
  <c r="K59" i="14"/>
  <c r="E59" i="14"/>
  <c r="A59" i="14"/>
  <c r="C59" i="14" s="1"/>
  <c r="K58" i="14"/>
  <c r="E58" i="14"/>
  <c r="R57" i="14"/>
  <c r="G57" i="14"/>
  <c r="D57" i="14"/>
  <c r="R56" i="14"/>
  <c r="G56" i="14"/>
  <c r="D56" i="14"/>
  <c r="R55" i="14"/>
  <c r="G55" i="14"/>
  <c r="B55" i="14"/>
  <c r="L54" i="14"/>
  <c r="E54" i="14"/>
  <c r="A54" i="14"/>
  <c r="C54" i="14" s="1"/>
  <c r="K53" i="14"/>
  <c r="D53" i="14"/>
  <c r="R52" i="14"/>
  <c r="G52" i="14"/>
  <c r="B52" i="14"/>
  <c r="L51" i="14"/>
  <c r="E51" i="14"/>
  <c r="A51" i="14"/>
  <c r="C51" i="14" s="1"/>
  <c r="G50" i="14"/>
  <c r="D50" i="14"/>
  <c r="R49" i="14"/>
  <c r="F49" i="14"/>
  <c r="B49" i="14"/>
  <c r="L48" i="14"/>
  <c r="E48" i="14"/>
  <c r="A48" i="14"/>
  <c r="C48" i="14" s="1"/>
  <c r="K47" i="14"/>
  <c r="D47" i="14"/>
  <c r="R46" i="14"/>
  <c r="G46" i="14"/>
  <c r="B46" i="14"/>
  <c r="L45" i="14"/>
  <c r="E45" i="14"/>
  <c r="A45" i="14"/>
  <c r="C45" i="14" s="1"/>
  <c r="K44" i="14"/>
  <c r="D44" i="14"/>
  <c r="R43" i="14"/>
  <c r="G43" i="14"/>
  <c r="D43" i="14"/>
  <c r="L42" i="14"/>
  <c r="F42" i="14"/>
  <c r="B42" i="14"/>
  <c r="F41" i="14"/>
  <c r="B41" i="14"/>
  <c r="L40" i="14"/>
  <c r="F40" i="14"/>
  <c r="A40" i="14"/>
  <c r="C40" i="14" s="1"/>
  <c r="K39" i="14"/>
  <c r="F39" i="14"/>
  <c r="A39" i="14"/>
  <c r="C39" i="14" s="1"/>
  <c r="K38" i="14"/>
  <c r="E38" i="14"/>
  <c r="R37" i="14"/>
  <c r="G37" i="14"/>
  <c r="B37" i="14"/>
  <c r="L36" i="14"/>
  <c r="E36" i="14"/>
  <c r="A36" i="14"/>
  <c r="C36" i="14" s="1"/>
  <c r="K35" i="14"/>
  <c r="E35" i="14"/>
  <c r="A35" i="14"/>
  <c r="C35" i="14" s="1"/>
  <c r="K34" i="14"/>
  <c r="D34" i="14"/>
  <c r="A34" i="14"/>
  <c r="C34" i="14" s="1"/>
  <c r="W33" i="14"/>
  <c r="R33" i="14"/>
  <c r="D58" i="13"/>
  <c r="Q57" i="13"/>
  <c r="K57" i="13"/>
  <c r="F57" i="13"/>
  <c r="D57" i="13"/>
  <c r="A57" i="13"/>
  <c r="C57" i="13" s="1"/>
  <c r="K56" i="13"/>
  <c r="F56" i="13"/>
  <c r="D56" i="13"/>
  <c r="A56" i="13"/>
  <c r="C56" i="13" s="1"/>
  <c r="K55" i="13"/>
  <c r="F55" i="13"/>
  <c r="D55" i="13"/>
  <c r="A55" i="13"/>
  <c r="C55" i="13" s="1"/>
  <c r="K54" i="13"/>
  <c r="F54" i="13"/>
  <c r="D54" i="13"/>
  <c r="A54" i="13"/>
  <c r="C54" i="13" s="1"/>
  <c r="K53" i="13"/>
  <c r="F53" i="13"/>
  <c r="D53" i="13"/>
  <c r="A53" i="13"/>
  <c r="C53" i="13" s="1"/>
  <c r="K52" i="13"/>
  <c r="F52" i="13"/>
  <c r="D52" i="13"/>
  <c r="A52" i="13"/>
  <c r="C52" i="13" s="1"/>
  <c r="K51" i="13"/>
  <c r="F51" i="13"/>
  <c r="D51" i="13"/>
  <c r="A51" i="13"/>
  <c r="C51" i="13" s="1"/>
  <c r="K50" i="13"/>
  <c r="F50" i="13"/>
  <c r="D50" i="13"/>
  <c r="B50" i="13"/>
  <c r="K49" i="13"/>
  <c r="F49" i="13"/>
  <c r="D49" i="13"/>
  <c r="A49" i="13"/>
  <c r="C49" i="13" s="1"/>
  <c r="K48" i="13"/>
  <c r="F48" i="13"/>
  <c r="D48" i="13"/>
  <c r="A48" i="13"/>
  <c r="C48" i="13" s="1"/>
  <c r="K47" i="13"/>
  <c r="F47" i="13"/>
  <c r="D47" i="13"/>
  <c r="A47" i="13"/>
  <c r="C47" i="13" s="1"/>
  <c r="K46" i="13"/>
  <c r="F46" i="13"/>
  <c r="D46" i="13"/>
  <c r="Q45" i="13"/>
  <c r="F45" i="13"/>
  <c r="B45" i="13"/>
  <c r="K44" i="13"/>
  <c r="E44" i="13"/>
  <c r="B44" i="13"/>
  <c r="G43" i="13"/>
  <c r="D43" i="13"/>
  <c r="Q42" i="13"/>
  <c r="F42" i="13"/>
  <c r="B42" i="13"/>
  <c r="K41" i="13"/>
  <c r="E41" i="13"/>
  <c r="A41" i="13"/>
  <c r="C41" i="13" s="1"/>
  <c r="G40" i="13"/>
  <c r="D40" i="13"/>
  <c r="Q39" i="13"/>
  <c r="G39" i="13"/>
  <c r="D39" i="13"/>
  <c r="Q38" i="13"/>
  <c r="F38" i="13"/>
  <c r="B38" i="13"/>
  <c r="K37" i="13"/>
  <c r="E37" i="13"/>
  <c r="A37" i="13"/>
  <c r="C37" i="13" s="1"/>
  <c r="G36" i="13"/>
  <c r="D36" i="13"/>
  <c r="Q35" i="13"/>
  <c r="G35" i="13"/>
  <c r="D35" i="13"/>
  <c r="Q34" i="13"/>
  <c r="F34" i="13"/>
  <c r="B34" i="13"/>
  <c r="X33" i="13"/>
  <c r="V33" i="13"/>
  <c r="S33" i="13"/>
  <c r="U33" i="13" s="1"/>
  <c r="G33" i="13"/>
  <c r="D33" i="13"/>
  <c r="Y32" i="13"/>
  <c r="V32" i="13"/>
  <c r="Q32" i="13"/>
  <c r="F32" i="13"/>
  <c r="B32" i="13"/>
  <c r="X31" i="13"/>
  <c r="T31" i="13"/>
  <c r="K31" i="13"/>
  <c r="F31" i="13"/>
  <c r="D31" i="13"/>
  <c r="A31" i="13"/>
  <c r="C31" i="13" s="1"/>
  <c r="W30" i="13"/>
  <c r="T30" i="13"/>
  <c r="K30" i="13"/>
  <c r="E30" i="13"/>
  <c r="A30" i="13"/>
  <c r="C30" i="13" s="1"/>
  <c r="W29" i="13"/>
  <c r="S29" i="13"/>
  <c r="U29" i="13" s="1"/>
  <c r="G29" i="13"/>
  <c r="D29" i="13"/>
  <c r="Y28" i="13"/>
  <c r="T28" i="13"/>
  <c r="K28" i="13"/>
  <c r="E28" i="13"/>
  <c r="A28" i="13"/>
  <c r="C28" i="13" s="1"/>
  <c r="W27" i="13"/>
  <c r="T27" i="13"/>
  <c r="K27" i="13"/>
  <c r="E27" i="13"/>
  <c r="A27" i="13"/>
  <c r="C27" i="13" s="1"/>
  <c r="V26" i="13"/>
  <c r="S26" i="13"/>
  <c r="U26" i="13" s="1"/>
  <c r="G26" i="13"/>
  <c r="A26" i="13"/>
  <c r="C26" i="13" s="1"/>
  <c r="W25" i="13"/>
  <c r="S25" i="13"/>
  <c r="U25" i="13" s="1"/>
  <c r="K25" i="13"/>
  <c r="E25" i="13"/>
  <c r="A25" i="13"/>
  <c r="C25" i="13" s="1"/>
  <c r="V24" i="13"/>
  <c r="Q24" i="13"/>
  <c r="E24" i="13"/>
  <c r="A24" i="13"/>
  <c r="C24" i="13" s="1"/>
  <c r="W23" i="13"/>
  <c r="Q23" i="13"/>
  <c r="F23" i="13"/>
  <c r="B23" i="13"/>
  <c r="X22" i="13"/>
  <c r="T22" i="13"/>
  <c r="G22" i="13"/>
  <c r="B22" i="13"/>
  <c r="X21" i="13"/>
  <c r="S21" i="13"/>
  <c r="U21" i="13" s="1"/>
  <c r="F21" i="13"/>
  <c r="B21" i="13"/>
  <c r="Y20" i="13"/>
  <c r="T20" i="13"/>
  <c r="K20" i="13"/>
  <c r="D20" i="13"/>
  <c r="Y19" i="13"/>
  <c r="S19" i="13"/>
  <c r="U19" i="13" s="1"/>
  <c r="K19" i="13"/>
  <c r="E19" i="13"/>
  <c r="Y18" i="13"/>
  <c r="V18" i="13"/>
  <c r="K18" i="13"/>
  <c r="E18" i="13"/>
  <c r="Y17" i="13"/>
  <c r="V17" i="13"/>
  <c r="F17" i="13"/>
  <c r="B17" i="13"/>
  <c r="V16" i="13"/>
  <c r="Q16" i="13"/>
  <c r="F16" i="13"/>
  <c r="A16" i="13"/>
  <c r="C16" i="13" s="1"/>
  <c r="X15" i="13"/>
  <c r="V15" i="13"/>
  <c r="S15" i="13"/>
  <c r="U15" i="13" s="1"/>
  <c r="K15" i="13"/>
  <c r="F15" i="13"/>
  <c r="D15" i="13"/>
  <c r="A15" i="13"/>
  <c r="C15" i="13" s="1"/>
  <c r="Y13" i="13"/>
  <c r="X13" i="13"/>
  <c r="W13" i="13"/>
  <c r="V13" i="13"/>
  <c r="T13" i="13"/>
  <c r="S13" i="13"/>
  <c r="U13" i="13" s="1"/>
  <c r="Q13" i="13"/>
  <c r="K13" i="13"/>
  <c r="G13" i="13"/>
  <c r="F13" i="13"/>
  <c r="E13" i="13"/>
  <c r="D13" i="13"/>
  <c r="B13" i="13"/>
  <c r="A13" i="13"/>
  <c r="C13" i="13" s="1"/>
  <c r="Y11" i="13"/>
  <c r="X11" i="13"/>
  <c r="W11" i="13"/>
  <c r="V11" i="13"/>
  <c r="T11" i="13"/>
  <c r="S11" i="13"/>
  <c r="U11" i="13" s="1"/>
  <c r="Q11" i="13"/>
  <c r="K11" i="13"/>
  <c r="G11" i="13"/>
  <c r="F11" i="13"/>
  <c r="E11" i="13"/>
  <c r="D11" i="13"/>
  <c r="B11" i="13"/>
  <c r="A11" i="13"/>
  <c r="C11" i="13" s="1"/>
  <c r="Y9" i="13"/>
  <c r="X9" i="13"/>
  <c r="W9" i="13"/>
  <c r="V9" i="13"/>
  <c r="T9" i="13"/>
  <c r="S9" i="13"/>
  <c r="U9" i="13" s="1"/>
  <c r="Q9" i="13"/>
  <c r="K9" i="13"/>
  <c r="G9" i="13"/>
  <c r="F9" i="13"/>
  <c r="E9" i="13"/>
  <c r="D9" i="13"/>
  <c r="B9" i="13"/>
  <c r="A9" i="13"/>
  <c r="Y7" i="13"/>
  <c r="X7" i="13"/>
  <c r="W7" i="13"/>
  <c r="V7" i="13"/>
  <c r="T7" i="13"/>
  <c r="S7" i="13"/>
  <c r="U7" i="13" s="1"/>
  <c r="Q7" i="13"/>
  <c r="K7" i="13"/>
  <c r="G7" i="13"/>
  <c r="F7" i="13"/>
  <c r="E7" i="13"/>
  <c r="D7" i="13"/>
  <c r="B7" i="13"/>
  <c r="A7" i="13"/>
  <c r="B5" i="13"/>
  <c r="Y4" i="13"/>
  <c r="X4" i="13"/>
  <c r="W4" i="13"/>
  <c r="V4" i="13"/>
  <c r="T4" i="13"/>
  <c r="Q4" i="13"/>
  <c r="K4" i="13"/>
  <c r="G4" i="13"/>
  <c r="F4" i="13"/>
  <c r="E4" i="13"/>
  <c r="B4" i="13"/>
  <c r="A4" i="13"/>
  <c r="Q63" i="12"/>
  <c r="K63" i="12"/>
  <c r="G63" i="12"/>
  <c r="E63" i="12"/>
  <c r="D63" i="12"/>
  <c r="B63" i="12"/>
  <c r="Q62" i="12"/>
  <c r="K62" i="12"/>
  <c r="F62" i="12"/>
  <c r="E62" i="12"/>
  <c r="D62" i="12"/>
  <c r="A62" i="12"/>
  <c r="C62" i="12" s="1"/>
  <c r="Q61" i="12"/>
  <c r="K61" i="12"/>
  <c r="F61" i="12"/>
  <c r="E61" i="12"/>
  <c r="B61" i="12"/>
  <c r="A61" i="12"/>
  <c r="C61" i="12" s="1"/>
  <c r="Q60" i="12"/>
  <c r="G60" i="12"/>
  <c r="F60" i="12"/>
  <c r="D60" i="12"/>
  <c r="B60" i="12"/>
  <c r="Q59" i="12"/>
  <c r="K59" i="12"/>
  <c r="G59" i="12"/>
  <c r="E59" i="12"/>
  <c r="D59" i="12"/>
  <c r="A59" i="12"/>
  <c r="C59" i="12" s="1"/>
  <c r="Q58" i="12"/>
  <c r="K58" i="12"/>
  <c r="F58" i="12"/>
  <c r="E58" i="12"/>
  <c r="B58" i="12"/>
  <c r="A58" i="12"/>
  <c r="C58" i="12" s="1"/>
  <c r="K57" i="12"/>
  <c r="G57" i="12"/>
  <c r="E57" i="12"/>
  <c r="D57" i="12"/>
  <c r="B57" i="12"/>
  <c r="Q56" i="12"/>
  <c r="K56" i="12"/>
  <c r="F56" i="12"/>
  <c r="E56" i="12"/>
  <c r="B56" i="12"/>
  <c r="K55" i="12"/>
  <c r="G55" i="12"/>
  <c r="D55" i="12"/>
  <c r="A55" i="12"/>
  <c r="C55" i="12" s="1"/>
  <c r="G54" i="12"/>
  <c r="E54" i="12"/>
  <c r="B54" i="12"/>
  <c r="K53" i="12"/>
  <c r="F53" i="12"/>
  <c r="B53" i="12"/>
  <c r="Q52" i="12"/>
  <c r="G52" i="12"/>
  <c r="D52" i="12"/>
  <c r="A52" i="12"/>
  <c r="C52" i="12" s="1"/>
  <c r="G51" i="12"/>
  <c r="E51" i="12"/>
  <c r="B51" i="12"/>
  <c r="K50" i="12"/>
  <c r="F50" i="12"/>
  <c r="B50" i="12"/>
  <c r="Q49" i="12"/>
  <c r="F49" i="12"/>
  <c r="D49" i="12"/>
  <c r="A49" i="12"/>
  <c r="C49" i="12" s="1"/>
  <c r="G48" i="12"/>
  <c r="E48" i="12"/>
  <c r="B48" i="12"/>
  <c r="K47" i="12"/>
  <c r="F47" i="12"/>
  <c r="B47" i="12"/>
  <c r="Q46" i="12"/>
  <c r="F46" i="12"/>
  <c r="D46" i="12"/>
  <c r="A46" i="12"/>
  <c r="C46" i="12" s="1"/>
  <c r="G45" i="12"/>
  <c r="E45" i="12"/>
  <c r="A45" i="12"/>
  <c r="C45" i="12" s="1"/>
  <c r="K44" i="12"/>
  <c r="F44" i="12"/>
  <c r="B44" i="12"/>
  <c r="Q43" i="12"/>
  <c r="G43" i="12"/>
  <c r="D43" i="12"/>
  <c r="A43" i="12"/>
  <c r="C43" i="12" s="1"/>
  <c r="G42" i="12"/>
  <c r="E42" i="12"/>
  <c r="Q41" i="12"/>
  <c r="F41" i="12"/>
  <c r="A41" i="12"/>
  <c r="C41" i="12" s="1"/>
  <c r="G40" i="12"/>
  <c r="D40" i="12"/>
  <c r="K39" i="12"/>
  <c r="E39" i="12"/>
  <c r="Q38" i="12"/>
  <c r="G38" i="12"/>
  <c r="B38" i="12"/>
  <c r="F37" i="12"/>
  <c r="A37" i="12"/>
  <c r="C37" i="12" s="1"/>
  <c r="G36" i="12"/>
  <c r="B36" i="12"/>
  <c r="K35" i="12"/>
  <c r="D35" i="12"/>
  <c r="Q34" i="12"/>
  <c r="E34" i="12"/>
  <c r="A34" i="12"/>
  <c r="C34" i="12" s="1"/>
  <c r="W33" i="12"/>
  <c r="Q33" i="12"/>
  <c r="F33" i="12"/>
  <c r="D33" i="12"/>
  <c r="X32" i="12"/>
  <c r="V32" i="12"/>
  <c r="K32" i="12"/>
  <c r="E32" i="12"/>
  <c r="A32" i="12"/>
  <c r="C32" i="12" s="1"/>
  <c r="V31" i="12"/>
  <c r="Q31" i="12"/>
  <c r="F31" i="12"/>
  <c r="A31" i="12"/>
  <c r="C31" i="12" s="1"/>
  <c r="W30" i="12"/>
  <c r="S30" i="12"/>
  <c r="U30" i="12" s="1"/>
  <c r="F30" i="12"/>
  <c r="B30" i="12"/>
  <c r="W29" i="12"/>
  <c r="S29" i="12"/>
  <c r="U29" i="12" s="1"/>
  <c r="F29" i="12"/>
  <c r="B29" i="12"/>
  <c r="X28" i="12"/>
  <c r="S28" i="12"/>
  <c r="U28" i="12" s="1"/>
  <c r="F28" i="12"/>
  <c r="B28" i="12"/>
  <c r="X27" i="12"/>
  <c r="S27" i="12"/>
  <c r="U27" i="12" s="1"/>
  <c r="F27" i="12"/>
  <c r="B27" i="12"/>
  <c r="W26" i="12"/>
  <c r="S26" i="12"/>
  <c r="U26" i="12" s="1"/>
  <c r="G26" i="12"/>
  <c r="B26" i="12"/>
  <c r="X25" i="12"/>
  <c r="S25" i="12"/>
  <c r="U25" i="12" s="1"/>
  <c r="G25" i="12"/>
  <c r="B25" i="12"/>
  <c r="X24" i="12"/>
  <c r="T24" i="12"/>
  <c r="G24" i="12"/>
  <c r="D24" i="12"/>
  <c r="Y23" i="12"/>
  <c r="T23" i="12"/>
  <c r="K23" i="12"/>
  <c r="D23" i="12"/>
  <c r="Y22" i="12"/>
  <c r="V22" i="12"/>
  <c r="K22" i="12"/>
  <c r="E22" i="12"/>
  <c r="Y21" i="12"/>
  <c r="V21" i="12"/>
  <c r="Q21" i="12"/>
  <c r="F21" i="12"/>
  <c r="B21" i="12"/>
  <c r="X20" i="12"/>
  <c r="S20" i="12"/>
  <c r="U20" i="12" s="1"/>
  <c r="K20" i="12"/>
  <c r="D20" i="12"/>
  <c r="Y19" i="12"/>
  <c r="V19" i="12"/>
  <c r="K19" i="12"/>
  <c r="E19" i="12"/>
  <c r="Y18" i="12"/>
  <c r="V18" i="12"/>
  <c r="Q18" i="12"/>
  <c r="E18" i="12"/>
  <c r="A18" i="12"/>
  <c r="C18" i="12" s="1"/>
  <c r="W17" i="12"/>
  <c r="Q17" i="12"/>
  <c r="F17" i="12"/>
  <c r="B17" i="12"/>
  <c r="AG16" i="12"/>
  <c r="X16" i="12"/>
  <c r="Q16" i="12"/>
  <c r="F16" i="12"/>
  <c r="B16" i="12"/>
  <c r="Y14" i="12"/>
  <c r="X14" i="12"/>
  <c r="W14" i="12"/>
  <c r="V14" i="12"/>
  <c r="T14" i="12"/>
  <c r="S14" i="12"/>
  <c r="U14" i="12" s="1"/>
  <c r="Q14" i="12"/>
  <c r="K14" i="12"/>
  <c r="G14" i="12"/>
  <c r="F14" i="12"/>
  <c r="E14" i="12"/>
  <c r="D14" i="12"/>
  <c r="B14" i="12"/>
  <c r="A14" i="12"/>
  <c r="Y11" i="12"/>
  <c r="W11" i="12"/>
  <c r="T11" i="12"/>
  <c r="Q11" i="12"/>
  <c r="G11" i="12"/>
  <c r="E11" i="12"/>
  <c r="B11" i="12"/>
  <c r="Y9" i="12"/>
  <c r="X9" i="12"/>
  <c r="W9" i="12"/>
  <c r="V9" i="12"/>
  <c r="T9" i="12"/>
  <c r="S9" i="12"/>
  <c r="U9" i="12" s="1"/>
  <c r="Q9" i="12"/>
  <c r="K9" i="12"/>
  <c r="G9" i="12"/>
  <c r="F9" i="12"/>
  <c r="E9" i="12"/>
  <c r="D9" i="12"/>
  <c r="B9" i="12"/>
  <c r="A9" i="12"/>
  <c r="Y7" i="12"/>
  <c r="X7" i="12"/>
  <c r="W7" i="12"/>
  <c r="V7" i="12"/>
  <c r="T7" i="12"/>
  <c r="S7" i="12"/>
  <c r="U7" i="12" s="1"/>
  <c r="Q7" i="12"/>
  <c r="K7" i="12"/>
  <c r="G7" i="12"/>
  <c r="F7" i="12"/>
  <c r="E7" i="12"/>
  <c r="D7" i="12"/>
  <c r="B7" i="12"/>
  <c r="A7" i="12"/>
  <c r="A5" i="12"/>
  <c r="G44" i="10"/>
  <c r="B44" i="10"/>
  <c r="G43" i="10"/>
  <c r="D43" i="10"/>
  <c r="L42" i="10"/>
  <c r="F42" i="10"/>
  <c r="B42" i="10"/>
  <c r="K41" i="10"/>
  <c r="E41" i="10"/>
  <c r="R40" i="10"/>
  <c r="G40" i="10"/>
  <c r="B40" i="10"/>
  <c r="K39" i="10"/>
  <c r="D39" i="10"/>
  <c r="R38" i="10"/>
  <c r="G38" i="10"/>
  <c r="B38" i="10"/>
  <c r="L37" i="10"/>
  <c r="E37" i="10"/>
  <c r="A37" i="10"/>
  <c r="C37" i="10" s="1"/>
  <c r="L36" i="10"/>
  <c r="F36" i="10"/>
  <c r="A36" i="10"/>
  <c r="C36" i="10" s="1"/>
  <c r="K35" i="10"/>
  <c r="D35" i="10"/>
  <c r="L34" i="10"/>
  <c r="E34" i="10"/>
  <c r="A34" i="10"/>
  <c r="C34" i="10" s="1"/>
  <c r="L33" i="10"/>
  <c r="F33" i="10"/>
  <c r="X32" i="10"/>
  <c r="T32" i="10"/>
  <c r="V32" i="10" s="1"/>
  <c r="K32" i="10"/>
  <c r="D32" i="10"/>
  <c r="Z31" i="10"/>
  <c r="U31" i="10"/>
  <c r="K31" i="10"/>
  <c r="E31" i="10"/>
  <c r="Y30" i="10"/>
  <c r="U30" i="10"/>
  <c r="K30" i="10"/>
  <c r="D30" i="10"/>
  <c r="Z29" i="10"/>
  <c r="U29" i="10"/>
  <c r="L29" i="10"/>
  <c r="E29" i="10"/>
  <c r="Z28" i="10"/>
  <c r="W28" i="10"/>
  <c r="L28" i="10"/>
  <c r="E28" i="10"/>
  <c r="Z27" i="10"/>
  <c r="U27" i="10"/>
  <c r="K27" i="10"/>
  <c r="D27" i="10"/>
  <c r="Z26" i="10"/>
  <c r="U26" i="10"/>
  <c r="K26" i="10"/>
  <c r="E26" i="10"/>
  <c r="Z25" i="10"/>
  <c r="U25" i="10"/>
  <c r="K25" i="10"/>
  <c r="E25" i="10"/>
  <c r="Z24" i="10"/>
  <c r="U24" i="10"/>
  <c r="K24" i="10"/>
  <c r="D24" i="10"/>
  <c r="Z23" i="10"/>
  <c r="T23" i="10"/>
  <c r="V23" i="10" s="1"/>
  <c r="K23" i="10"/>
  <c r="D23" i="10"/>
  <c r="Y22" i="10"/>
  <c r="U22" i="10"/>
  <c r="L22" i="10"/>
  <c r="E22" i="10"/>
  <c r="Z21" i="10"/>
  <c r="U21" i="10"/>
  <c r="L21" i="10"/>
  <c r="D21" i="10"/>
  <c r="Z20" i="10"/>
  <c r="U20" i="10"/>
  <c r="K20" i="10"/>
  <c r="E20" i="10"/>
  <c r="Y19" i="10"/>
  <c r="U19" i="10"/>
  <c r="K19" i="10"/>
  <c r="D19" i="10"/>
  <c r="Z18" i="10"/>
  <c r="U18" i="10"/>
  <c r="K18" i="10"/>
  <c r="E18" i="10"/>
  <c r="A18" i="10"/>
  <c r="C18" i="10" s="1"/>
  <c r="Y17" i="10"/>
  <c r="U17" i="10"/>
  <c r="K17" i="10"/>
  <c r="E17" i="10"/>
  <c r="AH16" i="10"/>
  <c r="X16" i="10"/>
  <c r="U16" i="10"/>
  <c r="K16" i="10"/>
  <c r="D16" i="10"/>
  <c r="D10" i="10"/>
  <c r="A10" i="10"/>
  <c r="C10" i="10" s="1"/>
  <c r="Z7" i="10"/>
  <c r="Y7" i="10"/>
  <c r="X7" i="10"/>
  <c r="W7" i="10"/>
  <c r="U7" i="10"/>
  <c r="T7" i="10"/>
  <c r="V7" i="10" s="1"/>
  <c r="L7" i="10"/>
  <c r="G7" i="10"/>
  <c r="E7" i="10"/>
  <c r="B7" i="10"/>
  <c r="Z5" i="10"/>
  <c r="Y5" i="10"/>
  <c r="X5" i="10"/>
  <c r="W5" i="10"/>
  <c r="U5" i="10"/>
  <c r="T5" i="10"/>
  <c r="V5" i="10" s="1"/>
  <c r="R5" i="10"/>
  <c r="L5" i="10"/>
  <c r="K5" i="10"/>
  <c r="G5" i="10"/>
  <c r="F5" i="10"/>
  <c r="E5" i="10"/>
  <c r="B5" i="10"/>
  <c r="A5" i="10"/>
  <c r="K61" i="9"/>
  <c r="F61" i="9"/>
  <c r="D61" i="9"/>
  <c r="A61" i="9"/>
  <c r="C61" i="9" s="1"/>
  <c r="L60" i="9"/>
  <c r="G60" i="9"/>
  <c r="E60" i="9"/>
  <c r="B60" i="9"/>
  <c r="R59" i="9"/>
  <c r="K59" i="9"/>
  <c r="F59" i="9"/>
  <c r="D59" i="9"/>
  <c r="A59" i="9"/>
  <c r="C59" i="9" s="1"/>
  <c r="L58" i="9"/>
  <c r="G58" i="9"/>
  <c r="E58" i="9"/>
  <c r="B58" i="9"/>
  <c r="R57" i="9"/>
  <c r="K57" i="9"/>
  <c r="F57" i="9"/>
  <c r="D57" i="9"/>
  <c r="A57" i="9"/>
  <c r="C57" i="9" s="1"/>
  <c r="L56" i="9"/>
  <c r="G56" i="9"/>
  <c r="E56" i="9"/>
  <c r="B56" i="9"/>
  <c r="R55" i="9"/>
  <c r="G55" i="9"/>
  <c r="D55" i="9"/>
  <c r="R54" i="9"/>
  <c r="G54" i="9"/>
  <c r="D54" i="9"/>
  <c r="R53" i="9"/>
  <c r="G53" i="9"/>
  <c r="D53" i="9"/>
  <c r="R52" i="9"/>
  <c r="G52" i="9"/>
  <c r="D52" i="9"/>
  <c r="R51" i="9"/>
  <c r="G51" i="9"/>
  <c r="D51" i="9"/>
  <c r="R50" i="9"/>
  <c r="L50" i="9"/>
  <c r="F50" i="9"/>
  <c r="B50" i="9"/>
  <c r="L49" i="9"/>
  <c r="F49" i="9"/>
  <c r="A49" i="9"/>
  <c r="C49" i="9" s="1"/>
  <c r="L48" i="9"/>
  <c r="F48" i="9"/>
  <c r="B48" i="9"/>
  <c r="L47" i="9"/>
  <c r="E47" i="9"/>
  <c r="A47" i="9"/>
  <c r="C47" i="9" s="1"/>
  <c r="K46" i="9"/>
  <c r="E46" i="9"/>
  <c r="A46" i="9"/>
  <c r="C46" i="9" s="1"/>
  <c r="K45" i="9"/>
  <c r="E45" i="9"/>
  <c r="A45" i="9"/>
  <c r="C45" i="9" s="1"/>
  <c r="G44" i="9"/>
  <c r="D44" i="9"/>
  <c r="L43" i="9"/>
  <c r="F43" i="9"/>
  <c r="B43" i="9"/>
  <c r="K42" i="9"/>
  <c r="E42" i="9"/>
  <c r="R41" i="9"/>
  <c r="G41" i="9"/>
  <c r="B41" i="9"/>
  <c r="L40" i="9"/>
  <c r="F40" i="9"/>
  <c r="A40" i="9"/>
  <c r="C40" i="9" s="1"/>
  <c r="L39" i="9"/>
  <c r="E39" i="9"/>
  <c r="A39" i="9"/>
  <c r="C39" i="9" s="1"/>
  <c r="K38" i="9"/>
  <c r="D38" i="9"/>
  <c r="R37" i="9"/>
  <c r="G37" i="9"/>
  <c r="D37" i="9"/>
  <c r="R36" i="9"/>
  <c r="F36" i="9"/>
  <c r="B36" i="9"/>
  <c r="K35" i="9"/>
  <c r="E35" i="9"/>
  <c r="B35" i="9"/>
  <c r="K34" i="9"/>
  <c r="D34" i="9"/>
  <c r="Z33" i="9"/>
  <c r="W33" i="9"/>
  <c r="L33" i="9"/>
  <c r="F33" i="9"/>
  <c r="B33" i="9"/>
  <c r="Z32" i="9"/>
  <c r="W32" i="9"/>
  <c r="K32" i="9"/>
  <c r="F32" i="9"/>
  <c r="A32" i="9"/>
  <c r="C32" i="9" s="1"/>
  <c r="X31" i="9"/>
  <c r="R31" i="9"/>
  <c r="G31" i="9"/>
  <c r="D31" i="9"/>
  <c r="Y30" i="9"/>
  <c r="U30" i="9"/>
  <c r="L30" i="9"/>
  <c r="E30" i="9"/>
  <c r="A30" i="9"/>
  <c r="C30" i="9" s="1"/>
  <c r="W29" i="9"/>
  <c r="R29" i="9"/>
  <c r="F29" i="9"/>
  <c r="B29" i="9"/>
  <c r="Y28" i="9"/>
  <c r="T28" i="9"/>
  <c r="V28" i="9" s="1"/>
  <c r="K28" i="9"/>
  <c r="D28" i="9"/>
  <c r="Z27" i="9"/>
  <c r="W27" i="9"/>
  <c r="L27" i="9"/>
  <c r="F27" i="9"/>
  <c r="A27" i="9"/>
  <c r="C27" i="9" s="1"/>
  <c r="Y26" i="9"/>
  <c r="U26" i="9"/>
  <c r="K26" i="9"/>
  <c r="E26" i="9"/>
  <c r="A26" i="9"/>
  <c r="C26" i="9" s="1"/>
  <c r="W25" i="9"/>
  <c r="R25" i="9"/>
  <c r="F25" i="9"/>
  <c r="B25" i="9"/>
  <c r="Y24" i="9"/>
  <c r="T24" i="9"/>
  <c r="V24" i="9" s="1"/>
  <c r="K24" i="9"/>
  <c r="E24" i="9"/>
  <c r="A24" i="9"/>
  <c r="C24" i="9" s="1"/>
  <c r="X23" i="9"/>
  <c r="R23" i="9"/>
  <c r="G23" i="9"/>
  <c r="D23" i="9"/>
  <c r="Y22" i="9"/>
  <c r="U22" i="9"/>
  <c r="L22" i="9"/>
  <c r="E22" i="9"/>
  <c r="A22" i="9"/>
  <c r="C22" i="9" s="1"/>
  <c r="W21" i="9"/>
  <c r="R21" i="9"/>
  <c r="G21" i="9"/>
  <c r="A21" i="9"/>
  <c r="C21" i="9" s="1"/>
  <c r="X20" i="9"/>
  <c r="R20" i="9"/>
  <c r="G20" i="9"/>
  <c r="B20" i="9"/>
  <c r="Y19" i="9"/>
  <c r="T19" i="9"/>
  <c r="V19" i="9" s="1"/>
  <c r="F19" i="9"/>
  <c r="B19" i="9"/>
  <c r="X18" i="9"/>
  <c r="T18" i="9"/>
  <c r="V18" i="9" s="1"/>
  <c r="G18" i="9"/>
  <c r="B18" i="9"/>
  <c r="X17" i="9"/>
  <c r="R17" i="9"/>
  <c r="F17" i="9"/>
  <c r="B17" i="9"/>
  <c r="AI16" i="9"/>
  <c r="Y16" i="9"/>
  <c r="R16" i="9"/>
  <c r="G16" i="9"/>
  <c r="A16" i="9"/>
  <c r="C16" i="9" s="1"/>
  <c r="Z12" i="9"/>
  <c r="Y12" i="9"/>
  <c r="X12" i="9"/>
  <c r="W12" i="9"/>
  <c r="U12" i="9"/>
  <c r="T12" i="9"/>
  <c r="V12" i="9" s="1"/>
  <c r="R12" i="9"/>
  <c r="L12" i="9"/>
  <c r="K12" i="9"/>
  <c r="G12" i="9"/>
  <c r="F12" i="9"/>
  <c r="E12" i="9"/>
  <c r="D12" i="9"/>
  <c r="B12" i="9"/>
  <c r="A12" i="9"/>
  <c r="G22" i="7"/>
  <c r="D22" i="7"/>
  <c r="Z21" i="7"/>
  <c r="X21" i="7"/>
  <c r="T21" i="7"/>
  <c r="V21" i="7" s="1"/>
  <c r="L21" i="7"/>
  <c r="G21" i="7"/>
  <c r="D21" i="7"/>
  <c r="A21" i="7"/>
  <c r="C21" i="7" s="1"/>
  <c r="X20" i="7"/>
  <c r="U20" i="7"/>
  <c r="L20" i="7"/>
  <c r="G20" i="7"/>
  <c r="D20" i="7"/>
  <c r="A20" i="7"/>
  <c r="C20" i="7" s="1"/>
  <c r="Y19" i="7"/>
  <c r="U19" i="7"/>
  <c r="R19" i="7"/>
  <c r="G19" i="7"/>
  <c r="E19" i="7"/>
  <c r="A19" i="7"/>
  <c r="C19" i="7" s="1"/>
  <c r="Y18" i="7"/>
  <c r="W18" i="7"/>
  <c r="R18" i="7"/>
  <c r="K18" i="7"/>
  <c r="F18" i="7"/>
  <c r="B18" i="7"/>
  <c r="Z17" i="7"/>
  <c r="W17" i="7"/>
  <c r="T17" i="7"/>
  <c r="V17" i="7" s="1"/>
  <c r="K17" i="7"/>
  <c r="E17" i="7"/>
  <c r="B17" i="7"/>
  <c r="AI16" i="7"/>
  <c r="Z16" i="7"/>
  <c r="U16" i="7"/>
  <c r="R16" i="7"/>
  <c r="G16" i="7"/>
  <c r="D16" i="7"/>
  <c r="Z12" i="7"/>
  <c r="Y12" i="7"/>
  <c r="X12" i="7"/>
  <c r="W12" i="7"/>
  <c r="U12" i="7"/>
  <c r="T12" i="7"/>
  <c r="V12" i="7" s="1"/>
  <c r="R12" i="7"/>
  <c r="L12" i="7"/>
  <c r="K12" i="7"/>
  <c r="G12" i="7"/>
  <c r="F12" i="7"/>
  <c r="E12" i="7"/>
  <c r="D12" i="7"/>
  <c r="B12" i="7"/>
  <c r="A12" i="7"/>
  <c r="C12" i="7" s="1"/>
  <c r="K7" i="7"/>
  <c r="G7" i="7"/>
  <c r="E7" i="7"/>
  <c r="D7" i="7"/>
  <c r="A7" i="7"/>
  <c r="Z6" i="7"/>
  <c r="Y6" i="7"/>
  <c r="X6" i="7"/>
  <c r="W6" i="7"/>
  <c r="U6" i="7"/>
  <c r="T6" i="7"/>
  <c r="R6" i="7"/>
  <c r="L6" i="7"/>
  <c r="K6" i="7"/>
  <c r="G6" i="7"/>
  <c r="F6" i="7"/>
  <c r="E6" i="7"/>
  <c r="D6" i="7"/>
  <c r="B6" i="7"/>
  <c r="A6" i="7"/>
  <c r="F62" i="6"/>
  <c r="B62" i="6"/>
  <c r="R61" i="6"/>
  <c r="K61" i="6"/>
  <c r="F61" i="6"/>
  <c r="D61" i="6"/>
  <c r="A61" i="6"/>
  <c r="C61" i="6" s="1"/>
  <c r="L60" i="6"/>
  <c r="G60" i="6"/>
  <c r="D60" i="6"/>
  <c r="A60" i="6"/>
  <c r="C60" i="6" s="1"/>
  <c r="L59" i="6"/>
  <c r="G59" i="6"/>
  <c r="E59" i="6"/>
  <c r="B59" i="6"/>
  <c r="L58" i="6"/>
  <c r="G58" i="6"/>
  <c r="E58" i="6"/>
  <c r="A58" i="6"/>
  <c r="C58" i="6" s="1"/>
  <c r="F57" i="6"/>
  <c r="D57" i="6"/>
  <c r="A57" i="6"/>
  <c r="C57" i="6" s="1"/>
  <c r="L56" i="6"/>
  <c r="G56" i="6"/>
  <c r="E156" i="3"/>
  <c r="E153" i="3"/>
  <c r="E140" i="3"/>
  <c r="E122" i="3"/>
  <c r="E119" i="3"/>
  <c r="E114" i="3"/>
  <c r="E107" i="3"/>
  <c r="E104" i="3"/>
  <c r="E94" i="3"/>
  <c r="E87" i="3"/>
  <c r="E69" i="3"/>
  <c r="E58" i="3"/>
  <c r="E51" i="3"/>
  <c r="E48" i="3"/>
  <c r="E42" i="3"/>
  <c r="E30" i="3"/>
  <c r="E12" i="3"/>
  <c r="I215" i="1"/>
  <c r="I214" i="1"/>
  <c r="U16" i="17"/>
  <c r="T16" i="17"/>
  <c r="V16" i="17" s="1"/>
  <c r="R16" i="17"/>
  <c r="L16" i="17"/>
  <c r="K16" i="17"/>
  <c r="G16" i="17"/>
  <c r="F16" i="17"/>
  <c r="E16" i="17"/>
  <c r="D16" i="17"/>
  <c r="B16" i="17"/>
  <c r="A16" i="17"/>
  <c r="C16" i="17" s="1"/>
  <c r="Z15" i="17"/>
  <c r="Y15" i="17"/>
  <c r="X15" i="17"/>
  <c r="W15" i="17"/>
  <c r="U15" i="17"/>
  <c r="T15" i="17"/>
  <c r="V15" i="17" s="1"/>
  <c r="R15" i="17"/>
  <c r="L15" i="17"/>
  <c r="K15" i="17"/>
  <c r="G15" i="17"/>
  <c r="F15" i="17"/>
  <c r="E15" i="17"/>
  <c r="D15" i="17"/>
  <c r="B15" i="17"/>
  <c r="A15" i="17"/>
  <c r="C15" i="17" s="1"/>
  <c r="Z14" i="17"/>
  <c r="Y14" i="17"/>
  <c r="X14" i="17"/>
  <c r="W14" i="17"/>
  <c r="U14" i="17"/>
  <c r="T14" i="17"/>
  <c r="V14" i="17" s="1"/>
  <c r="R14" i="17"/>
  <c r="L14" i="17"/>
  <c r="K14" i="17"/>
  <c r="G14" i="17"/>
  <c r="F14" i="17"/>
  <c r="E14" i="17"/>
  <c r="D14" i="17"/>
  <c r="B14" i="17"/>
  <c r="A14" i="17"/>
  <c r="C14" i="17" s="1"/>
  <c r="Z13" i="17"/>
  <c r="Y13" i="17"/>
  <c r="X13" i="17"/>
  <c r="W13" i="17"/>
  <c r="U13" i="17"/>
  <c r="T13" i="17"/>
  <c r="V13" i="17" s="1"/>
  <c r="R13" i="17"/>
  <c r="L13" i="17"/>
  <c r="K13" i="17"/>
  <c r="G13" i="17"/>
  <c r="F13" i="17"/>
  <c r="E13" i="17"/>
  <c r="D13" i="17"/>
  <c r="B13" i="17"/>
  <c r="A13" i="17"/>
  <c r="C13" i="17" s="1"/>
  <c r="Z12" i="17"/>
  <c r="Y12" i="17"/>
  <c r="X12" i="17"/>
  <c r="W12" i="17"/>
  <c r="U12" i="17"/>
  <c r="T12" i="17"/>
  <c r="V12" i="17" s="1"/>
  <c r="R12" i="17"/>
  <c r="L12" i="17"/>
  <c r="K12" i="17"/>
  <c r="G12" i="17"/>
  <c r="F12" i="17"/>
  <c r="E12" i="17"/>
  <c r="D12" i="17"/>
  <c r="B12" i="17"/>
  <c r="A12" i="17"/>
  <c r="C12" i="17" s="1"/>
  <c r="Z11" i="17"/>
  <c r="Y11" i="17"/>
  <c r="X11" i="17"/>
  <c r="W11" i="17"/>
  <c r="U11" i="17"/>
  <c r="T11" i="17"/>
  <c r="V11" i="17" s="1"/>
  <c r="R11" i="17"/>
  <c r="L11" i="17"/>
  <c r="K11" i="17"/>
  <c r="G11" i="17"/>
  <c r="F11" i="17"/>
  <c r="E11" i="17"/>
  <c r="D11" i="17"/>
  <c r="B11" i="17"/>
  <c r="A11" i="17"/>
  <c r="C11" i="17" s="1"/>
  <c r="Z10" i="17"/>
  <c r="Y10" i="17"/>
  <c r="X10" i="17"/>
  <c r="W10" i="17"/>
  <c r="U10" i="17"/>
  <c r="T10" i="17"/>
  <c r="V10" i="17" s="1"/>
  <c r="R10" i="17"/>
  <c r="L10" i="17"/>
  <c r="K10" i="17"/>
  <c r="G10" i="17"/>
  <c r="F10" i="17"/>
  <c r="E10" i="17"/>
  <c r="D10" i="17"/>
  <c r="B10" i="17"/>
  <c r="A10" i="17"/>
  <c r="C10" i="17" s="1"/>
  <c r="Z9" i="17"/>
  <c r="Y9" i="17"/>
  <c r="X9" i="17"/>
  <c r="W9" i="17"/>
  <c r="U9" i="17"/>
  <c r="T9" i="17"/>
  <c r="V9" i="17" s="1"/>
  <c r="R9" i="17"/>
  <c r="L9" i="17"/>
  <c r="K9" i="17"/>
  <c r="G9" i="17"/>
  <c r="F9" i="17"/>
  <c r="E9" i="17"/>
  <c r="D9" i="17"/>
  <c r="B9" i="17"/>
  <c r="A9" i="17"/>
  <c r="C9" i="17" s="1"/>
  <c r="Z8" i="17"/>
  <c r="Y8" i="17"/>
  <c r="X8" i="17"/>
  <c r="W8" i="17"/>
  <c r="U8" i="17"/>
  <c r="T8" i="17"/>
  <c r="V8" i="17" s="1"/>
  <c r="R8" i="17"/>
  <c r="L8" i="17"/>
  <c r="K8" i="17"/>
  <c r="G8" i="17"/>
  <c r="F8" i="17"/>
  <c r="E8" i="17"/>
  <c r="D8" i="17"/>
  <c r="B8" i="17"/>
  <c r="A8" i="17"/>
  <c r="C8" i="17" s="1"/>
  <c r="Z5" i="17"/>
  <c r="Y5" i="17"/>
  <c r="X5" i="17"/>
  <c r="W5" i="17"/>
  <c r="U5" i="17"/>
  <c r="T5" i="17"/>
  <c r="V5" i="17" s="1"/>
  <c r="R5" i="17"/>
  <c r="L5" i="17"/>
  <c r="K5" i="17"/>
  <c r="G5" i="17"/>
  <c r="F5" i="17"/>
  <c r="E5" i="17"/>
  <c r="D5" i="17"/>
  <c r="B5" i="17"/>
  <c r="A5" i="17"/>
  <c r="W21" i="16"/>
  <c r="U20" i="16"/>
  <c r="D20" i="16"/>
  <c r="D19" i="16"/>
  <c r="U18" i="16"/>
  <c r="D18" i="16"/>
  <c r="R17" i="16"/>
  <c r="U16" i="16"/>
  <c r="B16" i="16"/>
  <c r="Y15" i="16"/>
  <c r="U15" i="16"/>
  <c r="K15" i="16"/>
  <c r="E15" i="16"/>
  <c r="D13" i="16"/>
  <c r="F6" i="16"/>
  <c r="R58" i="15"/>
  <c r="E57" i="15"/>
  <c r="G55" i="15"/>
  <c r="F54" i="15"/>
  <c r="E53" i="15"/>
  <c r="F52" i="15"/>
  <c r="F51" i="15"/>
  <c r="E50" i="15"/>
  <c r="D49" i="15"/>
  <c r="B48" i="15"/>
  <c r="A47" i="15"/>
  <c r="C47" i="15" s="1"/>
  <c r="R45" i="15"/>
  <c r="A45" i="15"/>
  <c r="C45" i="15" s="1"/>
  <c r="R43" i="15"/>
  <c r="R42" i="15"/>
  <c r="R41" i="15"/>
  <c r="R40" i="15"/>
  <c r="R39" i="15"/>
  <c r="L38" i="15"/>
  <c r="K37" i="15"/>
  <c r="R36" i="15"/>
  <c r="E36" i="15"/>
  <c r="E35" i="15"/>
  <c r="R34" i="15"/>
  <c r="B34" i="15"/>
  <c r="R33" i="15"/>
  <c r="Z32" i="15"/>
  <c r="Y31" i="15"/>
  <c r="F31" i="15"/>
  <c r="X30" i="15"/>
  <c r="G30" i="15"/>
  <c r="Y29" i="15"/>
  <c r="R29" i="15"/>
  <c r="B29" i="15"/>
  <c r="T28" i="15"/>
  <c r="V28" i="15" s="1"/>
  <c r="E28" i="15"/>
  <c r="R27" i="15"/>
  <c r="Z26" i="15"/>
  <c r="F26" i="15"/>
  <c r="W25" i="15"/>
  <c r="D25" i="15"/>
  <c r="L24" i="15"/>
  <c r="X23" i="15"/>
  <c r="D23" i="15"/>
  <c r="U22" i="15"/>
  <c r="B22" i="15"/>
  <c r="K21" i="15"/>
  <c r="W20" i="15"/>
  <c r="F20" i="15"/>
  <c r="T19" i="15"/>
  <c r="V19" i="15" s="1"/>
  <c r="Z18" i="15"/>
  <c r="G18" i="15"/>
  <c r="R17" i="15"/>
  <c r="W16" i="15"/>
  <c r="F16" i="15"/>
  <c r="W15" i="15"/>
  <c r="L15" i="15"/>
  <c r="E15" i="15"/>
  <c r="Z7" i="15"/>
  <c r="X7" i="15"/>
  <c r="R7" i="15"/>
  <c r="D7" i="15"/>
  <c r="D58" i="14"/>
  <c r="F55" i="14"/>
  <c r="F54" i="14"/>
  <c r="F53" i="14"/>
  <c r="F52" i="14"/>
  <c r="F51" i="14"/>
  <c r="K50" i="14"/>
  <c r="G49" i="14"/>
  <c r="F48" i="14"/>
  <c r="F47" i="14"/>
  <c r="F46" i="14"/>
  <c r="F45" i="14"/>
  <c r="F44" i="14"/>
  <c r="K43" i="14"/>
  <c r="R42" i="14"/>
  <c r="L41" i="14"/>
  <c r="A41" i="14"/>
  <c r="C41" i="14" s="1"/>
  <c r="B40" i="14"/>
  <c r="B39" i="14"/>
  <c r="D38" i="14"/>
  <c r="F37" i="14"/>
  <c r="F36" i="14"/>
  <c r="F35" i="14"/>
  <c r="G34" i="14"/>
  <c r="X33" i="14"/>
  <c r="K5" i="14"/>
  <c r="A5" i="14"/>
  <c r="V28" i="13"/>
  <c r="X26" i="13"/>
  <c r="E26" i="13"/>
  <c r="X24" i="13"/>
  <c r="F24" i="13"/>
  <c r="V23" i="13"/>
  <c r="D23" i="13"/>
  <c r="Q22" i="13"/>
  <c r="A22" i="13"/>
  <c r="C22" i="13" s="1"/>
  <c r="Q21" i="13"/>
  <c r="W20" i="13"/>
  <c r="E20" i="13"/>
  <c r="V19" i="13"/>
  <c r="D19" i="13"/>
  <c r="Q18" i="13"/>
  <c r="A18" i="13"/>
  <c r="C18" i="13" s="1"/>
  <c r="Q17" i="13"/>
  <c r="W16" i="13"/>
  <c r="D16" i="13"/>
  <c r="Y10" i="13"/>
  <c r="X10" i="13"/>
  <c r="W10" i="13"/>
  <c r="V10" i="13"/>
  <c r="T10" i="13"/>
  <c r="K10" i="13"/>
  <c r="S4" i="13"/>
  <c r="D4" i="13"/>
  <c r="F63" i="12"/>
  <c r="A63" i="12"/>
  <c r="C63" i="12" s="1"/>
  <c r="G62" i="12"/>
  <c r="B62" i="12"/>
  <c r="G61" i="12"/>
  <c r="D61" i="12"/>
  <c r="K60" i="12"/>
  <c r="E60" i="12"/>
  <c r="A60" i="12"/>
  <c r="C60" i="12" s="1"/>
  <c r="F59" i="12"/>
  <c r="B59" i="12"/>
  <c r="G58" i="12"/>
  <c r="D58" i="12"/>
  <c r="Q57" i="12"/>
  <c r="F57" i="12"/>
  <c r="A57" i="12"/>
  <c r="C57" i="12" s="1"/>
  <c r="G56" i="12"/>
  <c r="A56" i="12"/>
  <c r="C56" i="12" s="1"/>
  <c r="F55" i="12"/>
  <c r="K54" i="12"/>
  <c r="A54" i="12"/>
  <c r="C54" i="12" s="1"/>
  <c r="D53" i="12"/>
  <c r="F52" i="12"/>
  <c r="K51" i="12"/>
  <c r="Q50" i="12"/>
  <c r="D50" i="12"/>
  <c r="G49" i="12"/>
  <c r="K48" i="12"/>
  <c r="Q47" i="12"/>
  <c r="D47" i="12"/>
  <c r="G46" i="12"/>
  <c r="Q45" i="12"/>
  <c r="B45" i="12"/>
  <c r="E44" i="12"/>
  <c r="F43" i="12"/>
  <c r="Q42" i="12"/>
  <c r="A42" i="12"/>
  <c r="C42" i="12" s="1"/>
  <c r="B41" i="12"/>
  <c r="B40" i="12"/>
  <c r="B39" i="12"/>
  <c r="D38" i="12"/>
  <c r="D37" i="12"/>
  <c r="D36" i="12"/>
  <c r="E35" i="12"/>
  <c r="F34" i="12"/>
  <c r="V33" i="12"/>
  <c r="A33" i="12"/>
  <c r="C33" i="12" s="1"/>
  <c r="Q32" i="12"/>
  <c r="W31" i="12"/>
  <c r="E31" i="12"/>
  <c r="Q30" i="12"/>
  <c r="A30" i="12"/>
  <c r="C30" i="12" s="1"/>
  <c r="G29" i="12"/>
  <c r="V28" i="12"/>
  <c r="E28" i="12"/>
  <c r="Q27" i="12"/>
  <c r="A27" i="12"/>
  <c r="C27" i="12" s="1"/>
  <c r="F26" i="12"/>
  <c r="W25" i="12"/>
  <c r="F25" i="12"/>
  <c r="S24" i="12"/>
  <c r="U24" i="12" s="1"/>
  <c r="X23" i="12"/>
  <c r="G23" i="12"/>
  <c r="T22" i="12"/>
  <c r="D22" i="12"/>
  <c r="K21" i="12"/>
  <c r="W20" i="12"/>
  <c r="E20" i="12"/>
  <c r="Q19" i="12"/>
  <c r="A19" i="12"/>
  <c r="C19" i="12" s="1"/>
  <c r="G18" i="12"/>
  <c r="V17" i="12"/>
  <c r="E17" i="12"/>
  <c r="V16" i="12"/>
  <c r="E16" i="12"/>
  <c r="V15" i="12"/>
  <c r="K15" i="12"/>
  <c r="E15" i="12"/>
  <c r="A13" i="12"/>
  <c r="Y10" i="12"/>
  <c r="X10" i="12"/>
  <c r="W10" i="12"/>
  <c r="V10" i="12"/>
  <c r="T10" i="12"/>
  <c r="S10" i="12"/>
  <c r="U10" i="12" s="1"/>
  <c r="Q10" i="12"/>
  <c r="K10" i="12"/>
  <c r="G10" i="12"/>
  <c r="F10" i="12"/>
  <c r="E10" i="12"/>
  <c r="B10" i="12"/>
  <c r="F6" i="12"/>
  <c r="B6" i="12"/>
  <c r="Y31" i="10"/>
  <c r="D31" i="10"/>
  <c r="T30" i="10"/>
  <c r="V30" i="10" s="1"/>
  <c r="Y29" i="10"/>
  <c r="F29" i="10"/>
  <c r="T28" i="10"/>
  <c r="V28" i="10" s="1"/>
  <c r="B28" i="10"/>
  <c r="L27" i="10"/>
  <c r="W26" i="10"/>
  <c r="D26" i="10"/>
  <c r="T25" i="10"/>
  <c r="V25" i="10" s="1"/>
  <c r="Y24" i="10"/>
  <c r="G24" i="10"/>
  <c r="W23" i="10"/>
  <c r="B23" i="10"/>
  <c r="F22" i="10"/>
  <c r="W21" i="10"/>
  <c r="E21" i="10"/>
  <c r="L20" i="10"/>
  <c r="Z19" i="10"/>
  <c r="E19" i="10"/>
  <c r="T18" i="10"/>
  <c r="V18" i="10" s="1"/>
  <c r="D18" i="10"/>
  <c r="T17" i="10"/>
  <c r="V17" i="10" s="1"/>
  <c r="A17" i="10"/>
  <c r="C17" i="10" s="1"/>
  <c r="L16" i="10"/>
  <c r="Y15" i="10"/>
  <c r="K15" i="10"/>
  <c r="B15" i="10"/>
  <c r="D5" i="10"/>
  <c r="E21" i="9"/>
  <c r="K20" i="9"/>
  <c r="W19" i="9"/>
  <c r="E19" i="9"/>
  <c r="R18" i="9"/>
  <c r="Y17" i="9"/>
  <c r="G17" i="9"/>
  <c r="W16" i="9"/>
  <c r="E16" i="9"/>
  <c r="Z15" i="9"/>
  <c r="T15" i="9"/>
  <c r="V15" i="9" s="1"/>
  <c r="F15" i="9"/>
  <c r="Z13" i="7"/>
  <c r="Y13" i="7"/>
  <c r="X13" i="7"/>
  <c r="W13" i="7"/>
  <c r="R13" i="7"/>
  <c r="F13" i="7"/>
  <c r="B13" i="7"/>
  <c r="F11" i="7"/>
  <c r="B11" i="7"/>
  <c r="Z7" i="7"/>
  <c r="Y7" i="7"/>
  <c r="X7" i="7"/>
  <c r="W7" i="7"/>
  <c r="U7" i="7"/>
  <c r="T7" i="7"/>
  <c r="V7" i="7" s="1"/>
  <c r="R7" i="7"/>
  <c r="L7" i="7"/>
  <c r="F7" i="7"/>
  <c r="B7" i="7"/>
  <c r="K60" i="6"/>
  <c r="R58" i="6"/>
  <c r="D58" i="6"/>
  <c r="B56" i="6"/>
  <c r="R55" i="6"/>
  <c r="K55" i="6"/>
  <c r="F55" i="6"/>
  <c r="D55" i="6"/>
  <c r="A55" i="6"/>
  <c r="C55" i="6" s="1"/>
  <c r="L54" i="6"/>
  <c r="G54" i="6"/>
  <c r="E54" i="6"/>
  <c r="B54" i="6"/>
  <c r="R53" i="6"/>
  <c r="K53" i="6"/>
  <c r="F53" i="6"/>
  <c r="D53" i="6"/>
  <c r="A53" i="6"/>
  <c r="C53" i="6" s="1"/>
  <c r="L52" i="6"/>
  <c r="F52" i="6"/>
  <c r="D52" i="6"/>
  <c r="A52" i="6"/>
  <c r="C52" i="6" s="1"/>
  <c r="L51" i="6"/>
  <c r="F51" i="6"/>
  <c r="D51" i="6"/>
  <c r="R50" i="6"/>
  <c r="K50" i="6"/>
  <c r="F50" i="6"/>
  <c r="B50" i="6"/>
  <c r="R49" i="6"/>
  <c r="G49" i="6"/>
  <c r="E49" i="6"/>
  <c r="B49" i="6"/>
  <c r="L48" i="6"/>
  <c r="G48" i="6"/>
  <c r="D48" i="6"/>
  <c r="A48" i="6"/>
  <c r="C48" i="6" s="1"/>
  <c r="L47" i="6"/>
  <c r="E47" i="6"/>
  <c r="B47" i="6"/>
  <c r="L46" i="6"/>
  <c r="E46" i="6"/>
  <c r="A46" i="6"/>
  <c r="C46" i="6" s="1"/>
  <c r="K45" i="6"/>
  <c r="D45" i="6"/>
  <c r="R44" i="6"/>
  <c r="G44" i="6"/>
  <c r="B44" i="6"/>
  <c r="K43" i="6"/>
  <c r="D43" i="6"/>
  <c r="L42" i="6"/>
  <c r="F42" i="6"/>
  <c r="A42" i="6"/>
  <c r="C42" i="6" s="1"/>
  <c r="G41" i="6"/>
  <c r="A41" i="6"/>
  <c r="C41" i="6" s="1"/>
  <c r="K40" i="6"/>
  <c r="B40" i="6"/>
  <c r="K39" i="6"/>
  <c r="E39" i="6"/>
  <c r="L38" i="6"/>
  <c r="F38" i="6"/>
  <c r="R37" i="6"/>
  <c r="F37" i="6"/>
  <c r="B37" i="6"/>
  <c r="F36" i="6"/>
  <c r="B36" i="6"/>
  <c r="L35" i="6"/>
  <c r="B35" i="6"/>
  <c r="L34" i="6"/>
  <c r="E34" i="6"/>
  <c r="Y33" i="6"/>
  <c r="T33" i="6"/>
  <c r="V33" i="6" s="1"/>
  <c r="G33" i="6"/>
  <c r="B33" i="6"/>
  <c r="Y32" i="6"/>
  <c r="R32" i="6"/>
  <c r="F32" i="6"/>
  <c r="A32" i="6"/>
  <c r="C32" i="6" s="1"/>
  <c r="U31" i="6"/>
  <c r="K31" i="6"/>
  <c r="B31" i="6"/>
  <c r="X30" i="6"/>
  <c r="T30" i="6"/>
  <c r="V30" i="6" s="1"/>
  <c r="G30" i="6"/>
  <c r="B30" i="6"/>
  <c r="W29" i="6"/>
  <c r="L29" i="6"/>
  <c r="E29" i="6"/>
  <c r="Z28" i="6"/>
  <c r="U28" i="6"/>
  <c r="G28" i="6"/>
  <c r="A28" i="6"/>
  <c r="C28" i="6" s="1"/>
  <c r="X27" i="6"/>
  <c r="K27" i="6"/>
  <c r="E27" i="6"/>
  <c r="Z26" i="6"/>
  <c r="T26" i="6"/>
  <c r="V26" i="6" s="1"/>
  <c r="G26" i="6"/>
  <c r="A26" i="6"/>
  <c r="C26" i="6" s="1"/>
  <c r="W25" i="6"/>
  <c r="L25" i="6"/>
  <c r="D25" i="6"/>
  <c r="Z24" i="6"/>
  <c r="U24" i="6"/>
  <c r="E184" i="3"/>
  <c r="G180" i="3"/>
  <c r="C180" i="3"/>
  <c r="E177" i="3"/>
  <c r="E174" i="3"/>
  <c r="D174" i="3"/>
  <c r="E173" i="3"/>
  <c r="E171" i="3"/>
  <c r="D171" i="3" s="1"/>
  <c r="E159" i="3"/>
  <c r="E158" i="3"/>
  <c r="E151" i="3"/>
  <c r="E141" i="3"/>
  <c r="E138" i="3"/>
  <c r="E136" i="3"/>
  <c r="E135" i="3"/>
  <c r="E132" i="3"/>
  <c r="E131" i="3"/>
  <c r="E121" i="3"/>
  <c r="D121" i="3"/>
  <c r="E118" i="3"/>
  <c r="D118" i="3"/>
  <c r="E117" i="3"/>
  <c r="E113" i="3"/>
  <c r="G108" i="3"/>
  <c r="F108" i="3"/>
  <c r="C108" i="3"/>
  <c r="E100" i="3"/>
  <c r="E98" i="3"/>
  <c r="G90" i="3"/>
  <c r="F90" i="3"/>
  <c r="C90" i="3"/>
  <c r="E81" i="3"/>
  <c r="E79" i="3"/>
  <c r="E76" i="3"/>
  <c r="E71" i="3"/>
  <c r="E70" i="3"/>
  <c r="E68" i="3"/>
  <c r="D68" i="3" s="1"/>
  <c r="E62" i="3"/>
  <c r="E60" i="3"/>
  <c r="E53" i="3"/>
  <c r="D53" i="3"/>
  <c r="E46" i="3"/>
  <c r="E44" i="3"/>
  <c r="E41" i="3"/>
  <c r="D41" i="3"/>
  <c r="G36" i="3"/>
  <c r="F36" i="3"/>
  <c r="C36" i="3"/>
  <c r="E34" i="3"/>
  <c r="D34" i="3"/>
  <c r="E28" i="3"/>
  <c r="E26" i="3"/>
  <c r="E22" i="3"/>
  <c r="D22" i="3" s="1"/>
  <c r="E16" i="3"/>
  <c r="E7" i="3"/>
  <c r="I207" i="1"/>
  <c r="I204" i="1"/>
  <c r="I203" i="1"/>
  <c r="G33" i="14"/>
  <c r="F33" i="14"/>
  <c r="E33" i="14"/>
  <c r="D33" i="14"/>
  <c r="B33" i="14"/>
  <c r="A33" i="14"/>
  <c r="C33" i="14" s="1"/>
  <c r="Z32" i="14"/>
  <c r="Y32" i="14"/>
  <c r="X32" i="14"/>
  <c r="W32" i="14"/>
  <c r="U32" i="14"/>
  <c r="T32" i="14"/>
  <c r="V32" i="14" s="1"/>
  <c r="R32" i="14"/>
  <c r="L32" i="14"/>
  <c r="K32" i="14"/>
  <c r="G32" i="14"/>
  <c r="F32" i="14"/>
  <c r="E32" i="14"/>
  <c r="D32" i="14"/>
  <c r="B32" i="14"/>
  <c r="A32" i="14"/>
  <c r="C32" i="14" s="1"/>
  <c r="Z31" i="14"/>
  <c r="Y31" i="14"/>
  <c r="X31" i="14"/>
  <c r="W31" i="14"/>
  <c r="U31" i="14"/>
  <c r="T31" i="14"/>
  <c r="V31" i="14" s="1"/>
  <c r="R31" i="14"/>
  <c r="L31" i="14"/>
  <c r="K31" i="14"/>
  <c r="G31" i="14"/>
  <c r="F31" i="14"/>
  <c r="E31" i="14"/>
  <c r="D31" i="14"/>
  <c r="B31" i="14"/>
  <c r="A31" i="14"/>
  <c r="C31" i="14" s="1"/>
  <c r="Z30" i="14"/>
  <c r="Y30" i="14"/>
  <c r="X30" i="14"/>
  <c r="W30" i="14"/>
  <c r="U30" i="14"/>
  <c r="T30" i="14"/>
  <c r="V30" i="14" s="1"/>
  <c r="R30" i="14"/>
  <c r="L30" i="14"/>
  <c r="K30" i="14"/>
  <c r="G30" i="14"/>
  <c r="F30" i="14"/>
  <c r="E30" i="14"/>
  <c r="D30" i="14"/>
  <c r="B30" i="14"/>
  <c r="A30" i="14"/>
  <c r="C30" i="14" s="1"/>
  <c r="Z29" i="14"/>
  <c r="Y29" i="14"/>
  <c r="X29" i="14"/>
  <c r="W29" i="14"/>
  <c r="U29" i="14"/>
  <c r="T29" i="14"/>
  <c r="V29" i="14" s="1"/>
  <c r="R29" i="14"/>
  <c r="L29" i="14"/>
  <c r="K29" i="14"/>
  <c r="G29" i="14"/>
  <c r="F29" i="14"/>
  <c r="E29" i="14"/>
  <c r="D29" i="14"/>
  <c r="B29" i="14"/>
  <c r="A29" i="14"/>
  <c r="C29" i="14" s="1"/>
  <c r="Z28" i="14"/>
  <c r="Y28" i="14"/>
  <c r="X28" i="14"/>
  <c r="W28" i="14"/>
  <c r="U28" i="14"/>
  <c r="T28" i="14"/>
  <c r="V28" i="14" s="1"/>
  <c r="R28" i="14"/>
  <c r="L28" i="14"/>
  <c r="K28" i="14"/>
  <c r="G28" i="14"/>
  <c r="F28" i="14"/>
  <c r="E28" i="14"/>
  <c r="D28" i="14"/>
  <c r="B28" i="14"/>
  <c r="A28" i="14"/>
  <c r="C28" i="14" s="1"/>
  <c r="Z27" i="14"/>
  <c r="Y27" i="14"/>
  <c r="X27" i="14"/>
  <c r="W27" i="14"/>
  <c r="U27" i="14"/>
  <c r="T27" i="14"/>
  <c r="V27" i="14" s="1"/>
  <c r="R27" i="14"/>
  <c r="L27" i="14"/>
  <c r="K27" i="14"/>
  <c r="G27" i="14"/>
  <c r="F27" i="14"/>
  <c r="E27" i="14"/>
  <c r="D27" i="14"/>
  <c r="B27" i="14"/>
  <c r="A27" i="14"/>
  <c r="C27" i="14" s="1"/>
  <c r="Z26" i="14"/>
  <c r="Y26" i="14"/>
  <c r="X26" i="14"/>
  <c r="W26" i="14"/>
  <c r="U26" i="14"/>
  <c r="T26" i="14"/>
  <c r="V26" i="14" s="1"/>
  <c r="R26" i="14"/>
  <c r="L26" i="14"/>
  <c r="K26" i="14"/>
  <c r="G26" i="14"/>
  <c r="F26" i="14"/>
  <c r="E26" i="14"/>
  <c r="D26" i="14"/>
  <c r="B26" i="14"/>
  <c r="A26" i="14"/>
  <c r="C26" i="14" s="1"/>
  <c r="Z25" i="14"/>
  <c r="Y25" i="14"/>
  <c r="X25" i="14"/>
  <c r="W25" i="14"/>
  <c r="U25" i="14"/>
  <c r="T25" i="14"/>
  <c r="V25" i="14" s="1"/>
  <c r="R25" i="14"/>
  <c r="L25" i="14"/>
  <c r="K25" i="14"/>
  <c r="G25" i="14"/>
  <c r="F25" i="14"/>
  <c r="E25" i="14"/>
  <c r="D25" i="14"/>
  <c r="B25" i="14"/>
  <c r="A25" i="14"/>
  <c r="C25" i="14" s="1"/>
  <c r="Z24" i="14"/>
  <c r="Y24" i="14"/>
  <c r="X24" i="14"/>
  <c r="W24" i="14"/>
  <c r="U24" i="14"/>
  <c r="T24" i="14"/>
  <c r="V24" i="14" s="1"/>
  <c r="R24" i="14"/>
  <c r="L24" i="14"/>
  <c r="K24" i="14"/>
  <c r="G24" i="14"/>
  <c r="F24" i="14"/>
  <c r="E24" i="14"/>
  <c r="D24" i="14"/>
  <c r="B24" i="14"/>
  <c r="A24" i="14"/>
  <c r="C24" i="14" s="1"/>
  <c r="Z23" i="14"/>
  <c r="Y23" i="14"/>
  <c r="X23" i="14"/>
  <c r="W23" i="14"/>
  <c r="U23" i="14"/>
  <c r="T23" i="14"/>
  <c r="V23" i="14" s="1"/>
  <c r="R23" i="14"/>
  <c r="L23" i="14"/>
  <c r="K23" i="14"/>
  <c r="G23" i="14"/>
  <c r="F23" i="14"/>
  <c r="E23" i="14"/>
  <c r="D23" i="14"/>
  <c r="B23" i="14"/>
  <c r="A23" i="14"/>
  <c r="C23" i="14" s="1"/>
  <c r="Z22" i="14"/>
  <c r="Y22" i="14"/>
  <c r="X22" i="14"/>
  <c r="W22" i="14"/>
  <c r="U22" i="14"/>
  <c r="T22" i="14"/>
  <c r="V22" i="14" s="1"/>
  <c r="R22" i="14"/>
  <c r="L22" i="14"/>
  <c r="K22" i="14"/>
  <c r="G22" i="14"/>
  <c r="F22" i="14"/>
  <c r="E22" i="14"/>
  <c r="D22" i="14"/>
  <c r="B22" i="14"/>
  <c r="A22" i="14"/>
  <c r="C22" i="14" s="1"/>
  <c r="Z21" i="14"/>
  <c r="Y21" i="14"/>
  <c r="X21" i="14"/>
  <c r="W21" i="14"/>
  <c r="U21" i="14"/>
  <c r="T21" i="14"/>
  <c r="V21" i="14" s="1"/>
  <c r="R21" i="14"/>
  <c r="L21" i="14"/>
  <c r="K21" i="14"/>
  <c r="G21" i="14"/>
  <c r="F21" i="14"/>
  <c r="E21" i="14"/>
  <c r="D21" i="14"/>
  <c r="B21" i="14"/>
  <c r="A21" i="14"/>
  <c r="C21" i="14" s="1"/>
  <c r="Z20" i="14"/>
  <c r="Y20" i="14"/>
  <c r="X20" i="14"/>
  <c r="W20" i="14"/>
  <c r="U20" i="14"/>
  <c r="T20" i="14"/>
  <c r="V20" i="14" s="1"/>
  <c r="R20" i="14"/>
  <c r="L20" i="14"/>
  <c r="K20" i="14"/>
  <c r="G20" i="14"/>
  <c r="F20" i="14"/>
  <c r="E20" i="14"/>
  <c r="D20" i="14"/>
  <c r="B20" i="14"/>
  <c r="A20" i="14"/>
  <c r="C20" i="14" s="1"/>
  <c r="Z19" i="14"/>
  <c r="Y19" i="14"/>
  <c r="X19" i="14"/>
  <c r="W19" i="14"/>
  <c r="U19" i="14"/>
  <c r="T19" i="14"/>
  <c r="V19" i="14" s="1"/>
  <c r="R19" i="14"/>
  <c r="L19" i="14"/>
  <c r="K19" i="14"/>
  <c r="G19" i="14"/>
  <c r="F19" i="14"/>
  <c r="E19" i="14"/>
  <c r="D19" i="14"/>
  <c r="B19" i="14"/>
  <c r="A19" i="14"/>
  <c r="C19" i="14" s="1"/>
  <c r="Z18" i="14"/>
  <c r="Y18" i="14"/>
  <c r="X18" i="14"/>
  <c r="W18" i="14"/>
  <c r="U18" i="14"/>
  <c r="T18" i="14"/>
  <c r="V18" i="14" s="1"/>
  <c r="R18" i="14"/>
  <c r="L18" i="14"/>
  <c r="K18" i="14"/>
  <c r="G18" i="14"/>
  <c r="F18" i="14"/>
  <c r="E18" i="14"/>
  <c r="D18" i="14"/>
  <c r="B18" i="14"/>
  <c r="A18" i="14"/>
  <c r="C18" i="14" s="1"/>
  <c r="Z17" i="14"/>
  <c r="Y17" i="14"/>
  <c r="X17" i="14"/>
  <c r="W17" i="14"/>
  <c r="U17" i="14"/>
  <c r="T17" i="14"/>
  <c r="V17" i="14" s="1"/>
  <c r="R17" i="14"/>
  <c r="L17" i="14"/>
  <c r="K17" i="14"/>
  <c r="G17" i="14"/>
  <c r="F17" i="14"/>
  <c r="E17" i="14"/>
  <c r="D17" i="14"/>
  <c r="B17" i="14"/>
  <c r="A17" i="14"/>
  <c r="C17" i="14" s="1"/>
  <c r="AI16" i="14"/>
  <c r="AH16" i="14"/>
  <c r="Z16" i="14"/>
  <c r="Y16" i="14"/>
  <c r="X16" i="14"/>
  <c r="W16" i="14"/>
  <c r="U16" i="14"/>
  <c r="T16" i="14"/>
  <c r="V16" i="14" s="1"/>
  <c r="R16" i="14"/>
  <c r="L16" i="14"/>
  <c r="K16" i="14"/>
  <c r="G16" i="14"/>
  <c r="F16" i="14"/>
  <c r="E16" i="14"/>
  <c r="D16" i="14"/>
  <c r="B16" i="14"/>
  <c r="A16" i="14"/>
  <c r="C16" i="14" s="1"/>
  <c r="Z15" i="14"/>
  <c r="Y15" i="14"/>
  <c r="X15" i="14"/>
  <c r="W15" i="14"/>
  <c r="U15" i="14"/>
  <c r="T15" i="14"/>
  <c r="V15" i="14" s="1"/>
  <c r="R15" i="14"/>
  <c r="L15" i="14"/>
  <c r="K15" i="14"/>
  <c r="G15" i="14"/>
  <c r="F15" i="14"/>
  <c r="E15" i="14"/>
  <c r="D15" i="14"/>
  <c r="B15" i="14"/>
  <c r="A15" i="14"/>
  <c r="C15" i="14" s="1"/>
  <c r="Z14" i="14"/>
  <c r="Y14" i="14"/>
  <c r="X14" i="14"/>
  <c r="W14" i="14"/>
  <c r="U14" i="14"/>
  <c r="T14" i="14"/>
  <c r="V14" i="14" s="1"/>
  <c r="R14" i="14"/>
  <c r="L14" i="14"/>
  <c r="K14" i="14"/>
  <c r="G14" i="14"/>
  <c r="F14" i="14"/>
  <c r="E14" i="14"/>
  <c r="D14" i="14"/>
  <c r="B14" i="14"/>
  <c r="A14" i="14"/>
  <c r="C14" i="14" s="1"/>
  <c r="Z13" i="14"/>
  <c r="Y13" i="14"/>
  <c r="X13" i="14"/>
  <c r="W13" i="14"/>
  <c r="U13" i="14"/>
  <c r="T13" i="14"/>
  <c r="V13" i="14" s="1"/>
  <c r="R13" i="14"/>
  <c r="L13" i="14"/>
  <c r="K13" i="14"/>
  <c r="G13" i="14"/>
  <c r="F13" i="14"/>
  <c r="E13" i="14"/>
  <c r="D13" i="14"/>
  <c r="B13" i="14"/>
  <c r="A13" i="14"/>
  <c r="C13" i="14" s="1"/>
  <c r="Z12" i="14"/>
  <c r="Y12" i="14"/>
  <c r="X12" i="14"/>
  <c r="W12" i="14"/>
  <c r="U12" i="14"/>
  <c r="T12" i="14"/>
  <c r="V12" i="14" s="1"/>
  <c r="R12" i="14"/>
  <c r="L12" i="14"/>
  <c r="K12" i="14"/>
  <c r="G12" i="14"/>
  <c r="F12" i="14"/>
  <c r="E12" i="14"/>
  <c r="D12" i="14"/>
  <c r="B12" i="14"/>
  <c r="A12" i="14"/>
  <c r="C12" i="14" s="1"/>
  <c r="Z11" i="14"/>
  <c r="Y11" i="14"/>
  <c r="X11" i="14"/>
  <c r="W11" i="14"/>
  <c r="U11" i="14"/>
  <c r="T11" i="14"/>
  <c r="V11" i="14" s="1"/>
  <c r="R11" i="14"/>
  <c r="L11" i="14"/>
  <c r="K11" i="14"/>
  <c r="G11" i="14"/>
  <c r="F11" i="14"/>
  <c r="E11" i="14"/>
  <c r="D11" i="14"/>
  <c r="B11" i="14"/>
  <c r="A11" i="14"/>
  <c r="C11" i="14" s="1"/>
  <c r="Z10" i="14"/>
  <c r="Y10" i="14"/>
  <c r="X10" i="14"/>
  <c r="W10" i="14"/>
  <c r="U10" i="14"/>
  <c r="T10" i="14"/>
  <c r="V10" i="14" s="1"/>
  <c r="R10" i="14"/>
  <c r="L10" i="14"/>
  <c r="K10" i="14"/>
  <c r="G10" i="14"/>
  <c r="F10" i="14"/>
  <c r="E10" i="14"/>
  <c r="D10" i="14"/>
  <c r="B10" i="14"/>
  <c r="A10" i="14"/>
  <c r="C10" i="14" s="1"/>
  <c r="Z9" i="14"/>
  <c r="Y9" i="14"/>
  <c r="X9" i="14"/>
  <c r="W9" i="14"/>
  <c r="U9" i="14"/>
  <c r="T9" i="14"/>
  <c r="V9" i="14" s="1"/>
  <c r="R9" i="14"/>
  <c r="L9" i="14"/>
  <c r="K9" i="14"/>
  <c r="G9" i="14"/>
  <c r="F9" i="14"/>
  <c r="E9" i="14"/>
  <c r="D9" i="14"/>
  <c r="B9" i="14"/>
  <c r="A9" i="14"/>
  <c r="Z8" i="14"/>
  <c r="Y8" i="14"/>
  <c r="X8" i="14"/>
  <c r="W8" i="14"/>
  <c r="U8" i="14"/>
  <c r="T8" i="14"/>
  <c r="V8" i="14" s="1"/>
  <c r="R8" i="14"/>
  <c r="L8" i="14"/>
  <c r="K8" i="14"/>
  <c r="G8" i="14"/>
  <c r="F8" i="14"/>
  <c r="E8" i="14"/>
  <c r="D8" i="14"/>
  <c r="B8" i="14"/>
  <c r="A8" i="14"/>
  <c r="Z7" i="14"/>
  <c r="Y7" i="14"/>
  <c r="X7" i="14"/>
  <c r="W7" i="14"/>
  <c r="U7" i="14"/>
  <c r="T7" i="14"/>
  <c r="V7" i="14" s="1"/>
  <c r="R7" i="14"/>
  <c r="L7" i="14"/>
  <c r="K7" i="14"/>
  <c r="G7" i="14"/>
  <c r="F7" i="14"/>
  <c r="E7" i="14"/>
  <c r="D7" i="14"/>
  <c r="B7" i="14"/>
  <c r="A7" i="14"/>
  <c r="Z6" i="14"/>
  <c r="Y6" i="14"/>
  <c r="X6" i="14"/>
  <c r="W6" i="14"/>
  <c r="U6" i="14"/>
  <c r="T6" i="14"/>
  <c r="V6" i="14" s="1"/>
  <c r="R6" i="14"/>
  <c r="L6" i="14"/>
  <c r="K6" i="14"/>
  <c r="G6" i="14"/>
  <c r="F6" i="14"/>
  <c r="E6" i="14"/>
  <c r="D6" i="14"/>
  <c r="B6" i="14"/>
  <c r="A6" i="14"/>
  <c r="D56" i="12"/>
  <c r="Q55" i="12"/>
  <c r="E55" i="12"/>
  <c r="B55" i="12"/>
  <c r="Q54" i="12"/>
  <c r="F54" i="12"/>
  <c r="D54" i="12"/>
  <c r="Q53" i="12"/>
  <c r="G53" i="12"/>
  <c r="E53" i="12"/>
  <c r="A53" i="12"/>
  <c r="C53" i="12" s="1"/>
  <c r="K52" i="12"/>
  <c r="E52" i="12"/>
  <c r="B52" i="12"/>
  <c r="Q51" i="12"/>
  <c r="F51" i="12"/>
  <c r="D51" i="12"/>
  <c r="A51" i="12"/>
  <c r="C51" i="12" s="1"/>
  <c r="G50" i="12"/>
  <c r="E50" i="12"/>
  <c r="A50" i="12"/>
  <c r="C50" i="12" s="1"/>
  <c r="K49" i="12"/>
  <c r="E49" i="12"/>
  <c r="B49" i="12"/>
  <c r="Q48" i="12"/>
  <c r="F48" i="12"/>
  <c r="D48" i="12"/>
  <c r="A48" i="12"/>
  <c r="C48" i="12" s="1"/>
  <c r="G47" i="12"/>
  <c r="E47" i="12"/>
  <c r="A47" i="12"/>
  <c r="C47" i="12" s="1"/>
  <c r="K46" i="12"/>
  <c r="E46" i="12"/>
  <c r="B46" i="12"/>
  <c r="K45" i="12"/>
  <c r="F45" i="12"/>
  <c r="D45" i="12"/>
  <c r="Q44" i="12"/>
  <c r="G44" i="12"/>
  <c r="D44" i="12"/>
  <c r="A44" i="12"/>
  <c r="C44" i="12" s="1"/>
  <c r="K43" i="12"/>
  <c r="E43" i="12"/>
  <c r="B43" i="12"/>
  <c r="K42" i="12"/>
  <c r="F42" i="12"/>
  <c r="B42" i="12"/>
  <c r="K41" i="12"/>
  <c r="E41" i="12"/>
  <c r="Q40" i="12"/>
  <c r="F40" i="12"/>
  <c r="A40" i="12"/>
  <c r="C40" i="12" s="1"/>
  <c r="G39" i="12"/>
  <c r="D39" i="12"/>
  <c r="K38" i="12"/>
  <c r="E38" i="12"/>
  <c r="Q37" i="12"/>
  <c r="G37" i="12"/>
  <c r="B37" i="12"/>
  <c r="K36" i="12"/>
  <c r="E36" i="12"/>
  <c r="Q35" i="12"/>
  <c r="F35" i="12"/>
  <c r="A35" i="12"/>
  <c r="C35" i="12" s="1"/>
  <c r="G34" i="12"/>
  <c r="B34" i="12"/>
  <c r="X33" i="12"/>
  <c r="S33" i="12"/>
  <c r="U33" i="12" s="1"/>
  <c r="G33" i="12"/>
  <c r="B33" i="12"/>
  <c r="W32" i="12"/>
  <c r="S32" i="12"/>
  <c r="U32" i="12" s="1"/>
  <c r="F32" i="12"/>
  <c r="D32" i="12"/>
  <c r="X31" i="12"/>
  <c r="S31" i="12"/>
  <c r="U31" i="12" s="1"/>
  <c r="K31" i="12"/>
  <c r="D31" i="12"/>
  <c r="Y30" i="12"/>
  <c r="V30" i="12"/>
  <c r="K30" i="12"/>
  <c r="E30" i="12"/>
  <c r="Y29" i="12"/>
  <c r="V29" i="12"/>
  <c r="Q29" i="12"/>
  <c r="E29" i="12"/>
  <c r="A29" i="12"/>
  <c r="C29" i="12" s="1"/>
  <c r="W28" i="12"/>
  <c r="Q28" i="12"/>
  <c r="G28" i="12"/>
  <c r="A28" i="12"/>
  <c r="C28" i="12" s="1"/>
  <c r="W27" i="12"/>
  <c r="T27" i="12"/>
  <c r="G27" i="12"/>
  <c r="D27" i="12"/>
  <c r="X26" i="12"/>
  <c r="T26" i="12"/>
  <c r="K26" i="12"/>
  <c r="D26" i="12"/>
  <c r="Y25" i="12"/>
  <c r="T25" i="12"/>
  <c r="K25" i="12"/>
  <c r="D25" i="12"/>
  <c r="Y24" i="12"/>
  <c r="V24" i="12"/>
  <c r="K24" i="12"/>
  <c r="E24" i="12"/>
  <c r="A24" i="12"/>
  <c r="C24" i="12" s="1"/>
  <c r="V23" i="12"/>
  <c r="Q23" i="12"/>
  <c r="F23" i="12"/>
  <c r="B23" i="12"/>
  <c r="X22" i="12"/>
  <c r="S22" i="12"/>
  <c r="U22" i="12" s="1"/>
  <c r="G22" i="12"/>
  <c r="A22" i="12"/>
  <c r="C22" i="12" s="1"/>
  <c r="X21" i="12"/>
  <c r="S21" i="12"/>
  <c r="U21" i="12" s="1"/>
  <c r="E21" i="12"/>
  <c r="A21" i="12"/>
  <c r="C21" i="12" s="1"/>
  <c r="V20" i="12"/>
  <c r="Q20" i="12"/>
  <c r="F20" i="12"/>
  <c r="A20" i="12"/>
  <c r="C20" i="12" s="1"/>
  <c r="X19" i="12"/>
  <c r="T19" i="12"/>
  <c r="F19" i="12"/>
  <c r="B19" i="12"/>
  <c r="W18" i="12"/>
  <c r="S18" i="12"/>
  <c r="U18" i="12" s="1"/>
  <c r="K18" i="12"/>
  <c r="D18" i="12"/>
  <c r="Y17" i="12"/>
  <c r="T17" i="12"/>
  <c r="K17" i="12"/>
  <c r="D17" i="12"/>
  <c r="W16" i="12"/>
  <c r="S16" i="12"/>
  <c r="U16" i="12" s="1"/>
  <c r="K16" i="12"/>
  <c r="D16" i="12"/>
  <c r="Y12" i="12"/>
  <c r="X12" i="12"/>
  <c r="W12" i="12"/>
  <c r="V12" i="12"/>
  <c r="T12" i="12"/>
  <c r="S12" i="12"/>
  <c r="U12" i="12" s="1"/>
  <c r="Q12" i="12"/>
  <c r="K12" i="12"/>
  <c r="G12" i="12"/>
  <c r="F12" i="12"/>
  <c r="E12" i="12"/>
  <c r="D12" i="12"/>
  <c r="B12" i="12"/>
  <c r="A12" i="12"/>
  <c r="D10" i="12"/>
  <c r="A10" i="12"/>
  <c r="C10" i="12" s="1"/>
  <c r="Y8" i="12"/>
  <c r="X8" i="12"/>
  <c r="W8" i="12"/>
  <c r="V8" i="12"/>
  <c r="T8" i="12"/>
  <c r="S8" i="12"/>
  <c r="U8" i="12" s="1"/>
  <c r="Q8" i="12"/>
  <c r="K8" i="12"/>
  <c r="G8" i="12"/>
  <c r="F8" i="12"/>
  <c r="E8" i="12"/>
  <c r="D8" i="12"/>
  <c r="B8" i="12"/>
  <c r="A8" i="12"/>
  <c r="Y5" i="12"/>
  <c r="X5" i="12"/>
  <c r="W5" i="12"/>
  <c r="V5" i="12"/>
  <c r="T5" i="12"/>
  <c r="S5" i="12"/>
  <c r="Q5" i="12"/>
  <c r="K5" i="12"/>
  <c r="G5" i="12"/>
  <c r="F5" i="12"/>
  <c r="E5" i="12"/>
  <c r="D5" i="12"/>
  <c r="B5" i="12"/>
  <c r="K59" i="11"/>
  <c r="F59" i="11"/>
  <c r="D59" i="11"/>
  <c r="A59" i="11"/>
  <c r="C59" i="11" s="1"/>
  <c r="L58" i="11"/>
  <c r="G58" i="11"/>
  <c r="E58" i="11"/>
  <c r="B58" i="11"/>
  <c r="R57" i="11"/>
  <c r="K57" i="11"/>
  <c r="F57" i="11"/>
  <c r="D57" i="11"/>
  <c r="A57" i="11"/>
  <c r="C57" i="11" s="1"/>
  <c r="L56" i="11"/>
  <c r="G56" i="11"/>
  <c r="E56" i="11"/>
  <c r="B56" i="11"/>
  <c r="R55" i="11"/>
  <c r="K55" i="11"/>
  <c r="F55" i="11"/>
  <c r="D55" i="11"/>
  <c r="A55" i="11"/>
  <c r="C55" i="11" s="1"/>
  <c r="L54" i="11"/>
  <c r="G54" i="11"/>
  <c r="E54" i="11"/>
  <c r="A54" i="11"/>
  <c r="C54" i="11" s="1"/>
  <c r="L53" i="11"/>
  <c r="G53" i="11"/>
  <c r="E53" i="11"/>
  <c r="B53" i="11"/>
  <c r="R52" i="11"/>
  <c r="L52" i="11"/>
  <c r="K52" i="11"/>
  <c r="G52" i="11"/>
  <c r="F52" i="11"/>
  <c r="E52" i="11"/>
  <c r="D52" i="11"/>
  <c r="B52" i="11"/>
  <c r="A52" i="11"/>
  <c r="C52" i="11" s="1"/>
  <c r="R51" i="11"/>
  <c r="L51" i="11"/>
  <c r="K51" i="11"/>
  <c r="G51" i="11"/>
  <c r="F51" i="11"/>
  <c r="F45" i="10"/>
  <c r="D45" i="10"/>
  <c r="A45" i="10"/>
  <c r="C45" i="10" s="1"/>
  <c r="L44" i="10"/>
  <c r="E44" i="10"/>
  <c r="A44" i="10"/>
  <c r="C44" i="10" s="1"/>
  <c r="F43" i="10"/>
  <c r="B43" i="10"/>
  <c r="K42" i="10"/>
  <c r="E42" i="10"/>
  <c r="A42" i="10"/>
  <c r="C42" i="10" s="1"/>
  <c r="G41" i="10"/>
  <c r="D41" i="10"/>
  <c r="L40" i="10"/>
  <c r="F40" i="10"/>
  <c r="A40" i="10"/>
  <c r="C40" i="10" s="1"/>
  <c r="L39" i="10"/>
  <c r="E39" i="10"/>
  <c r="B39" i="10"/>
  <c r="L38" i="10"/>
  <c r="E38" i="10"/>
  <c r="A38" i="10"/>
  <c r="C38" i="10" s="1"/>
  <c r="F37" i="10"/>
  <c r="B37" i="10"/>
  <c r="K36" i="10"/>
  <c r="E36" i="10"/>
  <c r="R35" i="10"/>
  <c r="G35" i="10"/>
  <c r="B35" i="10"/>
  <c r="R34" i="10"/>
  <c r="G34" i="10"/>
  <c r="B34" i="10"/>
  <c r="Y33" i="10"/>
  <c r="U33" i="10"/>
  <c r="R33" i="10"/>
  <c r="G33" i="10"/>
  <c r="D33" i="10"/>
  <c r="A33" i="10"/>
  <c r="C33" i="10" s="1"/>
  <c r="W32" i="10"/>
  <c r="R32" i="10"/>
  <c r="F32" i="10"/>
  <c r="B32" i="10"/>
  <c r="X31" i="10"/>
  <c r="R31" i="10"/>
  <c r="G31" i="10"/>
  <c r="B31" i="10"/>
  <c r="X30" i="10"/>
  <c r="L30" i="10"/>
  <c r="E30" i="10"/>
  <c r="A30" i="10"/>
  <c r="C30" i="10" s="1"/>
  <c r="X29" i="10"/>
  <c r="K29" i="10"/>
  <c r="D29" i="10"/>
  <c r="Y28" i="10"/>
  <c r="U28" i="10"/>
  <c r="G28" i="10"/>
  <c r="D28" i="10"/>
  <c r="Y27" i="10"/>
  <c r="T27" i="10"/>
  <c r="V27" i="10" s="1"/>
  <c r="G27" i="10"/>
  <c r="B27" i="10"/>
  <c r="Y26" i="10"/>
  <c r="T26" i="10"/>
  <c r="V26" i="10" s="1"/>
  <c r="G26" i="10"/>
  <c r="B26" i="10"/>
  <c r="X25" i="10"/>
  <c r="R25" i="10"/>
  <c r="F25" i="10"/>
  <c r="A25" i="10"/>
  <c r="C25" i="10" s="1"/>
  <c r="W24" i="10"/>
  <c r="L24" i="10"/>
  <c r="E24" i="10"/>
  <c r="A24" i="10"/>
  <c r="C24" i="10" s="1"/>
  <c r="U23" i="10"/>
  <c r="L23" i="10"/>
  <c r="E23" i="10"/>
  <c r="Z22" i="10"/>
  <c r="W22" i="10"/>
  <c r="K22" i="10"/>
  <c r="D22" i="10"/>
  <c r="Y21" i="10"/>
  <c r="T21" i="10"/>
  <c r="V21" i="10" s="1"/>
  <c r="K21" i="10"/>
  <c r="B21" i="10"/>
  <c r="Y20" i="10"/>
  <c r="T20" i="10"/>
  <c r="V20" i="10" s="1"/>
  <c r="G20" i="10"/>
  <c r="A20" i="10"/>
  <c r="C20" i="10" s="1"/>
  <c r="W19" i="10"/>
  <c r="R19" i="10"/>
  <c r="F19" i="10"/>
  <c r="A19" i="10"/>
  <c r="C19" i="10" s="1"/>
  <c r="W18" i="10"/>
  <c r="R18" i="10"/>
  <c r="R17" i="10"/>
  <c r="G17" i="10"/>
  <c r="B17" i="10"/>
  <c r="Y16" i="10"/>
  <c r="R16" i="10"/>
  <c r="F16" i="10"/>
  <c r="A16" i="10"/>
  <c r="C16" i="10" s="1"/>
  <c r="Z15" i="10"/>
  <c r="W15" i="10"/>
  <c r="T15" i="10"/>
  <c r="V15" i="10" s="1"/>
  <c r="L15" i="10"/>
  <c r="F15" i="10"/>
  <c r="D15" i="10"/>
  <c r="Z13" i="10"/>
  <c r="Y13" i="10"/>
  <c r="X13" i="10"/>
  <c r="W13" i="10"/>
  <c r="U13" i="10"/>
  <c r="T13" i="10"/>
  <c r="V13" i="10" s="1"/>
  <c r="R13" i="10"/>
  <c r="L13" i="10"/>
  <c r="K13" i="10"/>
  <c r="G13" i="10"/>
  <c r="F13" i="10"/>
  <c r="E13" i="10"/>
  <c r="D13" i="10"/>
  <c r="B13" i="10"/>
  <c r="A13" i="10"/>
  <c r="C13" i="10" s="1"/>
  <c r="Z11" i="10"/>
  <c r="Y11" i="10"/>
  <c r="X11" i="10"/>
  <c r="W11" i="10"/>
  <c r="U11" i="10"/>
  <c r="T11" i="10"/>
  <c r="V11" i="10" s="1"/>
  <c r="R11" i="10"/>
  <c r="L11" i="10"/>
  <c r="K11" i="10"/>
  <c r="G11" i="10"/>
  <c r="F11" i="10"/>
  <c r="E11" i="10"/>
  <c r="D11" i="10"/>
  <c r="B11" i="10"/>
  <c r="A11" i="10"/>
  <c r="C11" i="10" s="1"/>
  <c r="Z8" i="10"/>
  <c r="Y8" i="10"/>
  <c r="X8" i="10"/>
  <c r="W8" i="10"/>
  <c r="U8" i="10"/>
  <c r="T8" i="10"/>
  <c r="V8" i="10" s="1"/>
  <c r="R8" i="10"/>
  <c r="L8" i="10"/>
  <c r="K8" i="10"/>
  <c r="G8" i="10"/>
  <c r="F8" i="10"/>
  <c r="E8" i="10"/>
  <c r="D8" i="10"/>
  <c r="B8" i="10"/>
  <c r="A8" i="10"/>
  <c r="C8" i="10" s="1"/>
  <c r="Z6" i="10"/>
  <c r="Y6" i="10"/>
  <c r="X6" i="10"/>
  <c r="W6" i="10"/>
  <c r="U6" i="10"/>
  <c r="T6" i="10"/>
  <c r="V6" i="10" s="1"/>
  <c r="R6" i="10"/>
  <c r="L6" i="10"/>
  <c r="K6" i="10"/>
  <c r="G6" i="10"/>
  <c r="F6" i="10"/>
  <c r="E6" i="10"/>
  <c r="D6" i="10"/>
  <c r="A6" i="10"/>
  <c r="K55" i="9"/>
  <c r="E55" i="9"/>
  <c r="A55" i="9"/>
  <c r="C55" i="9" s="1"/>
  <c r="K54" i="9"/>
  <c r="E54" i="9"/>
  <c r="A54" i="9"/>
  <c r="C54" i="9" s="1"/>
  <c r="K53" i="9"/>
  <c r="F53" i="9"/>
  <c r="B53" i="9"/>
  <c r="K52" i="9"/>
  <c r="E52" i="9"/>
  <c r="A52" i="9"/>
  <c r="C52" i="9" s="1"/>
  <c r="K51" i="9"/>
  <c r="E51" i="9"/>
  <c r="B51" i="9"/>
  <c r="K50" i="9"/>
  <c r="E50" i="9"/>
  <c r="A50" i="9"/>
  <c r="C50" i="9" s="1"/>
  <c r="K49" i="9"/>
  <c r="E49" i="9"/>
  <c r="B49" i="9"/>
  <c r="K48" i="9"/>
  <c r="E48" i="9"/>
  <c r="A48" i="9"/>
  <c r="C48" i="9" s="1"/>
  <c r="K47" i="9"/>
  <c r="D47" i="9"/>
  <c r="R46" i="9"/>
  <c r="G46" i="9"/>
  <c r="D46" i="9"/>
  <c r="R45" i="9"/>
  <c r="F45" i="9"/>
  <c r="B45" i="9"/>
  <c r="L44" i="9"/>
  <c r="F44" i="9"/>
  <c r="B44" i="9"/>
  <c r="K43" i="9"/>
  <c r="E43" i="9"/>
  <c r="R42" i="9"/>
  <c r="G42" i="9"/>
  <c r="B42" i="9"/>
  <c r="L41" i="9"/>
  <c r="F41" i="9"/>
  <c r="A41" i="9"/>
  <c r="C41" i="9" s="1"/>
  <c r="K40" i="9"/>
  <c r="D40" i="9"/>
  <c r="R39" i="9"/>
  <c r="F39" i="9"/>
  <c r="B39" i="9"/>
  <c r="L38" i="9"/>
  <c r="E38" i="9"/>
  <c r="A38" i="9"/>
  <c r="C38" i="9" s="1"/>
  <c r="F37" i="9"/>
  <c r="B37" i="9"/>
  <c r="L36" i="9"/>
  <c r="E36" i="9"/>
  <c r="A36" i="9"/>
  <c r="C36" i="9" s="1"/>
  <c r="G35" i="9"/>
  <c r="D35" i="9"/>
  <c r="R34" i="9"/>
  <c r="G34" i="9"/>
  <c r="B34" i="9"/>
  <c r="Y33" i="9"/>
  <c r="T33" i="9"/>
  <c r="V33" i="9" s="1"/>
  <c r="K33" i="9"/>
  <c r="E33" i="9"/>
  <c r="A33" i="9"/>
  <c r="C33" i="9" s="1"/>
  <c r="X32" i="9"/>
  <c r="R32" i="9"/>
  <c r="G32" i="9"/>
  <c r="B32" i="9"/>
  <c r="Y31" i="9"/>
  <c r="U31" i="9"/>
  <c r="K31" i="9"/>
  <c r="E31" i="9"/>
  <c r="Z30" i="9"/>
  <c r="W30" i="9"/>
  <c r="R30" i="9"/>
  <c r="F30" i="9"/>
  <c r="B30" i="9"/>
  <c r="Y29" i="9"/>
  <c r="T29" i="9"/>
  <c r="V29" i="9" s="1"/>
  <c r="L29" i="9"/>
  <c r="E29" i="9"/>
  <c r="A29" i="9"/>
  <c r="C29" i="9" s="1"/>
  <c r="X28" i="9"/>
  <c r="R28" i="9"/>
  <c r="G28" i="9"/>
  <c r="B28" i="9"/>
  <c r="Y27" i="9"/>
  <c r="U27" i="9"/>
  <c r="K27" i="9"/>
  <c r="E27" i="9"/>
  <c r="Z26" i="9"/>
  <c r="W26" i="9"/>
  <c r="R26" i="9"/>
  <c r="F26" i="9"/>
  <c r="B26" i="9"/>
  <c r="X25" i="9"/>
  <c r="T25" i="9"/>
  <c r="V25" i="9" s="1"/>
  <c r="K25" i="9"/>
  <c r="D25" i="9"/>
  <c r="Z24" i="9"/>
  <c r="U24" i="9"/>
  <c r="L24" i="9"/>
  <c r="D24" i="9"/>
  <c r="Z23" i="9"/>
  <c r="W23" i="9"/>
  <c r="L23" i="9"/>
  <c r="F23" i="9"/>
  <c r="B23" i="9"/>
  <c r="X22" i="9"/>
  <c r="T22" i="9"/>
  <c r="V22" i="9" s="1"/>
  <c r="G22" i="9"/>
  <c r="D22" i="9"/>
  <c r="Z21" i="9"/>
  <c r="T21" i="9"/>
  <c r="V21" i="9" s="1"/>
  <c r="K21" i="9"/>
  <c r="D21" i="9"/>
  <c r="Z20" i="9"/>
  <c r="T20" i="9"/>
  <c r="V20" i="9" s="1"/>
  <c r="L20" i="9"/>
  <c r="E20" i="9"/>
  <c r="Z19" i="9"/>
  <c r="U19" i="9"/>
  <c r="K19" i="9"/>
  <c r="D19" i="9"/>
  <c r="Z18" i="9"/>
  <c r="U18" i="9"/>
  <c r="K18" i="9"/>
  <c r="D18" i="9"/>
  <c r="Z17" i="9"/>
  <c r="U17" i="9"/>
  <c r="K17" i="9"/>
  <c r="D17" i="9"/>
  <c r="AH16" i="9"/>
  <c r="Z16" i="9"/>
  <c r="T16" i="9"/>
  <c r="V16" i="9" s="1"/>
  <c r="K16" i="9"/>
  <c r="B16" i="9"/>
  <c r="Z10" i="9"/>
  <c r="Y10" i="9"/>
  <c r="X10" i="9"/>
  <c r="W10" i="9"/>
  <c r="U10" i="9"/>
  <c r="T10" i="9"/>
  <c r="V10" i="9" s="1"/>
  <c r="R10" i="9"/>
  <c r="G23" i="7"/>
  <c r="E23" i="7"/>
  <c r="D23" i="7"/>
  <c r="B23" i="7"/>
  <c r="Z22" i="7"/>
  <c r="X22" i="7"/>
  <c r="W22" i="7"/>
  <c r="U22" i="7"/>
  <c r="R22" i="7"/>
  <c r="L22" i="7"/>
  <c r="F22" i="7"/>
  <c r="E22" i="7"/>
  <c r="A22" i="7"/>
  <c r="C22" i="7" s="1"/>
  <c r="Y21" i="7"/>
  <c r="W21" i="7"/>
  <c r="R21" i="7"/>
  <c r="K21" i="7"/>
  <c r="E21" i="7"/>
  <c r="B21" i="7"/>
  <c r="Z20" i="7"/>
  <c r="W20" i="7"/>
  <c r="T20" i="7"/>
  <c r="V20" i="7" s="1"/>
  <c r="K20" i="7"/>
  <c r="F20" i="7"/>
  <c r="B20" i="7"/>
  <c r="Z19" i="7"/>
  <c r="W19" i="7"/>
  <c r="T19" i="7"/>
  <c r="V19" i="7" s="1"/>
  <c r="K19" i="7"/>
  <c r="F19" i="7"/>
  <c r="D19" i="7"/>
  <c r="Z18" i="7"/>
  <c r="X18" i="7"/>
  <c r="T18" i="7"/>
  <c r="V18" i="7" s="1"/>
  <c r="L18" i="7"/>
  <c r="G18" i="7"/>
  <c r="D18" i="7"/>
  <c r="A18" i="7"/>
  <c r="C18" i="7" s="1"/>
  <c r="X17" i="7"/>
  <c r="U17" i="7"/>
  <c r="L17" i="7"/>
  <c r="F17" i="7"/>
  <c r="D17" i="7"/>
  <c r="AH16" i="7"/>
  <c r="X16" i="7"/>
  <c r="T16" i="7"/>
  <c r="V16" i="7" s="1"/>
  <c r="L16" i="7"/>
  <c r="F16" i="7"/>
  <c r="B16" i="7"/>
  <c r="Z15" i="7"/>
  <c r="X15" i="7"/>
  <c r="W15" i="7"/>
  <c r="T15" i="7"/>
  <c r="V15" i="7" s="1"/>
  <c r="R15" i="7"/>
  <c r="L15" i="7"/>
  <c r="G15" i="7"/>
  <c r="F15" i="7"/>
  <c r="D15" i="7"/>
  <c r="B15" i="7"/>
  <c r="U13" i="7"/>
  <c r="T13" i="7"/>
  <c r="V13" i="7" s="1"/>
  <c r="L13" i="7"/>
  <c r="K13" i="7"/>
  <c r="G13" i="7"/>
  <c r="E13" i="7"/>
  <c r="D13" i="7"/>
  <c r="A13" i="7"/>
  <c r="C13" i="7" s="1"/>
  <c r="Z11" i="7"/>
  <c r="Y11" i="7"/>
  <c r="X11" i="7"/>
  <c r="W11" i="7"/>
  <c r="U11" i="7"/>
  <c r="T11" i="7"/>
  <c r="V11" i="7" s="1"/>
  <c r="R11" i="7"/>
  <c r="L11" i="7"/>
  <c r="K11" i="7"/>
  <c r="G11" i="7"/>
  <c r="E11" i="7"/>
  <c r="D11" i="7"/>
  <c r="A11" i="7"/>
  <c r="C11" i="7" s="1"/>
  <c r="Z8" i="7"/>
  <c r="Y8" i="7"/>
  <c r="X8" i="7"/>
  <c r="W8" i="7"/>
  <c r="T8" i="7"/>
  <c r="V8" i="7" s="1"/>
  <c r="L8" i="7"/>
  <c r="G8" i="7"/>
  <c r="E8" i="7"/>
  <c r="B8" i="7"/>
  <c r="Z4" i="7"/>
  <c r="Y4" i="7"/>
  <c r="X4" i="7"/>
  <c r="W4" i="7"/>
  <c r="U4" i="7"/>
  <c r="T4" i="7"/>
  <c r="R4" i="7"/>
  <c r="L4" i="7"/>
  <c r="K4" i="7"/>
  <c r="G4" i="7"/>
  <c r="F4" i="7"/>
  <c r="E4" i="7"/>
  <c r="D4" i="7"/>
  <c r="B4" i="7"/>
  <c r="A4" i="7"/>
  <c r="R63" i="6"/>
  <c r="L63" i="6"/>
  <c r="K63" i="6"/>
  <c r="G63" i="6"/>
  <c r="F63" i="6"/>
  <c r="E63" i="6"/>
  <c r="D63" i="6"/>
  <c r="B63" i="6"/>
  <c r="A63" i="6"/>
  <c r="C63" i="6" s="1"/>
  <c r="R62" i="6"/>
  <c r="L62" i="6"/>
  <c r="K62" i="6"/>
  <c r="G62" i="6"/>
  <c r="E62" i="6"/>
  <c r="D62" i="6"/>
  <c r="A62" i="6"/>
  <c r="C62" i="6" s="1"/>
  <c r="L61" i="6"/>
  <c r="G61" i="6"/>
  <c r="E61" i="6"/>
  <c r="B61" i="6"/>
  <c r="R60" i="6"/>
  <c r="F60" i="6"/>
  <c r="E60" i="6"/>
  <c r="B60" i="6"/>
  <c r="R59" i="6"/>
  <c r="K59" i="6"/>
  <c r="F59" i="6"/>
  <c r="D59" i="6"/>
  <c r="A59" i="6"/>
  <c r="C59" i="6" s="1"/>
  <c r="K58" i="6"/>
  <c r="F58" i="6"/>
  <c r="B58" i="6"/>
  <c r="R57" i="6"/>
  <c r="L57" i="6"/>
  <c r="K57" i="6"/>
  <c r="G57" i="6"/>
  <c r="E57" i="6"/>
  <c r="B57" i="6"/>
  <c r="R56" i="6"/>
  <c r="K56" i="6"/>
  <c r="F56" i="6"/>
  <c r="E56" i="6"/>
  <c r="D56" i="6"/>
  <c r="A56" i="6"/>
  <c r="C56" i="6" s="1"/>
  <c r="L55" i="6"/>
  <c r="G55" i="6"/>
  <c r="E55" i="6"/>
  <c r="B55" i="6"/>
  <c r="R54" i="6"/>
  <c r="K54" i="6"/>
  <c r="F54" i="6"/>
  <c r="D54" i="6"/>
  <c r="A54" i="6"/>
  <c r="C54" i="6" s="1"/>
  <c r="L53" i="6"/>
  <c r="G53" i="6"/>
  <c r="E53" i="6"/>
  <c r="B53" i="6"/>
  <c r="R52" i="6"/>
  <c r="K52" i="6"/>
  <c r="E52" i="6"/>
  <c r="B52" i="6"/>
  <c r="R51" i="6"/>
  <c r="G51" i="6"/>
  <c r="E51" i="6"/>
  <c r="B51" i="6"/>
  <c r="L50" i="6"/>
  <c r="G50" i="6"/>
  <c r="D50" i="6"/>
  <c r="A50" i="6"/>
  <c r="C50" i="6" s="1"/>
  <c r="L49" i="6"/>
  <c r="F49" i="6"/>
  <c r="D49" i="6"/>
  <c r="R48" i="6"/>
  <c r="K48" i="6"/>
  <c r="F48" i="6"/>
  <c r="B48" i="6"/>
  <c r="R47" i="6"/>
  <c r="G47" i="6"/>
  <c r="D47" i="6"/>
  <c r="A47" i="6"/>
  <c r="C47" i="6" s="1"/>
  <c r="K46" i="6"/>
  <c r="D46" i="6"/>
  <c r="R45" i="6"/>
  <c r="E45" i="6"/>
  <c r="A45" i="6"/>
  <c r="C45" i="6" s="1"/>
  <c r="K44" i="6"/>
  <c r="D44" i="6"/>
  <c r="L43" i="6"/>
  <c r="F43" i="6"/>
  <c r="A43" i="6"/>
  <c r="C43" i="6" s="1"/>
  <c r="G42" i="6"/>
  <c r="B42" i="6"/>
  <c r="L41" i="6"/>
  <c r="E41" i="6"/>
  <c r="R40" i="6"/>
  <c r="G40" i="6"/>
  <c r="A40" i="6"/>
  <c r="C40" i="6" s="1"/>
  <c r="G39" i="6"/>
  <c r="B39" i="6"/>
  <c r="G38" i="6"/>
  <c r="D38" i="6"/>
  <c r="K37" i="6"/>
  <c r="E37" i="6"/>
  <c r="A37" i="6"/>
  <c r="C37" i="6" s="1"/>
  <c r="E36" i="6"/>
  <c r="A36" i="6"/>
  <c r="C36" i="6" s="1"/>
  <c r="K35" i="6"/>
  <c r="A35" i="6"/>
  <c r="C35" i="6" s="1"/>
  <c r="K34" i="6"/>
  <c r="D34" i="6"/>
  <c r="X33" i="6"/>
  <c r="U33" i="6"/>
  <c r="E33" i="6"/>
  <c r="A33" i="6"/>
  <c r="C33" i="6" s="1"/>
  <c r="W32" i="6"/>
  <c r="L32" i="6"/>
  <c r="E32" i="6"/>
  <c r="Z31" i="6"/>
  <c r="T31" i="6"/>
  <c r="V31" i="6" s="1"/>
  <c r="L31" i="6"/>
  <c r="D31" i="6"/>
  <c r="Y30" i="6"/>
  <c r="U30" i="6"/>
  <c r="F30" i="6"/>
  <c r="A30" i="6"/>
  <c r="C30" i="6" s="1"/>
  <c r="U29" i="6"/>
  <c r="K29" i="6"/>
  <c r="D29" i="6"/>
  <c r="Y28" i="6"/>
  <c r="T28" i="6"/>
  <c r="V28" i="6" s="1"/>
  <c r="K28" i="6"/>
  <c r="B28" i="6"/>
  <c r="Y27" i="6"/>
  <c r="U27" i="6"/>
  <c r="F27" i="6"/>
  <c r="B27" i="6"/>
  <c r="X26" i="6"/>
  <c r="R26" i="6"/>
  <c r="F26" i="6"/>
  <c r="Z25" i="6"/>
  <c r="U25" i="6"/>
  <c r="K25" i="6"/>
  <c r="B25" i="6"/>
  <c r="Y24" i="6"/>
  <c r="T24" i="6"/>
  <c r="V24" i="6" s="1"/>
  <c r="E166" i="3"/>
  <c r="E155" i="3"/>
  <c r="G126" i="3"/>
  <c r="F126" i="3"/>
  <c r="C126" i="3"/>
  <c r="E123" i="3"/>
  <c r="E64" i="3"/>
  <c r="D64" i="3"/>
  <c r="G54" i="3"/>
  <c r="F54" i="3"/>
  <c r="C54" i="3"/>
  <c r="E13" i="3"/>
  <c r="D13" i="3" s="1"/>
  <c r="E5" i="3"/>
  <c r="I213" i="1"/>
  <c r="I202" i="1"/>
  <c r="I200" i="1"/>
  <c r="E51" i="11"/>
  <c r="D51" i="11"/>
  <c r="B51" i="11"/>
  <c r="A51" i="11"/>
  <c r="C51" i="11" s="1"/>
  <c r="R50" i="11"/>
  <c r="L50" i="11"/>
  <c r="K50" i="11"/>
  <c r="G50" i="11"/>
  <c r="F50" i="11"/>
  <c r="E50" i="11"/>
  <c r="D50" i="11"/>
  <c r="B50" i="11"/>
  <c r="A50" i="11"/>
  <c r="C50" i="11" s="1"/>
  <c r="R49" i="11"/>
  <c r="L49" i="11"/>
  <c r="K49" i="11"/>
  <c r="G49" i="11"/>
  <c r="F49" i="11"/>
  <c r="E49" i="11"/>
  <c r="D49" i="11"/>
  <c r="B49" i="11"/>
  <c r="A49" i="11"/>
  <c r="C49" i="11" s="1"/>
  <c r="R48" i="11"/>
  <c r="L48" i="11"/>
  <c r="K48" i="11"/>
  <c r="G48" i="11"/>
  <c r="F48" i="11"/>
  <c r="E48" i="11"/>
  <c r="D48" i="11"/>
  <c r="B48" i="11"/>
  <c r="A48" i="11"/>
  <c r="C48" i="11" s="1"/>
  <c r="R47" i="11"/>
  <c r="L47" i="11"/>
  <c r="K47" i="11"/>
  <c r="G47" i="11"/>
  <c r="F47" i="11"/>
  <c r="E47" i="11"/>
  <c r="D47" i="11"/>
  <c r="B47" i="11"/>
  <c r="A47" i="11"/>
  <c r="C47" i="11" s="1"/>
  <c r="R46" i="11"/>
  <c r="L46" i="11"/>
  <c r="K46" i="11"/>
  <c r="G46" i="11"/>
  <c r="F46" i="11"/>
  <c r="E46" i="11"/>
  <c r="D46" i="11"/>
  <c r="B46" i="11"/>
  <c r="A46" i="11"/>
  <c r="C46" i="11" s="1"/>
  <c r="R45" i="11"/>
  <c r="L45" i="11"/>
  <c r="K45" i="11"/>
  <c r="G45" i="11"/>
  <c r="F45" i="11"/>
  <c r="E45" i="11"/>
  <c r="D45" i="11"/>
  <c r="B45" i="11"/>
  <c r="A45" i="11"/>
  <c r="C45" i="11" s="1"/>
  <c r="R44" i="11"/>
  <c r="L44" i="11"/>
  <c r="K44" i="11"/>
  <c r="G44" i="11"/>
  <c r="F44" i="11"/>
  <c r="E44" i="11"/>
  <c r="D44" i="11"/>
  <c r="B44" i="11"/>
  <c r="A44" i="11"/>
  <c r="C44" i="11" s="1"/>
  <c r="R43" i="11"/>
  <c r="L43" i="11"/>
  <c r="K43" i="11"/>
  <c r="G43" i="11"/>
  <c r="F43" i="11"/>
  <c r="E43" i="11"/>
  <c r="D43" i="11"/>
  <c r="B43" i="11"/>
  <c r="A43" i="11"/>
  <c r="C43" i="11" s="1"/>
  <c r="R42" i="11"/>
  <c r="L42" i="11"/>
  <c r="K42" i="11"/>
  <c r="G42" i="11"/>
  <c r="F42" i="11"/>
  <c r="E42" i="11"/>
  <c r="D42" i="11"/>
  <c r="B42" i="11"/>
  <c r="A42" i="11"/>
  <c r="C42" i="11" s="1"/>
  <c r="R41" i="11"/>
  <c r="L41" i="11"/>
  <c r="K41" i="11"/>
  <c r="G41" i="11"/>
  <c r="F41" i="11"/>
  <c r="E41" i="11"/>
  <c r="D41" i="11"/>
  <c r="B41" i="11"/>
  <c r="A41" i="11"/>
  <c r="C41" i="11" s="1"/>
  <c r="R40" i="11"/>
  <c r="L40" i="11"/>
  <c r="K40" i="11"/>
  <c r="G40" i="11"/>
  <c r="F40" i="11"/>
  <c r="E40" i="11"/>
  <c r="D40" i="11"/>
  <c r="B40" i="11"/>
  <c r="A40" i="11"/>
  <c r="C40" i="11" s="1"/>
  <c r="R39" i="11"/>
  <c r="L39" i="11"/>
  <c r="K39" i="11"/>
  <c r="G39" i="11"/>
  <c r="F39" i="11"/>
  <c r="E39" i="11"/>
  <c r="D39" i="11"/>
  <c r="B39" i="11"/>
  <c r="A39" i="11"/>
  <c r="C39" i="11" s="1"/>
  <c r="R38" i="11"/>
  <c r="L38" i="11"/>
  <c r="K38" i="11"/>
  <c r="G38" i="11"/>
  <c r="F38" i="11"/>
  <c r="E38" i="11"/>
  <c r="D38" i="11"/>
  <c r="B38" i="11"/>
  <c r="A38" i="11"/>
  <c r="C38" i="11" s="1"/>
  <c r="R37" i="11"/>
  <c r="L37" i="11"/>
  <c r="K37" i="11"/>
  <c r="G37" i="11"/>
  <c r="F37" i="11"/>
  <c r="E37" i="11"/>
  <c r="D37" i="11"/>
  <c r="B37" i="11"/>
  <c r="A37" i="11"/>
  <c r="C37" i="11" s="1"/>
  <c r="R36" i="11"/>
  <c r="L36" i="11"/>
  <c r="K36" i="11"/>
  <c r="G36" i="11"/>
  <c r="F36" i="11"/>
  <c r="E36" i="11"/>
  <c r="D36" i="11"/>
  <c r="B36" i="11"/>
  <c r="A36" i="11"/>
  <c r="C36" i="11" s="1"/>
  <c r="R35" i="11"/>
  <c r="L35" i="11"/>
  <c r="K35" i="11"/>
  <c r="G35" i="11"/>
  <c r="F35" i="11"/>
  <c r="E35" i="11"/>
  <c r="D35" i="11"/>
  <c r="B35" i="11"/>
  <c r="A35" i="11"/>
  <c r="C35" i="11" s="1"/>
  <c r="R34" i="11"/>
  <c r="L34" i="11"/>
  <c r="K34" i="11"/>
  <c r="G34" i="11"/>
  <c r="F34" i="11"/>
  <c r="E34" i="11"/>
  <c r="D34" i="11"/>
  <c r="B34" i="11"/>
  <c r="A34" i="11"/>
  <c r="C34" i="11" s="1"/>
  <c r="Z33" i="11"/>
  <c r="Y33" i="11"/>
  <c r="X33" i="11"/>
  <c r="W33" i="11"/>
  <c r="U33" i="11"/>
  <c r="T33" i="11"/>
  <c r="V33" i="11" s="1"/>
  <c r="R33" i="11"/>
  <c r="L33" i="11"/>
  <c r="K33" i="11"/>
  <c r="G33" i="11"/>
  <c r="F33" i="11"/>
  <c r="E33" i="11"/>
  <c r="D33" i="11"/>
  <c r="B33" i="11"/>
  <c r="A33" i="11"/>
  <c r="C33" i="11" s="1"/>
  <c r="Z32" i="11"/>
  <c r="Y32" i="11"/>
  <c r="X32" i="11"/>
  <c r="W32" i="11"/>
  <c r="U32" i="11"/>
  <c r="T32" i="11"/>
  <c r="V32" i="11" s="1"/>
  <c r="R32" i="11"/>
  <c r="L32" i="11"/>
  <c r="K32" i="11"/>
  <c r="G32" i="11"/>
  <c r="F32" i="11"/>
  <c r="E32" i="11"/>
  <c r="D32" i="11"/>
  <c r="B32" i="11"/>
  <c r="A32" i="11"/>
  <c r="C32" i="11" s="1"/>
  <c r="Z31" i="11"/>
  <c r="Y31" i="11"/>
  <c r="X31" i="11"/>
  <c r="W31" i="11"/>
  <c r="U31" i="11"/>
  <c r="T31" i="11"/>
  <c r="V31" i="11" s="1"/>
  <c r="R31" i="11"/>
  <c r="L31" i="11"/>
  <c r="K31" i="11"/>
  <c r="G31" i="11"/>
  <c r="F31" i="11"/>
  <c r="E31" i="11"/>
  <c r="D31" i="11"/>
  <c r="B31" i="11"/>
  <c r="A31" i="11"/>
  <c r="C31" i="11" s="1"/>
  <c r="Z30" i="11"/>
  <c r="Y30" i="11"/>
  <c r="X30" i="11"/>
  <c r="W30" i="11"/>
  <c r="U30" i="11"/>
  <c r="T30" i="11"/>
  <c r="V30" i="11" s="1"/>
  <c r="R30" i="11"/>
  <c r="L30" i="11"/>
  <c r="K30" i="11"/>
  <c r="G30" i="11"/>
  <c r="F30" i="11"/>
  <c r="E30" i="11"/>
  <c r="D30" i="11"/>
  <c r="B30" i="11"/>
  <c r="A30" i="11"/>
  <c r="C30" i="11" s="1"/>
  <c r="Z29" i="11"/>
  <c r="Y29" i="11"/>
  <c r="X29" i="11"/>
  <c r="W29" i="11"/>
  <c r="U29" i="11"/>
  <c r="T29" i="11"/>
  <c r="V29" i="11" s="1"/>
  <c r="R29" i="11"/>
  <c r="L29" i="11"/>
  <c r="K29" i="11"/>
  <c r="G29" i="11"/>
  <c r="F29" i="11"/>
  <c r="E29" i="11"/>
  <c r="D29" i="11"/>
  <c r="B29" i="11"/>
  <c r="A29" i="11"/>
  <c r="C29" i="11" s="1"/>
  <c r="Z28" i="11"/>
  <c r="Y28" i="11"/>
  <c r="X28" i="11"/>
  <c r="W28" i="11"/>
  <c r="U28" i="11"/>
  <c r="T28" i="11"/>
  <c r="V28" i="11" s="1"/>
  <c r="R28" i="11"/>
  <c r="L28" i="11"/>
  <c r="K28" i="11"/>
  <c r="G28" i="11"/>
  <c r="F28" i="11"/>
  <c r="E28" i="11"/>
  <c r="D28" i="11"/>
  <c r="B28" i="11"/>
  <c r="A28" i="11"/>
  <c r="C28" i="11" s="1"/>
  <c r="Z27" i="11"/>
  <c r="Y27" i="11"/>
  <c r="X27" i="11"/>
  <c r="W27" i="11"/>
  <c r="U27" i="11"/>
  <c r="T27" i="11"/>
  <c r="V27" i="11" s="1"/>
  <c r="R27" i="11"/>
  <c r="L27" i="11"/>
  <c r="K27" i="11"/>
  <c r="G27" i="11"/>
  <c r="F27" i="11"/>
  <c r="E27" i="11"/>
  <c r="D27" i="11"/>
  <c r="B27" i="11"/>
  <c r="A27" i="11"/>
  <c r="C27" i="11" s="1"/>
  <c r="Z26" i="11"/>
  <c r="Y26" i="11"/>
  <c r="X26" i="11"/>
  <c r="W26" i="11"/>
  <c r="U26" i="11"/>
  <c r="T26" i="11"/>
  <c r="V26" i="11" s="1"/>
  <c r="R26" i="11"/>
  <c r="L26" i="11"/>
  <c r="K26" i="11"/>
  <c r="G26" i="11"/>
  <c r="F26" i="11"/>
  <c r="E26" i="11"/>
  <c r="D26" i="11"/>
  <c r="B26" i="11"/>
  <c r="A26" i="11"/>
  <c r="C26" i="11" s="1"/>
  <c r="Z25" i="11"/>
  <c r="Y25" i="11"/>
  <c r="X25" i="11"/>
  <c r="W25" i="11"/>
  <c r="U25" i="11"/>
  <c r="T25" i="11"/>
  <c r="V25" i="11" s="1"/>
  <c r="R25" i="11"/>
  <c r="L25" i="11"/>
  <c r="K25" i="11"/>
  <c r="G25" i="11"/>
  <c r="F25" i="11"/>
  <c r="E25" i="11"/>
  <c r="D25" i="11"/>
  <c r="B25" i="11"/>
  <c r="A25" i="11"/>
  <c r="C25" i="11" s="1"/>
  <c r="Z24" i="11"/>
  <c r="Y24" i="11"/>
  <c r="X24" i="11"/>
  <c r="W24" i="11"/>
  <c r="U24" i="11"/>
  <c r="T24" i="11"/>
  <c r="V24" i="11" s="1"/>
  <c r="R24" i="11"/>
  <c r="L24" i="11"/>
  <c r="K24" i="11"/>
  <c r="G24" i="11"/>
  <c r="F24" i="11"/>
  <c r="E24" i="11"/>
  <c r="D24" i="11"/>
  <c r="B24" i="11"/>
  <c r="A24" i="11"/>
  <c r="C24" i="11" s="1"/>
  <c r="Z23" i="11"/>
  <c r="Y23" i="11"/>
  <c r="X23" i="11"/>
  <c r="W23" i="11"/>
  <c r="U23" i="11"/>
  <c r="T23" i="11"/>
  <c r="V23" i="11" s="1"/>
  <c r="R23" i="11"/>
  <c r="L23" i="11"/>
  <c r="K23" i="11"/>
  <c r="G23" i="11"/>
  <c r="F23" i="11"/>
  <c r="E23" i="11"/>
  <c r="D23" i="11"/>
  <c r="B23" i="11"/>
  <c r="A23" i="11"/>
  <c r="C23" i="11" s="1"/>
  <c r="Z22" i="11"/>
  <c r="Y22" i="11"/>
  <c r="X22" i="11"/>
  <c r="W22" i="11"/>
  <c r="U22" i="11"/>
  <c r="T22" i="11"/>
  <c r="V22" i="11" s="1"/>
  <c r="R22" i="11"/>
  <c r="L22" i="11"/>
  <c r="K22" i="11"/>
  <c r="G22" i="11"/>
  <c r="F22" i="11"/>
  <c r="E22" i="11"/>
  <c r="D22" i="11"/>
  <c r="B22" i="11"/>
  <c r="A22" i="11"/>
  <c r="C22" i="11" s="1"/>
  <c r="Z21" i="11"/>
  <c r="Y21" i="11"/>
  <c r="X21" i="11"/>
  <c r="W21" i="11"/>
  <c r="U21" i="11"/>
  <c r="T21" i="11"/>
  <c r="V21" i="11" s="1"/>
  <c r="R21" i="11"/>
  <c r="L21" i="11"/>
  <c r="K21" i="11"/>
  <c r="G21" i="11"/>
  <c r="F21" i="11"/>
  <c r="E21" i="11"/>
  <c r="D21" i="11"/>
  <c r="B21" i="11"/>
  <c r="A21" i="11"/>
  <c r="C21" i="11" s="1"/>
  <c r="Z20" i="11"/>
  <c r="Y20" i="11"/>
  <c r="X20" i="11"/>
  <c r="W20" i="11"/>
  <c r="U20" i="11"/>
  <c r="T20" i="11"/>
  <c r="V20" i="11" s="1"/>
  <c r="R20" i="11"/>
  <c r="L20" i="11"/>
  <c r="K20" i="11"/>
  <c r="G20" i="11"/>
  <c r="F20" i="11"/>
  <c r="E20" i="11"/>
  <c r="D20" i="11"/>
  <c r="B20" i="11"/>
  <c r="A20" i="11"/>
  <c r="C20" i="11" s="1"/>
  <c r="Z19" i="11"/>
  <c r="Y19" i="11"/>
  <c r="X19" i="11"/>
  <c r="W19" i="11"/>
  <c r="U19" i="11"/>
  <c r="T19" i="11"/>
  <c r="V19" i="11" s="1"/>
  <c r="R19" i="11"/>
  <c r="L19" i="11"/>
  <c r="K19" i="11"/>
  <c r="G19" i="11"/>
  <c r="F19" i="11"/>
  <c r="E19" i="11"/>
  <c r="D19" i="11"/>
  <c r="B19" i="11"/>
  <c r="A19" i="11"/>
  <c r="C19" i="11" s="1"/>
  <c r="Z18" i="11"/>
  <c r="Y18" i="11"/>
  <c r="X18" i="11"/>
  <c r="W18" i="11"/>
  <c r="U18" i="11"/>
  <c r="T18" i="11"/>
  <c r="V18" i="11" s="1"/>
  <c r="R18" i="11"/>
  <c r="L18" i="11"/>
  <c r="K18" i="11"/>
  <c r="G18" i="11"/>
  <c r="F18" i="11"/>
  <c r="E18" i="11"/>
  <c r="D18" i="11"/>
  <c r="B18" i="11"/>
  <c r="A18" i="11"/>
  <c r="C18" i="11" s="1"/>
  <c r="Z17" i="11"/>
  <c r="Y17" i="11"/>
  <c r="X17" i="11"/>
  <c r="W17" i="11"/>
  <c r="U17" i="11"/>
  <c r="T17" i="11"/>
  <c r="V17" i="11" s="1"/>
  <c r="L17" i="11"/>
  <c r="K17" i="11"/>
  <c r="G17" i="11"/>
  <c r="F17" i="11"/>
  <c r="E17" i="11"/>
  <c r="D17" i="11"/>
  <c r="B17" i="11"/>
  <c r="A17" i="11"/>
  <c r="C17" i="11" s="1"/>
  <c r="AI16" i="11"/>
  <c r="AH16" i="11"/>
  <c r="Z16" i="11"/>
  <c r="Y16" i="11"/>
  <c r="X16" i="11"/>
  <c r="W16" i="11"/>
  <c r="U16" i="11"/>
  <c r="T16" i="11"/>
  <c r="V16" i="11" s="1"/>
  <c r="R16" i="11"/>
  <c r="L16" i="11"/>
  <c r="K16" i="11"/>
  <c r="G16" i="11"/>
  <c r="F16" i="11"/>
  <c r="E16" i="11"/>
  <c r="D16" i="11"/>
  <c r="B16" i="11"/>
  <c r="A16" i="11"/>
  <c r="C16" i="11" s="1"/>
  <c r="Z15" i="11"/>
  <c r="Y15" i="11"/>
  <c r="X15" i="11"/>
  <c r="W15" i="11"/>
  <c r="U15" i="11"/>
  <c r="T15" i="11"/>
  <c r="V15" i="11" s="1"/>
  <c r="R15" i="11"/>
  <c r="L15" i="11"/>
  <c r="K15" i="11"/>
  <c r="G15" i="11"/>
  <c r="F15" i="11"/>
  <c r="E15" i="11"/>
  <c r="D15" i="11"/>
  <c r="B15" i="11"/>
  <c r="A15" i="11"/>
  <c r="C15" i="11" s="1"/>
  <c r="Z14" i="11"/>
  <c r="Y14" i="11"/>
  <c r="X14" i="11"/>
  <c r="W14" i="11"/>
  <c r="U14" i="11"/>
  <c r="T14" i="11"/>
  <c r="V14" i="11" s="1"/>
  <c r="R14" i="11"/>
  <c r="L14" i="11"/>
  <c r="K14" i="11"/>
  <c r="G14" i="11"/>
  <c r="F14" i="11"/>
  <c r="E14" i="11"/>
  <c r="D14" i="11"/>
  <c r="B14" i="11"/>
  <c r="A14" i="11"/>
  <c r="C14" i="11" s="1"/>
  <c r="Z13" i="11"/>
  <c r="Y13" i="11"/>
  <c r="X13" i="11"/>
  <c r="W13" i="11"/>
  <c r="U13" i="11"/>
  <c r="T13" i="11"/>
  <c r="V13" i="11" s="1"/>
  <c r="R13" i="11"/>
  <c r="L13" i="11"/>
  <c r="K13" i="11"/>
  <c r="G13" i="11"/>
  <c r="F13" i="11"/>
  <c r="E13" i="11"/>
  <c r="D13" i="11"/>
  <c r="B13" i="11"/>
  <c r="A13" i="11"/>
  <c r="C13" i="11" s="1"/>
  <c r="Z12" i="11"/>
  <c r="Y12" i="11"/>
  <c r="X12" i="11"/>
  <c r="W12" i="11"/>
  <c r="U12" i="11"/>
  <c r="T12" i="11"/>
  <c r="V12" i="11" s="1"/>
  <c r="R12" i="11"/>
  <c r="L12" i="11"/>
  <c r="K12" i="11"/>
  <c r="G12" i="11"/>
  <c r="F12" i="11"/>
  <c r="E12" i="11"/>
  <c r="D12" i="11"/>
  <c r="B12" i="11"/>
  <c r="A12" i="11"/>
  <c r="C12" i="11" s="1"/>
  <c r="Z11" i="11"/>
  <c r="Y11" i="11"/>
  <c r="X11" i="11"/>
  <c r="W11" i="11"/>
  <c r="U11" i="11"/>
  <c r="T11" i="11"/>
  <c r="V11" i="11" s="1"/>
  <c r="R11" i="11"/>
  <c r="L11" i="11"/>
  <c r="K11" i="11"/>
  <c r="G11" i="11"/>
  <c r="F11" i="11"/>
  <c r="E11" i="11"/>
  <c r="D11" i="11"/>
  <c r="B11" i="11"/>
  <c r="A11" i="11"/>
  <c r="Z10" i="11"/>
  <c r="Y10" i="11"/>
  <c r="X10" i="11"/>
  <c r="W10" i="11"/>
  <c r="U10" i="11"/>
  <c r="T10" i="11"/>
  <c r="V10" i="11" s="1"/>
  <c r="R10" i="11"/>
  <c r="L10" i="11"/>
  <c r="K10" i="11"/>
  <c r="G10" i="11"/>
  <c r="F10" i="11"/>
  <c r="E10" i="11"/>
  <c r="D10" i="11"/>
  <c r="B10" i="11"/>
  <c r="A10" i="11"/>
  <c r="Z9" i="11"/>
  <c r="Y9" i="11"/>
  <c r="X9" i="11"/>
  <c r="W9" i="11"/>
  <c r="U9" i="11"/>
  <c r="T9" i="11"/>
  <c r="V9" i="11" s="1"/>
  <c r="R9" i="11"/>
  <c r="L9" i="11"/>
  <c r="K9" i="11"/>
  <c r="G9" i="11"/>
  <c r="F9" i="11"/>
  <c r="E9" i="11"/>
  <c r="D9" i="11"/>
  <c r="B9" i="11"/>
  <c r="A9" i="11"/>
  <c r="Z8" i="11"/>
  <c r="Y8" i="11"/>
  <c r="X8" i="11"/>
  <c r="W8" i="11"/>
  <c r="U8" i="11"/>
  <c r="T8" i="11"/>
  <c r="V8" i="11" s="1"/>
  <c r="R8" i="11"/>
  <c r="L8" i="11"/>
  <c r="K8" i="11"/>
  <c r="G8" i="11"/>
  <c r="F8" i="11"/>
  <c r="E8" i="11"/>
  <c r="D8" i="11"/>
  <c r="B8" i="11"/>
  <c r="A8" i="11"/>
  <c r="Z7" i="11"/>
  <c r="Y7" i="11"/>
  <c r="X7" i="11"/>
  <c r="W7" i="11"/>
  <c r="U7" i="11"/>
  <c r="T7" i="11"/>
  <c r="V7" i="11" s="1"/>
  <c r="R7" i="11"/>
  <c r="L7" i="11"/>
  <c r="K7" i="11"/>
  <c r="G7" i="11"/>
  <c r="F7" i="11"/>
  <c r="E7" i="11"/>
  <c r="D7" i="11"/>
  <c r="B7" i="11"/>
  <c r="A7" i="11"/>
  <c r="Z6" i="11"/>
  <c r="Y6" i="11"/>
  <c r="X6" i="11"/>
  <c r="W6" i="11"/>
  <c r="U6" i="11"/>
  <c r="T6" i="11"/>
  <c r="V6" i="11" s="1"/>
  <c r="R6" i="11"/>
  <c r="L6" i="11"/>
  <c r="K6" i="11"/>
  <c r="G6" i="11"/>
  <c r="F6" i="11"/>
  <c r="E6" i="11"/>
  <c r="D6" i="11"/>
  <c r="B6" i="11"/>
  <c r="A6" i="11"/>
  <c r="Z5" i="11"/>
  <c r="Y5" i="11"/>
  <c r="X5" i="11"/>
  <c r="W5" i="11"/>
  <c r="U5" i="11"/>
  <c r="T5" i="11"/>
  <c r="V5" i="11" s="1"/>
  <c r="R5" i="11"/>
  <c r="L5" i="11"/>
  <c r="K5" i="11"/>
  <c r="G5" i="11"/>
  <c r="F5" i="11"/>
  <c r="E5" i="11"/>
  <c r="D5" i="11"/>
  <c r="B5" i="11"/>
  <c r="A5" i="11"/>
  <c r="Z4" i="11"/>
  <c r="Y4" i="11"/>
  <c r="X4" i="11"/>
  <c r="W4" i="11"/>
  <c r="U4" i="11"/>
  <c r="T4" i="11"/>
  <c r="V4" i="11" s="1"/>
  <c r="R4" i="11"/>
  <c r="L4" i="11"/>
  <c r="K4" i="11"/>
  <c r="G4" i="11"/>
  <c r="F4" i="11"/>
  <c r="E4" i="11"/>
  <c r="D4" i="11"/>
  <c r="B4" i="11"/>
  <c r="A4" i="11"/>
  <c r="R63" i="10"/>
  <c r="L63" i="10"/>
  <c r="K63" i="10"/>
  <c r="G63" i="10"/>
  <c r="F63" i="10"/>
  <c r="E63" i="10"/>
  <c r="D63" i="10"/>
  <c r="B63" i="10"/>
  <c r="A63" i="10"/>
  <c r="C63" i="10" s="1"/>
  <c r="R62" i="10"/>
  <c r="L62" i="10"/>
  <c r="K62" i="10"/>
  <c r="G62" i="10"/>
  <c r="F62" i="10"/>
  <c r="E62" i="10"/>
  <c r="D62" i="10"/>
  <c r="B62" i="10"/>
  <c r="A62" i="10"/>
  <c r="C62" i="10" s="1"/>
  <c r="R61" i="10"/>
  <c r="L61" i="10"/>
  <c r="K61" i="10"/>
  <c r="G61" i="10"/>
  <c r="F61" i="10"/>
  <c r="E61" i="10"/>
  <c r="D61" i="10"/>
  <c r="B61" i="10"/>
  <c r="A61" i="10"/>
  <c r="C61" i="10" s="1"/>
  <c r="R60" i="10"/>
  <c r="L60" i="10"/>
  <c r="K60" i="10"/>
  <c r="G60" i="10"/>
  <c r="F60" i="10"/>
  <c r="E60" i="10"/>
  <c r="D60" i="10"/>
  <c r="B60" i="10"/>
  <c r="A60" i="10"/>
  <c r="C60" i="10" s="1"/>
  <c r="R59" i="10"/>
  <c r="L59" i="10"/>
  <c r="K59" i="10"/>
  <c r="G59" i="10"/>
  <c r="F59" i="10"/>
  <c r="E59" i="10"/>
  <c r="D59" i="10"/>
  <c r="B59" i="10"/>
  <c r="A59" i="10"/>
  <c r="C59" i="10" s="1"/>
  <c r="R58" i="10"/>
  <c r="L58" i="10"/>
  <c r="K58" i="10"/>
  <c r="G58" i="10"/>
  <c r="F58" i="10"/>
  <c r="E58" i="10"/>
  <c r="D58" i="10"/>
  <c r="B58" i="10"/>
  <c r="A58" i="10"/>
  <c r="C58" i="10" s="1"/>
  <c r="R57" i="10"/>
  <c r="L57" i="10"/>
  <c r="K57" i="10"/>
  <c r="G57" i="10"/>
  <c r="F57" i="10"/>
  <c r="E57" i="10"/>
  <c r="D57" i="10"/>
  <c r="B57" i="10"/>
  <c r="A57" i="10"/>
  <c r="C57" i="10" s="1"/>
  <c r="R56" i="10"/>
  <c r="L56" i="10"/>
  <c r="K56" i="10"/>
  <c r="G56" i="10"/>
  <c r="F56" i="10"/>
  <c r="E56" i="10"/>
  <c r="D56" i="10"/>
  <c r="B56" i="10"/>
  <c r="A56" i="10"/>
  <c r="C56" i="10" s="1"/>
  <c r="R55" i="10"/>
  <c r="L55" i="10"/>
  <c r="K55" i="10"/>
  <c r="G55" i="10"/>
  <c r="F55" i="10"/>
  <c r="E55" i="10"/>
  <c r="D55" i="10"/>
  <c r="B55" i="10"/>
  <c r="A55" i="10"/>
  <c r="C55" i="10" s="1"/>
  <c r="R54" i="10"/>
  <c r="L54" i="10"/>
  <c r="K54" i="10"/>
  <c r="G54" i="10"/>
  <c r="F54" i="10"/>
  <c r="E54" i="10"/>
  <c r="D54" i="10"/>
  <c r="B54" i="10"/>
  <c r="A54" i="10"/>
  <c r="C54" i="10" s="1"/>
  <c r="R53" i="10"/>
  <c r="L53" i="10"/>
  <c r="K53" i="10"/>
  <c r="G53" i="10"/>
  <c r="F53" i="10"/>
  <c r="E53" i="10"/>
  <c r="D53" i="10"/>
  <c r="B53" i="10"/>
  <c r="A53" i="10"/>
  <c r="C53" i="10" s="1"/>
  <c r="R52" i="10"/>
  <c r="L52" i="10"/>
  <c r="K52" i="10"/>
  <c r="G52" i="10"/>
  <c r="F52" i="10"/>
  <c r="E52" i="10"/>
  <c r="D52" i="10"/>
  <c r="B52" i="10"/>
  <c r="A52" i="10"/>
  <c r="C52" i="10" s="1"/>
  <c r="R51" i="10"/>
  <c r="L51" i="10"/>
  <c r="K51" i="10"/>
  <c r="G51" i="10"/>
  <c r="F51" i="10"/>
  <c r="E51" i="10"/>
  <c r="D51" i="10"/>
  <c r="B51" i="10"/>
  <c r="A51" i="10"/>
  <c r="C51" i="10" s="1"/>
  <c r="R50" i="10"/>
  <c r="L50" i="10"/>
  <c r="K50" i="10"/>
  <c r="G50" i="10"/>
  <c r="F50" i="10"/>
  <c r="E50" i="10"/>
  <c r="D50" i="10"/>
  <c r="B50" i="10"/>
  <c r="A50" i="10"/>
  <c r="C50" i="10" s="1"/>
  <c r="R49" i="10"/>
  <c r="L49" i="10"/>
  <c r="K49" i="10"/>
  <c r="G49" i="10"/>
  <c r="F49" i="10"/>
  <c r="E49" i="10"/>
  <c r="D49" i="10"/>
  <c r="B49" i="10"/>
  <c r="A49" i="10"/>
  <c r="C49" i="10" s="1"/>
  <c r="R48" i="10"/>
  <c r="L48" i="10"/>
  <c r="K48" i="10"/>
  <c r="G48" i="10"/>
  <c r="F48" i="10"/>
  <c r="E48" i="10"/>
  <c r="D48" i="10"/>
  <c r="B48" i="10"/>
  <c r="A48" i="10"/>
  <c r="C48" i="10" s="1"/>
  <c r="R47" i="10"/>
  <c r="L47" i="10"/>
  <c r="K47" i="10"/>
  <c r="G47" i="10"/>
  <c r="F47" i="10"/>
  <c r="E47" i="10"/>
  <c r="D47" i="10"/>
  <c r="B47" i="10"/>
  <c r="A47" i="10"/>
  <c r="C47" i="10" s="1"/>
  <c r="R46" i="10"/>
  <c r="L46" i="10"/>
  <c r="K46" i="10"/>
  <c r="G46" i="10"/>
  <c r="F46" i="10"/>
  <c r="E46" i="10"/>
  <c r="D46" i="10"/>
  <c r="B46" i="10"/>
  <c r="A46" i="10"/>
  <c r="C46" i="10" s="1"/>
  <c r="R45" i="10"/>
  <c r="L45" i="10"/>
  <c r="K45" i="10"/>
  <c r="E45" i="10"/>
  <c r="F44" i="10"/>
  <c r="L43" i="10"/>
  <c r="R42" i="10"/>
  <c r="R41" i="10"/>
  <c r="B41" i="10"/>
  <c r="E40" i="10"/>
  <c r="F39" i="10"/>
  <c r="F38" i="10"/>
  <c r="K37" i="10"/>
  <c r="R36" i="10"/>
  <c r="B36" i="10"/>
  <c r="E35" i="10"/>
  <c r="F34" i="10"/>
  <c r="X33" i="10"/>
  <c r="Y32" i="10"/>
  <c r="G32" i="10"/>
  <c r="T31" i="10"/>
  <c r="V31" i="10" s="1"/>
  <c r="Z30" i="10"/>
  <c r="G30" i="10"/>
  <c r="T29" i="10"/>
  <c r="V29" i="10" s="1"/>
  <c r="B29" i="10"/>
  <c r="K28" i="10"/>
  <c r="X27" i="10"/>
  <c r="E27" i="10"/>
  <c r="R26" i="10"/>
  <c r="Y25" i="10"/>
  <c r="D25" i="10"/>
  <c r="T24" i="10"/>
  <c r="V24" i="10" s="1"/>
  <c r="Y23" i="10"/>
  <c r="F23" i="10"/>
  <c r="T22" i="10"/>
  <c r="V22" i="10" s="1"/>
  <c r="B22" i="10"/>
  <c r="G21" i="10"/>
  <c r="W20" i="10"/>
  <c r="D20" i="10"/>
  <c r="L19" i="10"/>
  <c r="Y18" i="10"/>
  <c r="F18" i="10"/>
  <c r="X17" i="10"/>
  <c r="F17" i="10"/>
  <c r="W16" i="10"/>
  <c r="E16" i="10"/>
  <c r="Z10" i="10"/>
  <c r="Y10" i="10"/>
  <c r="X10" i="10"/>
  <c r="W10" i="10"/>
  <c r="U10" i="10"/>
  <c r="T10" i="10"/>
  <c r="V10" i="10" s="1"/>
  <c r="R10" i="10"/>
  <c r="L10" i="10"/>
  <c r="K10" i="10"/>
  <c r="G10" i="10"/>
  <c r="F10" i="10"/>
  <c r="E10" i="10"/>
  <c r="B10" i="10"/>
  <c r="B6" i="10"/>
  <c r="G47" i="9"/>
  <c r="L45" i="9"/>
  <c r="R44" i="9"/>
  <c r="A44" i="9"/>
  <c r="C44" i="9" s="1"/>
  <c r="A43" i="9"/>
  <c r="C43" i="9" s="1"/>
  <c r="D42" i="9"/>
  <c r="E41" i="9"/>
  <c r="E40" i="9"/>
  <c r="G39" i="9"/>
  <c r="F38" i="9"/>
  <c r="K37" i="9"/>
  <c r="K36" i="9"/>
  <c r="R35" i="9"/>
  <c r="F34" i="9"/>
  <c r="U33" i="9"/>
  <c r="T32" i="9"/>
  <c r="V32" i="9" s="1"/>
  <c r="D32" i="9"/>
  <c r="T31" i="9"/>
  <c r="V31" i="9" s="1"/>
  <c r="B31" i="9"/>
  <c r="K30" i="9"/>
  <c r="X29" i="9"/>
  <c r="G29" i="9"/>
  <c r="W28" i="9"/>
  <c r="E28" i="9"/>
  <c r="T27" i="9"/>
  <c r="V27" i="9" s="1"/>
  <c r="D27" i="9"/>
  <c r="L26" i="9"/>
  <c r="Y25" i="9"/>
  <c r="G25" i="9"/>
  <c r="W24" i="9"/>
  <c r="F24" i="9"/>
  <c r="T23" i="9"/>
  <c r="V23" i="9" s="1"/>
  <c r="A23" i="9"/>
  <c r="C23" i="9" s="1"/>
  <c r="K22" i="9"/>
  <c r="X21" i="9"/>
  <c r="F21" i="9"/>
  <c r="W20" i="9"/>
  <c r="D20" i="9"/>
  <c r="L19" i="9"/>
  <c r="Y18" i="9"/>
  <c r="F18" i="9"/>
  <c r="T17" i="9"/>
  <c r="V17" i="9" s="1"/>
  <c r="U16" i="9"/>
  <c r="D16" i="9"/>
  <c r="X15" i="9"/>
  <c r="R15" i="9"/>
  <c r="G15" i="9"/>
  <c r="A15" i="9"/>
  <c r="C15" i="9" s="1"/>
  <c r="Z14" i="9"/>
  <c r="Y14" i="9"/>
  <c r="X14" i="9"/>
  <c r="W14" i="9"/>
  <c r="U14" i="9"/>
  <c r="T14" i="9"/>
  <c r="V14" i="9" s="1"/>
  <c r="R14" i="9"/>
  <c r="L14" i="9"/>
  <c r="K14" i="9"/>
  <c r="G14" i="9"/>
  <c r="F14" i="9"/>
  <c r="E14" i="9"/>
  <c r="D14" i="9"/>
  <c r="B14" i="9"/>
  <c r="A14" i="9"/>
  <c r="C14" i="9" s="1"/>
  <c r="R17" i="7"/>
  <c r="A17" i="7"/>
  <c r="C17" i="7" s="1"/>
  <c r="W16" i="7"/>
  <c r="E16" i="7"/>
  <c r="Y15" i="7"/>
  <c r="U15" i="7"/>
  <c r="K15" i="7"/>
  <c r="E15" i="7"/>
  <c r="A15" i="7"/>
  <c r="C15" i="7" s="1"/>
  <c r="R10" i="7"/>
  <c r="K10" i="7"/>
  <c r="F10" i="7"/>
  <c r="B10" i="7"/>
  <c r="R41" i="6"/>
  <c r="F40" i="6"/>
  <c r="D39" i="6"/>
  <c r="B38" i="6"/>
  <c r="R36" i="6"/>
  <c r="G35" i="6"/>
  <c r="F34" i="6"/>
  <c r="R33" i="6"/>
  <c r="X32" i="6"/>
  <c r="D32" i="6"/>
  <c r="G31" i="6"/>
  <c r="R30" i="6"/>
  <c r="Y29" i="6"/>
  <c r="F29" i="6"/>
  <c r="E28" i="6"/>
  <c r="R27" i="6"/>
  <c r="Y26" i="6"/>
  <c r="D26" i="6"/>
  <c r="R25" i="6"/>
  <c r="X24" i="6"/>
  <c r="F180" i="3"/>
  <c r="E175" i="3"/>
  <c r="D175" i="3"/>
  <c r="E172" i="3"/>
  <c r="D172" i="3"/>
  <c r="E169" i="3"/>
  <c r="E152" i="3"/>
  <c r="E133" i="3"/>
  <c r="D133" i="3"/>
  <c r="E125" i="3"/>
  <c r="E124" i="3"/>
  <c r="D124" i="3"/>
  <c r="E120" i="3"/>
  <c r="E112" i="3"/>
  <c r="E103" i="3"/>
  <c r="E102" i="3"/>
  <c r="D102" i="3"/>
  <c r="E101" i="3"/>
  <c r="E99" i="3"/>
  <c r="E96" i="3"/>
  <c r="E95" i="3"/>
  <c r="E89" i="3"/>
  <c r="E86" i="3"/>
  <c r="E85" i="3"/>
  <c r="E84" i="3"/>
  <c r="E82" i="3"/>
  <c r="E78" i="3"/>
  <c r="E67" i="3"/>
  <c r="D67" i="3"/>
  <c r="E59" i="3"/>
  <c r="E43" i="3"/>
  <c r="E35" i="3"/>
  <c r="D35" i="3"/>
  <c r="E31" i="3"/>
  <c r="D31" i="3"/>
  <c r="E27" i="3"/>
  <c r="D27" i="3"/>
  <c r="E23" i="3"/>
  <c r="G18" i="3"/>
  <c r="F18" i="3"/>
  <c r="C18" i="3"/>
  <c r="E10" i="3"/>
  <c r="I211" i="1"/>
  <c r="I210" i="1"/>
  <c r="I205" i="1"/>
  <c r="I201" i="1"/>
  <c r="L10" i="9"/>
  <c r="K10" i="9"/>
  <c r="G10" i="9"/>
  <c r="F10" i="9"/>
  <c r="E10" i="9"/>
  <c r="D10" i="9"/>
  <c r="B10" i="9"/>
  <c r="A10" i="9"/>
  <c r="Z9" i="9"/>
  <c r="Y9" i="9"/>
  <c r="X9" i="9"/>
  <c r="W9" i="9"/>
  <c r="U9" i="9"/>
  <c r="T9" i="9"/>
  <c r="V9" i="9" s="1"/>
  <c r="R9" i="9"/>
  <c r="L9" i="9"/>
  <c r="K9" i="9"/>
  <c r="G9" i="9"/>
  <c r="F9" i="9"/>
  <c r="E9" i="9"/>
  <c r="D9" i="9"/>
  <c r="B9" i="9"/>
  <c r="A9" i="9"/>
  <c r="Z8" i="9"/>
  <c r="Y8" i="9"/>
  <c r="X8" i="9"/>
  <c r="W8" i="9"/>
  <c r="U8" i="9"/>
  <c r="T8" i="9"/>
  <c r="V8" i="9" s="1"/>
  <c r="R8" i="9"/>
  <c r="L8" i="9"/>
  <c r="K8" i="9"/>
  <c r="G8" i="9"/>
  <c r="F8" i="9"/>
  <c r="E8" i="9"/>
  <c r="D8" i="9"/>
  <c r="B8" i="9"/>
  <c r="A8" i="9"/>
  <c r="Z7" i="9"/>
  <c r="Y7" i="9"/>
  <c r="X7" i="9"/>
  <c r="W7" i="9"/>
  <c r="U7" i="9"/>
  <c r="T7" i="9"/>
  <c r="V7" i="9" s="1"/>
  <c r="R7" i="9"/>
  <c r="L7" i="9"/>
  <c r="K7" i="9"/>
  <c r="G7" i="9"/>
  <c r="F7" i="9"/>
  <c r="E7" i="9"/>
  <c r="D7" i="9"/>
  <c r="B7" i="9"/>
  <c r="A7" i="9"/>
  <c r="Z6" i="9"/>
  <c r="Y6" i="9"/>
  <c r="X6" i="9"/>
  <c r="W6" i="9"/>
  <c r="U6" i="9"/>
  <c r="T6" i="9"/>
  <c r="V6" i="9" s="1"/>
  <c r="R6" i="9"/>
  <c r="L6" i="9"/>
  <c r="K6" i="9"/>
  <c r="G6" i="9"/>
  <c r="F6" i="9"/>
  <c r="E6" i="9"/>
  <c r="D6" i="9"/>
  <c r="B6" i="9"/>
  <c r="A6" i="9"/>
  <c r="Z5" i="9"/>
  <c r="Y5" i="9"/>
  <c r="X5" i="9"/>
  <c r="W5" i="9"/>
  <c r="U5" i="9"/>
  <c r="T5" i="9"/>
  <c r="V5" i="9" s="1"/>
  <c r="R5" i="9"/>
  <c r="L5" i="9"/>
  <c r="K5" i="9"/>
  <c r="G5" i="9"/>
  <c r="F5" i="9"/>
  <c r="E5" i="9"/>
  <c r="D5" i="9"/>
  <c r="B5" i="9"/>
  <c r="A5" i="9"/>
  <c r="Z4" i="9"/>
  <c r="Y4" i="9"/>
  <c r="X4" i="9"/>
  <c r="W4" i="9"/>
  <c r="U4" i="9"/>
  <c r="T4" i="9"/>
  <c r="V4" i="9" s="1"/>
  <c r="R4" i="9"/>
  <c r="L4" i="9"/>
  <c r="K4" i="9"/>
  <c r="G4" i="9"/>
  <c r="F4" i="9"/>
  <c r="E4" i="9"/>
  <c r="D4" i="9"/>
  <c r="B4" i="9"/>
  <c r="A4" i="9"/>
  <c r="R63" i="8"/>
  <c r="L63" i="8"/>
  <c r="K63" i="8"/>
  <c r="G63" i="8"/>
  <c r="F63" i="8"/>
  <c r="E63" i="8"/>
  <c r="D63" i="8"/>
  <c r="B63" i="8"/>
  <c r="A63" i="8"/>
  <c r="C63" i="8" s="1"/>
  <c r="R62" i="8"/>
  <c r="L62" i="8"/>
  <c r="K62" i="8"/>
  <c r="G62" i="8"/>
  <c r="F62" i="8"/>
  <c r="E62" i="8"/>
  <c r="D62" i="8"/>
  <c r="B62" i="8"/>
  <c r="A62" i="8"/>
  <c r="C62" i="8" s="1"/>
  <c r="R61" i="8"/>
  <c r="L61" i="8"/>
  <c r="K61" i="8"/>
  <c r="G61" i="8"/>
  <c r="F61" i="8"/>
  <c r="E61" i="8"/>
  <c r="D61" i="8"/>
  <c r="B61" i="8"/>
  <c r="A61" i="8"/>
  <c r="C61" i="8" s="1"/>
  <c r="R60" i="8"/>
  <c r="L60" i="8"/>
  <c r="K60" i="8"/>
  <c r="G60" i="8"/>
  <c r="F60" i="8"/>
  <c r="E60" i="8"/>
  <c r="D60" i="8"/>
  <c r="B60" i="8"/>
  <c r="A60" i="8"/>
  <c r="C60" i="8" s="1"/>
  <c r="R59" i="8"/>
  <c r="L59" i="8"/>
  <c r="K59" i="8"/>
  <c r="G59" i="8"/>
  <c r="F59" i="8"/>
  <c r="E59" i="8"/>
  <c r="D59" i="8"/>
  <c r="B59" i="8"/>
  <c r="A59" i="8"/>
  <c r="C59" i="8" s="1"/>
  <c r="R58" i="8"/>
  <c r="L58" i="8"/>
  <c r="K58" i="8"/>
  <c r="G58" i="8"/>
  <c r="F58" i="8"/>
  <c r="E58" i="8"/>
  <c r="D58" i="8"/>
  <c r="B58" i="8"/>
  <c r="A58" i="8"/>
  <c r="C58" i="8" s="1"/>
  <c r="R57" i="8"/>
  <c r="L57" i="8"/>
  <c r="K57" i="8"/>
  <c r="G57" i="8"/>
  <c r="F57" i="8"/>
  <c r="E57" i="8"/>
  <c r="D57" i="8"/>
  <c r="B57" i="8"/>
  <c r="A57" i="8"/>
  <c r="C57" i="8" s="1"/>
  <c r="R56" i="8"/>
  <c r="L56" i="8"/>
  <c r="K56" i="8"/>
  <c r="G56" i="8"/>
  <c r="F56" i="8"/>
  <c r="E56" i="8"/>
  <c r="D56" i="8"/>
  <c r="B56" i="8"/>
  <c r="A56" i="8"/>
  <c r="C56" i="8" s="1"/>
  <c r="R55" i="8"/>
  <c r="L55" i="8"/>
  <c r="K55" i="8"/>
  <c r="G55" i="8"/>
  <c r="F55" i="8"/>
  <c r="E55" i="8"/>
  <c r="D55" i="8"/>
  <c r="B55" i="8"/>
  <c r="A55" i="8"/>
  <c r="C55" i="8" s="1"/>
  <c r="R54" i="8"/>
  <c r="L54" i="8"/>
  <c r="K54" i="8"/>
  <c r="G54" i="8"/>
  <c r="F54" i="8"/>
  <c r="E54" i="8"/>
  <c r="D54" i="8"/>
  <c r="B54" i="8"/>
  <c r="A54" i="8"/>
  <c r="C54" i="8" s="1"/>
  <c r="R53" i="8"/>
  <c r="L53" i="8"/>
  <c r="K53" i="8"/>
  <c r="G53" i="8"/>
  <c r="F53" i="8"/>
  <c r="E53" i="8"/>
  <c r="D53" i="8"/>
  <c r="B53" i="8"/>
  <c r="A53" i="8"/>
  <c r="C53" i="8" s="1"/>
  <c r="R52" i="8"/>
  <c r="L52" i="8"/>
  <c r="K52" i="8"/>
  <c r="G52" i="8"/>
  <c r="F52" i="8"/>
  <c r="E52" i="8"/>
  <c r="D52" i="8"/>
  <c r="B52" i="8"/>
  <c r="A52" i="8"/>
  <c r="C52" i="8" s="1"/>
  <c r="R51" i="8"/>
  <c r="L51" i="8"/>
  <c r="K51" i="8"/>
  <c r="G51" i="8"/>
  <c r="F51" i="8"/>
  <c r="E51" i="8"/>
  <c r="D51" i="8"/>
  <c r="B51" i="8"/>
  <c r="A51" i="8"/>
  <c r="C51" i="8" s="1"/>
  <c r="R50" i="8"/>
  <c r="L50" i="8"/>
  <c r="K50" i="8"/>
  <c r="G50" i="8"/>
  <c r="F50" i="8"/>
  <c r="E50" i="8"/>
  <c r="D50" i="8"/>
  <c r="B50" i="8"/>
  <c r="A50" i="8"/>
  <c r="C50" i="8" s="1"/>
  <c r="R49" i="8"/>
  <c r="L49" i="8"/>
  <c r="K49" i="8"/>
  <c r="G49" i="8"/>
  <c r="F49" i="8"/>
  <c r="E49" i="8"/>
  <c r="D49" i="8"/>
  <c r="B49" i="8"/>
  <c r="A49" i="8"/>
  <c r="C49" i="8" s="1"/>
  <c r="R48" i="8"/>
  <c r="L48" i="8"/>
  <c r="K48" i="8"/>
  <c r="G48" i="8"/>
  <c r="F48" i="8"/>
  <c r="E48" i="8"/>
  <c r="D48" i="8"/>
  <c r="B48" i="8"/>
  <c r="A48" i="8"/>
  <c r="C48" i="8" s="1"/>
  <c r="R47" i="8"/>
  <c r="L47" i="8"/>
  <c r="K47" i="8"/>
  <c r="G47" i="8"/>
  <c r="F47" i="8"/>
  <c r="E47" i="8"/>
  <c r="D47" i="8"/>
  <c r="B47" i="8"/>
  <c r="A47" i="8"/>
  <c r="C47" i="8" s="1"/>
  <c r="R46" i="8"/>
  <c r="L46" i="8"/>
  <c r="K46" i="8"/>
  <c r="G46" i="8"/>
  <c r="F46" i="8"/>
  <c r="E46" i="8"/>
  <c r="D46" i="8"/>
  <c r="B46" i="8"/>
  <c r="A46" i="8"/>
  <c r="C46" i="8" s="1"/>
  <c r="R45" i="8"/>
  <c r="L45" i="8"/>
  <c r="K45" i="8"/>
  <c r="G45" i="8"/>
  <c r="F45" i="8"/>
  <c r="E45" i="8"/>
  <c r="D45" i="8"/>
  <c r="B45" i="8"/>
  <c r="A45" i="8"/>
  <c r="C45" i="8" s="1"/>
  <c r="R44" i="8"/>
  <c r="L44" i="8"/>
  <c r="K44" i="8"/>
  <c r="G44" i="8"/>
  <c r="F44" i="8"/>
  <c r="E44" i="8"/>
  <c r="D44" i="8"/>
  <c r="B44" i="8"/>
  <c r="A44" i="8"/>
  <c r="C44" i="8" s="1"/>
  <c r="R43" i="8"/>
  <c r="L43" i="8"/>
  <c r="K43" i="8"/>
  <c r="G43" i="8"/>
  <c r="F43" i="8"/>
  <c r="E43" i="8"/>
  <c r="D43" i="8"/>
  <c r="B43" i="8"/>
  <c r="A43" i="8"/>
  <c r="C43" i="8" s="1"/>
  <c r="R42" i="8"/>
  <c r="L42" i="8"/>
  <c r="K42" i="8"/>
  <c r="G42" i="8"/>
  <c r="F42" i="8"/>
  <c r="E42" i="8"/>
  <c r="D42" i="8"/>
  <c r="B42" i="8"/>
  <c r="A42" i="8"/>
  <c r="C42" i="8" s="1"/>
  <c r="R41" i="8"/>
  <c r="L41" i="8"/>
  <c r="K41" i="8"/>
  <c r="G41" i="8"/>
  <c r="F41" i="8"/>
  <c r="E41" i="8"/>
  <c r="D41" i="8"/>
  <c r="B41" i="8"/>
  <c r="A41" i="8"/>
  <c r="C41" i="8" s="1"/>
  <c r="R40" i="8"/>
  <c r="L40" i="8"/>
  <c r="K40" i="8"/>
  <c r="G40" i="8"/>
  <c r="F40" i="8"/>
  <c r="E40" i="8"/>
  <c r="D40" i="8"/>
  <c r="B40" i="8"/>
  <c r="A40" i="8"/>
  <c r="C40" i="8" s="1"/>
  <c r="R39" i="8"/>
  <c r="L39" i="8"/>
  <c r="K39" i="8"/>
  <c r="G39" i="8"/>
  <c r="F39" i="8"/>
  <c r="E39" i="8"/>
  <c r="D39" i="8"/>
  <c r="B39" i="8"/>
  <c r="A39" i="8"/>
  <c r="C39" i="8" s="1"/>
  <c r="R38" i="8"/>
  <c r="L38" i="8"/>
  <c r="K38" i="8"/>
  <c r="G38" i="8"/>
  <c r="F38" i="8"/>
  <c r="E38" i="8"/>
  <c r="D38" i="8"/>
  <c r="B38" i="8"/>
  <c r="A38" i="8"/>
  <c r="C38" i="8" s="1"/>
  <c r="R37" i="8"/>
  <c r="L37" i="8"/>
  <c r="K37" i="8"/>
  <c r="G37" i="8"/>
  <c r="F37" i="8"/>
  <c r="E37" i="8"/>
  <c r="D37" i="8"/>
  <c r="B37" i="8"/>
  <c r="A37" i="8"/>
  <c r="C37" i="8" s="1"/>
  <c r="R36" i="8"/>
  <c r="L36" i="8"/>
  <c r="K36" i="8"/>
  <c r="G36" i="8"/>
  <c r="F36" i="8"/>
  <c r="E36" i="8"/>
  <c r="D36" i="8"/>
  <c r="B36" i="8"/>
  <c r="A36" i="8"/>
  <c r="C36" i="8" s="1"/>
  <c r="R35" i="8"/>
  <c r="L35" i="8"/>
  <c r="K35" i="8"/>
  <c r="G35" i="8"/>
  <c r="F35" i="8"/>
  <c r="E35" i="8"/>
  <c r="D35" i="8"/>
  <c r="B35" i="8"/>
  <c r="A35" i="8"/>
  <c r="C35" i="8" s="1"/>
  <c r="R34" i="8"/>
  <c r="L34" i="8"/>
  <c r="K34" i="8"/>
  <c r="G34" i="8"/>
  <c r="F34" i="8"/>
  <c r="E34" i="8"/>
  <c r="D34" i="8"/>
  <c r="B34" i="8"/>
  <c r="A34" i="8"/>
  <c r="C34" i="8" s="1"/>
  <c r="Z33" i="8"/>
  <c r="Y33" i="8"/>
  <c r="X33" i="8"/>
  <c r="W33" i="8"/>
  <c r="U33" i="8"/>
  <c r="T33" i="8"/>
  <c r="V33" i="8" s="1"/>
  <c r="R33" i="8"/>
  <c r="L33" i="8"/>
  <c r="K33" i="8"/>
  <c r="G33" i="8"/>
  <c r="F33" i="8"/>
  <c r="E33" i="8"/>
  <c r="D33" i="8"/>
  <c r="B33" i="8"/>
  <c r="A33" i="8"/>
  <c r="C33" i="8" s="1"/>
  <c r="Z32" i="8"/>
  <c r="Y32" i="8"/>
  <c r="X32" i="8"/>
  <c r="W32" i="8"/>
  <c r="U32" i="8"/>
  <c r="T32" i="8"/>
  <c r="V32" i="8" s="1"/>
  <c r="R32" i="8"/>
  <c r="L32" i="8"/>
  <c r="K32" i="8"/>
  <c r="G32" i="8"/>
  <c r="F32" i="8"/>
  <c r="E32" i="8"/>
  <c r="D32" i="8"/>
  <c r="B32" i="8"/>
  <c r="A32" i="8"/>
  <c r="C32" i="8" s="1"/>
  <c r="Z31" i="8"/>
  <c r="Y31" i="8"/>
  <c r="X31" i="8"/>
  <c r="W31" i="8"/>
  <c r="U31" i="8"/>
  <c r="T31" i="8"/>
  <c r="V31" i="8" s="1"/>
  <c r="R31" i="8"/>
  <c r="L31" i="8"/>
  <c r="K31" i="8"/>
  <c r="G31" i="8"/>
  <c r="F31" i="8"/>
  <c r="E31" i="8"/>
  <c r="D31" i="8"/>
  <c r="B31" i="8"/>
  <c r="A31" i="8"/>
  <c r="C31" i="8" s="1"/>
  <c r="Z30" i="8"/>
  <c r="Y30" i="8"/>
  <c r="X30" i="8"/>
  <c r="W30" i="8"/>
  <c r="U30" i="8"/>
  <c r="T30" i="8"/>
  <c r="V30" i="8" s="1"/>
  <c r="R30" i="8"/>
  <c r="L30" i="8"/>
  <c r="K30" i="8"/>
  <c r="G30" i="8"/>
  <c r="F30" i="8"/>
  <c r="E30" i="8"/>
  <c r="D30" i="8"/>
  <c r="B30" i="8"/>
  <c r="A30" i="8"/>
  <c r="C30" i="8" s="1"/>
  <c r="Z29" i="8"/>
  <c r="Y29" i="8"/>
  <c r="X29" i="8"/>
  <c r="W29" i="8"/>
  <c r="U29" i="8"/>
  <c r="T29" i="8"/>
  <c r="V29" i="8" s="1"/>
  <c r="R29" i="8"/>
  <c r="L29" i="8"/>
  <c r="K29" i="8"/>
  <c r="G29" i="8"/>
  <c r="F29" i="8"/>
  <c r="E29" i="8"/>
  <c r="D29" i="8"/>
  <c r="B29" i="8"/>
  <c r="A29" i="8"/>
  <c r="C29" i="8" s="1"/>
  <c r="Z28" i="8"/>
  <c r="Y28" i="8"/>
  <c r="X28" i="8"/>
  <c r="W28" i="8"/>
  <c r="U28" i="8"/>
  <c r="T28" i="8"/>
  <c r="V28" i="8" s="1"/>
  <c r="R28" i="8"/>
  <c r="L28" i="8"/>
  <c r="K28" i="8"/>
  <c r="G28" i="8"/>
  <c r="F28" i="8"/>
  <c r="E28" i="8"/>
  <c r="D28" i="8"/>
  <c r="B28" i="8"/>
  <c r="A28" i="8"/>
  <c r="C28" i="8" s="1"/>
  <c r="Z27" i="8"/>
  <c r="Y27" i="8"/>
  <c r="X27" i="8"/>
  <c r="W27" i="8"/>
  <c r="U27" i="8"/>
  <c r="T27" i="8"/>
  <c r="V27" i="8" s="1"/>
  <c r="R27" i="8"/>
  <c r="L27" i="8"/>
  <c r="K27" i="8"/>
  <c r="G27" i="8"/>
  <c r="F27" i="8"/>
  <c r="E27" i="8"/>
  <c r="D27" i="8"/>
  <c r="B27" i="8"/>
  <c r="A27" i="8"/>
  <c r="C27" i="8" s="1"/>
  <c r="Z26" i="8"/>
  <c r="Y26" i="8"/>
  <c r="X26" i="8"/>
  <c r="W26" i="8"/>
  <c r="U26" i="8"/>
  <c r="T26" i="8"/>
  <c r="V26" i="8" s="1"/>
  <c r="R26" i="8"/>
  <c r="L26" i="8"/>
  <c r="K26" i="8"/>
  <c r="G26" i="8"/>
  <c r="F26" i="8"/>
  <c r="E26" i="8"/>
  <c r="D26" i="8"/>
  <c r="B26" i="8"/>
  <c r="A26" i="8"/>
  <c r="C26" i="8" s="1"/>
  <c r="Z25" i="8"/>
  <c r="Y25" i="8"/>
  <c r="X25" i="8"/>
  <c r="W25" i="8"/>
  <c r="U25" i="8"/>
  <c r="T25" i="8"/>
  <c r="V25" i="8" s="1"/>
  <c r="R25" i="8"/>
  <c r="L25" i="8"/>
  <c r="K25" i="8"/>
  <c r="G25" i="8"/>
  <c r="F25" i="8"/>
  <c r="E25" i="8"/>
  <c r="D25" i="8"/>
  <c r="B25" i="8"/>
  <c r="A25" i="8"/>
  <c r="C25" i="8" s="1"/>
  <c r="Z24" i="8"/>
  <c r="Y24" i="8"/>
  <c r="X24" i="8"/>
  <c r="W24" i="8"/>
  <c r="U24" i="8"/>
  <c r="T24" i="8"/>
  <c r="V24" i="8" s="1"/>
  <c r="R24" i="8"/>
  <c r="L24" i="8"/>
  <c r="K24" i="8"/>
  <c r="G24" i="8"/>
  <c r="F24" i="8"/>
  <c r="E24" i="8"/>
  <c r="D24" i="8"/>
  <c r="B24" i="8"/>
  <c r="A24" i="8"/>
  <c r="C24" i="8" s="1"/>
  <c r="Z23" i="8"/>
  <c r="Y23" i="8"/>
  <c r="X23" i="8"/>
  <c r="W23" i="8"/>
  <c r="U23" i="8"/>
  <c r="T23" i="8"/>
  <c r="V23" i="8" s="1"/>
  <c r="R23" i="8"/>
  <c r="L23" i="8"/>
  <c r="K23" i="8"/>
  <c r="G23" i="8"/>
  <c r="F23" i="8"/>
  <c r="E23" i="8"/>
  <c r="D23" i="8"/>
  <c r="B23" i="8"/>
  <c r="A23" i="8"/>
  <c r="C23" i="8" s="1"/>
  <c r="Z22" i="8"/>
  <c r="Y22" i="8"/>
  <c r="X22" i="8"/>
  <c r="W22" i="8"/>
  <c r="U22" i="8"/>
  <c r="T22" i="8"/>
  <c r="V22" i="8" s="1"/>
  <c r="R22" i="8"/>
  <c r="L22" i="8"/>
  <c r="K22" i="8"/>
  <c r="G22" i="8"/>
  <c r="F22" i="8"/>
  <c r="E22" i="8"/>
  <c r="D22" i="8"/>
  <c r="B22" i="8"/>
  <c r="A22" i="8"/>
  <c r="C22" i="8" s="1"/>
  <c r="Z21" i="8"/>
  <c r="Y21" i="8"/>
  <c r="X21" i="8"/>
  <c r="W21" i="8"/>
  <c r="U21" i="8"/>
  <c r="T21" i="8"/>
  <c r="V21" i="8" s="1"/>
  <c r="R21" i="8"/>
  <c r="L21" i="8"/>
  <c r="K21" i="8"/>
  <c r="G21" i="8"/>
  <c r="F21" i="8"/>
  <c r="E21" i="8"/>
  <c r="D21" i="8"/>
  <c r="B21" i="8"/>
  <c r="A21" i="8"/>
  <c r="C21" i="8" s="1"/>
  <c r="Z20" i="8"/>
  <c r="Y20" i="8"/>
  <c r="X20" i="8"/>
  <c r="W20" i="8"/>
  <c r="U20" i="8"/>
  <c r="T20" i="8"/>
  <c r="V20" i="8" s="1"/>
  <c r="R20" i="8"/>
  <c r="L20" i="8"/>
  <c r="K20" i="8"/>
  <c r="G20" i="8"/>
  <c r="F20" i="8"/>
  <c r="E20" i="8"/>
  <c r="D20" i="8"/>
  <c r="B20" i="8"/>
  <c r="A20" i="8"/>
  <c r="C20" i="8" s="1"/>
  <c r="Z19" i="8"/>
  <c r="Y19" i="8"/>
  <c r="X19" i="8"/>
  <c r="W19" i="8"/>
  <c r="U19" i="8"/>
  <c r="T19" i="8"/>
  <c r="V19" i="8" s="1"/>
  <c r="R19" i="8"/>
  <c r="L19" i="8"/>
  <c r="K19" i="8"/>
  <c r="G19" i="8"/>
  <c r="F19" i="8"/>
  <c r="E19" i="8"/>
  <c r="D19" i="8"/>
  <c r="B19" i="8"/>
  <c r="A19" i="8"/>
  <c r="C19" i="8" s="1"/>
  <c r="Z18" i="8"/>
  <c r="Y18" i="8"/>
  <c r="X18" i="8"/>
  <c r="W18" i="8"/>
  <c r="U18" i="8"/>
  <c r="T18" i="8"/>
  <c r="V18" i="8" s="1"/>
  <c r="R18" i="8"/>
  <c r="L18" i="8"/>
  <c r="K18" i="8"/>
  <c r="G18" i="8"/>
  <c r="F18" i="8"/>
  <c r="E18" i="8"/>
  <c r="D18" i="8"/>
  <c r="B18" i="8"/>
  <c r="A18" i="8"/>
  <c r="C18" i="8" s="1"/>
  <c r="Z17" i="8"/>
  <c r="Y17" i="8"/>
  <c r="X17" i="8"/>
  <c r="W17" i="8"/>
  <c r="U17" i="8"/>
  <c r="T17" i="8"/>
  <c r="V17" i="8" s="1"/>
  <c r="R17" i="8"/>
  <c r="L17" i="8"/>
  <c r="K17" i="8"/>
  <c r="G17" i="8"/>
  <c r="F17" i="8"/>
  <c r="E17" i="8"/>
  <c r="D17" i="8"/>
  <c r="B17" i="8"/>
  <c r="A17" i="8"/>
  <c r="C17" i="8" s="1"/>
  <c r="AI16" i="8"/>
  <c r="AH16" i="8"/>
  <c r="Z16" i="8"/>
  <c r="Y16" i="8"/>
  <c r="X16" i="8"/>
  <c r="W16" i="8"/>
  <c r="U16" i="8"/>
  <c r="T16" i="8"/>
  <c r="V16" i="8" s="1"/>
  <c r="R16" i="8"/>
  <c r="L16" i="8"/>
  <c r="K16" i="8"/>
  <c r="G16" i="8"/>
  <c r="F16" i="8"/>
  <c r="E16" i="8"/>
  <c r="D16" i="8"/>
  <c r="B16" i="8"/>
  <c r="A16" i="8"/>
  <c r="C16" i="8" s="1"/>
  <c r="Z15" i="8"/>
  <c r="Y15" i="8"/>
  <c r="X15" i="8"/>
  <c r="W15" i="8"/>
  <c r="U15" i="8"/>
  <c r="T15" i="8"/>
  <c r="V15" i="8" s="1"/>
  <c r="R15" i="8"/>
  <c r="L15" i="8"/>
  <c r="K15" i="8"/>
  <c r="G15" i="8"/>
  <c r="F15" i="8"/>
  <c r="E15" i="8"/>
  <c r="D15" i="8"/>
  <c r="B15" i="8"/>
  <c r="A15" i="8"/>
  <c r="C15" i="8" s="1"/>
  <c r="Z14" i="8"/>
  <c r="Y14" i="8"/>
  <c r="X14" i="8"/>
  <c r="W14" i="8"/>
  <c r="U14" i="8"/>
  <c r="T14" i="8"/>
  <c r="V14" i="8" s="1"/>
  <c r="R14" i="8"/>
  <c r="L14" i="8"/>
  <c r="K14" i="8"/>
  <c r="G14" i="8"/>
  <c r="F14" i="8"/>
  <c r="E14" i="8"/>
  <c r="D14" i="8"/>
  <c r="B14" i="8"/>
  <c r="A14" i="8"/>
  <c r="C14" i="8" s="1"/>
  <c r="Z13" i="8"/>
  <c r="Y13" i="8"/>
  <c r="X13" i="8"/>
  <c r="W13" i="8"/>
  <c r="U13" i="8"/>
  <c r="T13" i="8"/>
  <c r="V13" i="8" s="1"/>
  <c r="R13" i="8"/>
  <c r="L13" i="8"/>
  <c r="K13" i="8"/>
  <c r="G13" i="8"/>
  <c r="F13" i="8"/>
  <c r="E13" i="8"/>
  <c r="D13" i="8"/>
  <c r="B13" i="8"/>
  <c r="A13" i="8"/>
  <c r="C13" i="8" s="1"/>
  <c r="Z12" i="8"/>
  <c r="Y12" i="8"/>
  <c r="X12" i="8"/>
  <c r="W12" i="8"/>
  <c r="U12" i="8"/>
  <c r="T12" i="8"/>
  <c r="V12" i="8" s="1"/>
  <c r="R12" i="8"/>
  <c r="L12" i="8"/>
  <c r="K12" i="8"/>
  <c r="G12" i="8"/>
  <c r="F12" i="8"/>
  <c r="E12" i="8"/>
  <c r="D12" i="8"/>
  <c r="B12" i="8"/>
  <c r="A12" i="8"/>
  <c r="C12" i="8" s="1"/>
  <c r="Z11" i="8"/>
  <c r="Y11" i="8"/>
  <c r="X11" i="8"/>
  <c r="W11" i="8"/>
  <c r="U11" i="8"/>
  <c r="T11" i="8"/>
  <c r="V11" i="8" s="1"/>
  <c r="R11" i="8"/>
  <c r="L11" i="8"/>
  <c r="K11" i="8"/>
  <c r="G11" i="8"/>
  <c r="F11" i="8"/>
  <c r="E11" i="8"/>
  <c r="D11" i="8"/>
  <c r="B11" i="8"/>
  <c r="A11" i="8"/>
  <c r="Z10" i="8"/>
  <c r="Y10" i="8"/>
  <c r="X10" i="8"/>
  <c r="W10" i="8"/>
  <c r="U10" i="8"/>
  <c r="T10" i="8"/>
  <c r="V10" i="8" s="1"/>
  <c r="R10" i="8"/>
  <c r="L10" i="8"/>
  <c r="K10" i="8"/>
  <c r="G10" i="8"/>
  <c r="F10" i="8"/>
  <c r="E10" i="8"/>
  <c r="D10" i="8"/>
  <c r="B10" i="8"/>
  <c r="A10" i="8"/>
  <c r="Z9" i="8"/>
  <c r="Y9" i="8"/>
  <c r="X9" i="8"/>
  <c r="W9" i="8"/>
  <c r="U9" i="8"/>
  <c r="T9" i="8"/>
  <c r="V9" i="8" s="1"/>
  <c r="R9" i="8"/>
  <c r="L9" i="8"/>
  <c r="K9" i="8"/>
  <c r="G9" i="8"/>
  <c r="F9" i="8"/>
  <c r="E9" i="8"/>
  <c r="D9" i="8"/>
  <c r="B9" i="8"/>
  <c r="A9" i="8"/>
  <c r="Z8" i="8"/>
  <c r="Y8" i="8"/>
  <c r="X8" i="8"/>
  <c r="W8" i="8"/>
  <c r="U8" i="8"/>
  <c r="T8" i="8"/>
  <c r="R8" i="8"/>
  <c r="L8" i="8"/>
  <c r="K8" i="8"/>
  <c r="G8" i="8"/>
  <c r="F8" i="8"/>
  <c r="E8" i="8"/>
  <c r="D8" i="8"/>
  <c r="B8" i="8"/>
  <c r="A8" i="8"/>
  <c r="Z7" i="8"/>
  <c r="Y7" i="8"/>
  <c r="X7" i="8"/>
  <c r="W7" i="8"/>
  <c r="U7" i="8"/>
  <c r="T7" i="8"/>
  <c r="R7" i="8"/>
  <c r="L7" i="8"/>
  <c r="K7" i="8"/>
  <c r="G7" i="8"/>
  <c r="F7" i="8"/>
  <c r="E7" i="8"/>
  <c r="D7" i="8"/>
  <c r="B7" i="8"/>
  <c r="A7" i="8"/>
  <c r="Z6" i="8"/>
  <c r="Y6" i="8"/>
  <c r="X6" i="8"/>
  <c r="W6" i="8"/>
  <c r="U6" i="8"/>
  <c r="T6" i="8"/>
  <c r="R6" i="8"/>
  <c r="L6" i="8"/>
  <c r="K6" i="8"/>
  <c r="G6" i="8"/>
  <c r="F6" i="8"/>
  <c r="E6" i="8"/>
  <c r="D6" i="8"/>
  <c r="B6" i="8"/>
  <c r="A6" i="8"/>
  <c r="Z5" i="8"/>
  <c r="Y5" i="8"/>
  <c r="X5" i="8"/>
  <c r="W5" i="8"/>
  <c r="U5" i="8"/>
  <c r="T5" i="8"/>
  <c r="R5" i="8"/>
  <c r="L5" i="8"/>
  <c r="K5" i="8"/>
  <c r="G5" i="8"/>
  <c r="F5" i="8"/>
  <c r="E5" i="8"/>
  <c r="D5" i="8"/>
  <c r="B5" i="8"/>
  <c r="A5" i="8"/>
  <c r="Z4" i="8"/>
  <c r="Y4" i="8"/>
  <c r="X4" i="8"/>
  <c r="W4" i="8"/>
  <c r="U4" i="8"/>
  <c r="T4" i="8"/>
  <c r="R4" i="8"/>
  <c r="L4" i="8"/>
  <c r="K4" i="8"/>
  <c r="G4" i="8"/>
  <c r="F4" i="8"/>
  <c r="E4" i="8"/>
  <c r="D4" i="8"/>
  <c r="B4" i="8"/>
  <c r="A4" i="8"/>
  <c r="R63" i="7"/>
  <c r="L63" i="7"/>
  <c r="K63" i="7"/>
  <c r="G63" i="7"/>
  <c r="F63" i="7"/>
  <c r="E63" i="7"/>
  <c r="D63" i="7"/>
  <c r="B63" i="7"/>
  <c r="A63" i="7"/>
  <c r="C63" i="7" s="1"/>
  <c r="R62" i="7"/>
  <c r="L62" i="7"/>
  <c r="K62" i="7"/>
  <c r="G62" i="7"/>
  <c r="F62" i="7"/>
  <c r="E62" i="7"/>
  <c r="D62" i="7"/>
  <c r="B62" i="7"/>
  <c r="A62" i="7"/>
  <c r="C62" i="7" s="1"/>
  <c r="R61" i="7"/>
  <c r="L61" i="7"/>
  <c r="K61" i="7"/>
  <c r="G61" i="7"/>
  <c r="F61" i="7"/>
  <c r="E61" i="7"/>
  <c r="D61" i="7"/>
  <c r="B61" i="7"/>
  <c r="A61" i="7"/>
  <c r="C61" i="7" s="1"/>
  <c r="R60" i="7"/>
  <c r="L60" i="7"/>
  <c r="K60" i="7"/>
  <c r="G60" i="7"/>
  <c r="F60" i="7"/>
  <c r="E60" i="7"/>
  <c r="D60" i="7"/>
  <c r="B60" i="7"/>
  <c r="A60" i="7"/>
  <c r="C60" i="7" s="1"/>
  <c r="R59" i="7"/>
  <c r="L59" i="7"/>
  <c r="K59" i="7"/>
  <c r="G59" i="7"/>
  <c r="F59" i="7"/>
  <c r="E59" i="7"/>
  <c r="D59" i="7"/>
  <c r="B59" i="7"/>
  <c r="A59" i="7"/>
  <c r="C59" i="7" s="1"/>
  <c r="R58" i="7"/>
  <c r="L58" i="7"/>
  <c r="K58" i="7"/>
  <c r="G58" i="7"/>
  <c r="F58" i="7"/>
  <c r="E58" i="7"/>
  <c r="D58" i="7"/>
  <c r="B58" i="7"/>
  <c r="A58" i="7"/>
  <c r="C58" i="7" s="1"/>
  <c r="R57" i="7"/>
  <c r="L57" i="7"/>
  <c r="K57" i="7"/>
  <c r="G57" i="7"/>
  <c r="F57" i="7"/>
  <c r="E57" i="7"/>
  <c r="D57" i="7"/>
  <c r="B57" i="7"/>
  <c r="A57" i="7"/>
  <c r="C57" i="7" s="1"/>
  <c r="R56" i="7"/>
  <c r="L56" i="7"/>
  <c r="K56" i="7"/>
  <c r="G56" i="7"/>
  <c r="F56" i="7"/>
  <c r="E56" i="7"/>
  <c r="D56" i="7"/>
  <c r="B56" i="7"/>
  <c r="A56" i="7"/>
  <c r="C56" i="7" s="1"/>
  <c r="R55" i="7"/>
  <c r="L55" i="7"/>
  <c r="K55" i="7"/>
  <c r="G55" i="7"/>
  <c r="F55" i="7"/>
  <c r="E55" i="7"/>
  <c r="D55" i="7"/>
  <c r="B55" i="7"/>
  <c r="A55" i="7"/>
  <c r="C55" i="7" s="1"/>
  <c r="R54" i="7"/>
  <c r="L54" i="7"/>
  <c r="K54" i="7"/>
  <c r="G54" i="7"/>
  <c r="F54" i="7"/>
  <c r="E54" i="7"/>
  <c r="D54" i="7"/>
  <c r="B54" i="7"/>
  <c r="A54" i="7"/>
  <c r="C54" i="7" s="1"/>
  <c r="R53" i="7"/>
  <c r="L53" i="7"/>
  <c r="K53" i="7"/>
  <c r="G53" i="7"/>
  <c r="F53" i="7"/>
  <c r="E53" i="7"/>
  <c r="D53" i="7"/>
  <c r="B53" i="7"/>
  <c r="A53" i="7"/>
  <c r="C53" i="7" s="1"/>
  <c r="R52" i="7"/>
  <c r="L52" i="7"/>
  <c r="K52" i="7"/>
  <c r="G52" i="7"/>
  <c r="F52" i="7"/>
  <c r="E52" i="7"/>
  <c r="D52" i="7"/>
  <c r="B52" i="7"/>
  <c r="A52" i="7"/>
  <c r="C52" i="7" s="1"/>
  <c r="R51" i="7"/>
  <c r="L51" i="7"/>
  <c r="K51" i="7"/>
  <c r="G51" i="7"/>
  <c r="F51" i="7"/>
  <c r="E51" i="7"/>
  <c r="D51" i="7"/>
  <c r="B51" i="7"/>
  <c r="A51" i="7"/>
  <c r="C51" i="7" s="1"/>
  <c r="R50" i="7"/>
  <c r="L50" i="7"/>
  <c r="K50" i="7"/>
  <c r="G50" i="7"/>
  <c r="F50" i="7"/>
  <c r="E50" i="7"/>
  <c r="D50" i="7"/>
  <c r="B50" i="7"/>
  <c r="A50" i="7"/>
  <c r="C50" i="7" s="1"/>
  <c r="R49" i="7"/>
  <c r="L49" i="7"/>
  <c r="K49" i="7"/>
  <c r="G49" i="7"/>
  <c r="F49" i="7"/>
  <c r="E49" i="7"/>
  <c r="D49" i="7"/>
  <c r="B49" i="7"/>
  <c r="A49" i="7"/>
  <c r="C49" i="7" s="1"/>
  <c r="R48" i="7"/>
  <c r="L48" i="7"/>
  <c r="K48" i="7"/>
  <c r="G48" i="7"/>
  <c r="F48" i="7"/>
  <c r="E48" i="7"/>
  <c r="D48" i="7"/>
  <c r="B48" i="7"/>
  <c r="A48" i="7"/>
  <c r="C48" i="7" s="1"/>
  <c r="R47" i="7"/>
  <c r="L47" i="7"/>
  <c r="K47" i="7"/>
  <c r="G47" i="7"/>
  <c r="F47" i="7"/>
  <c r="E47" i="7"/>
  <c r="D47" i="7"/>
  <c r="B47" i="7"/>
  <c r="A47" i="7"/>
  <c r="C47" i="7" s="1"/>
  <c r="R46" i="7"/>
  <c r="L46" i="7"/>
  <c r="K46" i="7"/>
  <c r="G46" i="7"/>
  <c r="F46" i="7"/>
  <c r="E46" i="7"/>
  <c r="D46" i="7"/>
  <c r="B46" i="7"/>
  <c r="A46" i="7"/>
  <c r="C46" i="7" s="1"/>
  <c r="R45" i="7"/>
  <c r="L45" i="7"/>
  <c r="K45" i="7"/>
  <c r="G45" i="7"/>
  <c r="F45" i="7"/>
  <c r="E45" i="7"/>
  <c r="D45" i="7"/>
  <c r="B45" i="7"/>
  <c r="A45" i="7"/>
  <c r="C45" i="7" s="1"/>
  <c r="R44" i="7"/>
  <c r="L44" i="7"/>
  <c r="K44" i="7"/>
  <c r="G44" i="7"/>
  <c r="F44" i="7"/>
  <c r="E44" i="7"/>
  <c r="D44" i="7"/>
  <c r="B44" i="7"/>
  <c r="A44" i="7"/>
  <c r="C44" i="7" s="1"/>
  <c r="R43" i="7"/>
  <c r="L43" i="7"/>
  <c r="K43" i="7"/>
  <c r="G43" i="7"/>
  <c r="F43" i="7"/>
  <c r="E43" i="7"/>
  <c r="D43" i="7"/>
  <c r="B43" i="7"/>
  <c r="A43" i="7"/>
  <c r="C43" i="7" s="1"/>
  <c r="R42" i="7"/>
  <c r="L42" i="7"/>
  <c r="K42" i="7"/>
  <c r="G42" i="7"/>
  <c r="F42" i="7"/>
  <c r="E42" i="7"/>
  <c r="D42" i="7"/>
  <c r="B42" i="7"/>
  <c r="A42" i="7"/>
  <c r="C42" i="7" s="1"/>
  <c r="R41" i="7"/>
  <c r="L41" i="7"/>
  <c r="K41" i="7"/>
  <c r="G41" i="7"/>
  <c r="F41" i="7"/>
  <c r="E41" i="7"/>
  <c r="D41" i="7"/>
  <c r="B41" i="7"/>
  <c r="A41" i="7"/>
  <c r="C41" i="7" s="1"/>
  <c r="R40" i="7"/>
  <c r="L40" i="7"/>
  <c r="K40" i="7"/>
  <c r="G40" i="7"/>
  <c r="F40" i="7"/>
  <c r="E40" i="7"/>
  <c r="D40" i="7"/>
  <c r="B40" i="7"/>
  <c r="A40" i="7"/>
  <c r="C40" i="7" s="1"/>
  <c r="R39" i="7"/>
  <c r="L39" i="7"/>
  <c r="K39" i="7"/>
  <c r="G39" i="7"/>
  <c r="F39" i="7"/>
  <c r="E39" i="7"/>
  <c r="D39" i="7"/>
  <c r="B39" i="7"/>
  <c r="A39" i="7"/>
  <c r="C39" i="7" s="1"/>
  <c r="R38" i="7"/>
  <c r="L38" i="7"/>
  <c r="K38" i="7"/>
  <c r="G38" i="7"/>
  <c r="F38" i="7"/>
  <c r="E38" i="7"/>
  <c r="D38" i="7"/>
  <c r="B38" i="7"/>
  <c r="A38" i="7"/>
  <c r="C38" i="7" s="1"/>
  <c r="R37" i="7"/>
  <c r="L37" i="7"/>
  <c r="K37" i="7"/>
  <c r="G37" i="7"/>
  <c r="F37" i="7"/>
  <c r="E37" i="7"/>
  <c r="D37" i="7"/>
  <c r="B37" i="7"/>
  <c r="A37" i="7"/>
  <c r="C37" i="7" s="1"/>
  <c r="R36" i="7"/>
  <c r="L36" i="7"/>
  <c r="K36" i="7"/>
  <c r="G36" i="7"/>
  <c r="F36" i="7"/>
  <c r="E36" i="7"/>
  <c r="D36" i="7"/>
  <c r="B36" i="7"/>
  <c r="A36" i="7"/>
  <c r="C36" i="7" s="1"/>
  <c r="R35" i="7"/>
  <c r="L35" i="7"/>
  <c r="K35" i="7"/>
  <c r="G35" i="7"/>
  <c r="F35" i="7"/>
  <c r="E35" i="7"/>
  <c r="D35" i="7"/>
  <c r="B35" i="7"/>
  <c r="A35" i="7"/>
  <c r="C35" i="7" s="1"/>
  <c r="R34" i="7"/>
  <c r="L34" i="7"/>
  <c r="K34" i="7"/>
  <c r="G34" i="7"/>
  <c r="F34" i="7"/>
  <c r="E34" i="7"/>
  <c r="D34" i="7"/>
  <c r="B34" i="7"/>
  <c r="A34" i="7"/>
  <c r="C34" i="7" s="1"/>
  <c r="Z33" i="7"/>
  <c r="Y33" i="7"/>
  <c r="X33" i="7"/>
  <c r="W33" i="7"/>
  <c r="U33" i="7"/>
  <c r="T33" i="7"/>
  <c r="V33" i="7" s="1"/>
  <c r="R33" i="7"/>
  <c r="L33" i="7"/>
  <c r="K33" i="7"/>
  <c r="G33" i="7"/>
  <c r="F33" i="7"/>
  <c r="E33" i="7"/>
  <c r="D33" i="7"/>
  <c r="B33" i="7"/>
  <c r="A33" i="7"/>
  <c r="C33" i="7" s="1"/>
  <c r="Z32" i="7"/>
  <c r="Y32" i="7"/>
  <c r="X32" i="7"/>
  <c r="W32" i="7"/>
  <c r="U32" i="7"/>
  <c r="T32" i="7"/>
  <c r="V32" i="7" s="1"/>
  <c r="R32" i="7"/>
  <c r="L32" i="7"/>
  <c r="K32" i="7"/>
  <c r="G32" i="7"/>
  <c r="F32" i="7"/>
  <c r="E32" i="7"/>
  <c r="D32" i="7"/>
  <c r="B32" i="7"/>
  <c r="A32" i="7"/>
  <c r="C32" i="7" s="1"/>
  <c r="Z31" i="7"/>
  <c r="Y31" i="7"/>
  <c r="X31" i="7"/>
  <c r="W31" i="7"/>
  <c r="U31" i="7"/>
  <c r="T31" i="7"/>
  <c r="V31" i="7" s="1"/>
  <c r="R31" i="7"/>
  <c r="L31" i="7"/>
  <c r="K31" i="7"/>
  <c r="G31" i="7"/>
  <c r="F31" i="7"/>
  <c r="E31" i="7"/>
  <c r="D31" i="7"/>
  <c r="B31" i="7"/>
  <c r="A31" i="7"/>
  <c r="C31" i="7" s="1"/>
  <c r="Z30" i="7"/>
  <c r="Y30" i="7"/>
  <c r="X30" i="7"/>
  <c r="W30" i="7"/>
  <c r="U30" i="7"/>
  <c r="T30" i="7"/>
  <c r="V30" i="7" s="1"/>
  <c r="R30" i="7"/>
  <c r="L30" i="7"/>
  <c r="K30" i="7"/>
  <c r="G30" i="7"/>
  <c r="F30" i="7"/>
  <c r="E30" i="7"/>
  <c r="D30" i="7"/>
  <c r="B30" i="7"/>
  <c r="A30" i="7"/>
  <c r="C30" i="7" s="1"/>
  <c r="Z29" i="7"/>
  <c r="Y29" i="7"/>
  <c r="X29" i="7"/>
  <c r="W29" i="7"/>
  <c r="U29" i="7"/>
  <c r="T29" i="7"/>
  <c r="V29" i="7" s="1"/>
  <c r="R29" i="7"/>
  <c r="L29" i="7"/>
  <c r="K29" i="7"/>
  <c r="G29" i="7"/>
  <c r="F29" i="7"/>
  <c r="E29" i="7"/>
  <c r="D29" i="7"/>
  <c r="B29" i="7"/>
  <c r="A29" i="7"/>
  <c r="C29" i="7" s="1"/>
  <c r="Z28" i="7"/>
  <c r="Y28" i="7"/>
  <c r="X28" i="7"/>
  <c r="W28" i="7"/>
  <c r="U28" i="7"/>
  <c r="T28" i="7"/>
  <c r="V28" i="7" s="1"/>
  <c r="R28" i="7"/>
  <c r="L28" i="7"/>
  <c r="K28" i="7"/>
  <c r="G28" i="7"/>
  <c r="F28" i="7"/>
  <c r="E28" i="7"/>
  <c r="D28" i="7"/>
  <c r="B28" i="7"/>
  <c r="A28" i="7"/>
  <c r="C28" i="7" s="1"/>
  <c r="Z27" i="7"/>
  <c r="Y27" i="7"/>
  <c r="X27" i="7"/>
  <c r="W27" i="7"/>
  <c r="U27" i="7"/>
  <c r="T27" i="7"/>
  <c r="V27" i="7" s="1"/>
  <c r="R27" i="7"/>
  <c r="L27" i="7"/>
  <c r="K27" i="7"/>
  <c r="G27" i="7"/>
  <c r="F27" i="7"/>
  <c r="E27" i="7"/>
  <c r="D27" i="7"/>
  <c r="B27" i="7"/>
  <c r="A27" i="7"/>
  <c r="C27" i="7" s="1"/>
  <c r="Z26" i="7"/>
  <c r="Y26" i="7"/>
  <c r="X26" i="7"/>
  <c r="W26" i="7"/>
  <c r="U26" i="7"/>
  <c r="T26" i="7"/>
  <c r="V26" i="7" s="1"/>
  <c r="R26" i="7"/>
  <c r="L26" i="7"/>
  <c r="K26" i="7"/>
  <c r="G26" i="7"/>
  <c r="F26" i="7"/>
  <c r="E26" i="7"/>
  <c r="D26" i="7"/>
  <c r="B26" i="7"/>
  <c r="A26" i="7"/>
  <c r="C26" i="7" s="1"/>
  <c r="Z25" i="7"/>
  <c r="Y25" i="7"/>
  <c r="X25" i="7"/>
  <c r="W25" i="7"/>
  <c r="U25" i="7"/>
  <c r="T25" i="7"/>
  <c r="V25" i="7" s="1"/>
  <c r="R25" i="7"/>
  <c r="L25" i="7"/>
  <c r="K25" i="7"/>
  <c r="G25" i="7"/>
  <c r="F25" i="7"/>
  <c r="E25" i="7"/>
  <c r="D25" i="7"/>
  <c r="B25" i="7"/>
  <c r="A25" i="7"/>
  <c r="C25" i="7" s="1"/>
  <c r="Z24" i="7"/>
  <c r="Y24" i="7"/>
  <c r="X24" i="7"/>
  <c r="W24" i="7"/>
  <c r="U24" i="7"/>
  <c r="T24" i="7"/>
  <c r="V24" i="7" s="1"/>
  <c r="R24" i="7"/>
  <c r="L24" i="7"/>
  <c r="K24" i="7"/>
  <c r="G24" i="7"/>
  <c r="F24" i="7"/>
  <c r="E24" i="7"/>
  <c r="D24" i="7"/>
  <c r="B24" i="7"/>
  <c r="A24" i="7"/>
  <c r="C24" i="7" s="1"/>
  <c r="Z23" i="7"/>
  <c r="Y23" i="7"/>
  <c r="X23" i="7"/>
  <c r="W23" i="7"/>
  <c r="U23" i="7"/>
  <c r="T23" i="7"/>
  <c r="V23" i="7" s="1"/>
  <c r="R23" i="7"/>
  <c r="L23" i="7"/>
  <c r="K23" i="7"/>
  <c r="F23" i="7"/>
  <c r="A23" i="7"/>
  <c r="C23" i="7" s="1"/>
  <c r="Y22" i="7"/>
  <c r="T22" i="7"/>
  <c r="V22" i="7" s="1"/>
  <c r="K22" i="7"/>
  <c r="B22" i="7"/>
  <c r="U21" i="7"/>
  <c r="F21" i="7"/>
  <c r="Y20" i="7"/>
  <c r="R20" i="7"/>
  <c r="E20" i="7"/>
  <c r="X19" i="7"/>
  <c r="L19" i="7"/>
  <c r="B19" i="7"/>
  <c r="U18" i="7"/>
  <c r="E18" i="7"/>
  <c r="Y17" i="7"/>
  <c r="G17" i="7"/>
  <c r="Y16" i="7"/>
  <c r="K16" i="7"/>
  <c r="A16" i="7"/>
  <c r="C16" i="7" s="1"/>
  <c r="Z10" i="7"/>
  <c r="Y10" i="7"/>
  <c r="X10" i="7"/>
  <c r="W10" i="7"/>
  <c r="U10" i="7"/>
  <c r="T10" i="7"/>
  <c r="V10" i="7" s="1"/>
  <c r="L10" i="7"/>
  <c r="G10" i="7"/>
  <c r="D10" i="7"/>
  <c r="U5" i="7"/>
  <c r="K5" i="7"/>
  <c r="E5" i="7"/>
  <c r="F45" i="6"/>
  <c r="A44" i="6"/>
  <c r="C44" i="6" s="1"/>
  <c r="R42" i="6"/>
  <c r="F41" i="6"/>
  <c r="E40" i="6"/>
  <c r="A39" i="6"/>
  <c r="C39" i="6" s="1"/>
  <c r="A38" i="6"/>
  <c r="C38" i="6" s="1"/>
  <c r="G36" i="6"/>
  <c r="E35" i="6"/>
  <c r="B34" i="6"/>
  <c r="K33" i="6"/>
  <c r="K32" i="6"/>
  <c r="W31" i="6"/>
  <c r="A31" i="6"/>
  <c r="C31" i="6" s="1"/>
  <c r="E30" i="6"/>
  <c r="R29" i="6"/>
  <c r="X28" i="6"/>
  <c r="F28" i="6"/>
  <c r="L27" i="6"/>
  <c r="U26" i="6"/>
  <c r="B26" i="6"/>
  <c r="F25" i="6"/>
  <c r="E157" i="3"/>
  <c r="D157" i="3"/>
  <c r="E154" i="3"/>
  <c r="D154" i="3"/>
  <c r="G144" i="3"/>
  <c r="F144" i="3"/>
  <c r="C144" i="3"/>
  <c r="E142" i="3"/>
  <c r="D142" i="3"/>
  <c r="E139" i="3"/>
  <c r="E134" i="3"/>
  <c r="E130" i="3"/>
  <c r="E115" i="3"/>
  <c r="E106" i="3"/>
  <c r="D106" i="3"/>
  <c r="E88" i="3"/>
  <c r="E80" i="3"/>
  <c r="G72" i="3"/>
  <c r="F72" i="3"/>
  <c r="C72" i="3"/>
  <c r="E66" i="3"/>
  <c r="E65" i="3"/>
  <c r="E61" i="3"/>
  <c r="E49" i="3"/>
  <c r="E45" i="3"/>
  <c r="E33" i="3"/>
  <c r="E25" i="3"/>
  <c r="E17" i="3"/>
  <c r="R24" i="6"/>
  <c r="L24" i="6"/>
  <c r="K24" i="6"/>
  <c r="G24" i="6"/>
  <c r="F24" i="6"/>
  <c r="E24" i="6"/>
  <c r="D24" i="6"/>
  <c r="B24" i="6"/>
  <c r="A24" i="6"/>
  <c r="C24" i="6" s="1"/>
  <c r="Z23" i="6"/>
  <c r="Y23" i="6"/>
  <c r="X23" i="6"/>
  <c r="W23" i="6"/>
  <c r="U23" i="6"/>
  <c r="T23" i="6"/>
  <c r="V23" i="6" s="1"/>
  <c r="R23" i="6"/>
  <c r="L23" i="6"/>
  <c r="K23" i="6"/>
  <c r="G23" i="6"/>
  <c r="F23" i="6"/>
  <c r="E23" i="6"/>
  <c r="D23" i="6"/>
  <c r="B23" i="6"/>
  <c r="A23" i="6"/>
  <c r="C23" i="6" s="1"/>
  <c r="Z22" i="6"/>
  <c r="Y22" i="6"/>
  <c r="X22" i="6"/>
  <c r="W22" i="6"/>
  <c r="U22" i="6"/>
  <c r="T22" i="6"/>
  <c r="V22" i="6" s="1"/>
  <c r="R22" i="6"/>
  <c r="L22" i="6"/>
  <c r="K22" i="6"/>
  <c r="G22" i="6"/>
  <c r="F22" i="6"/>
  <c r="E22" i="6"/>
  <c r="D22" i="6"/>
  <c r="B22" i="6"/>
  <c r="A22" i="6"/>
  <c r="C22" i="6" s="1"/>
  <c r="Z21" i="6"/>
  <c r="Y21" i="6"/>
  <c r="X21" i="6"/>
  <c r="W21" i="6"/>
  <c r="U21" i="6"/>
  <c r="T21" i="6"/>
  <c r="V21" i="6" s="1"/>
  <c r="R21" i="6"/>
  <c r="L21" i="6"/>
  <c r="K21" i="6"/>
  <c r="G21" i="6"/>
  <c r="F21" i="6"/>
  <c r="E21" i="6"/>
  <c r="D21" i="6"/>
  <c r="B21" i="6"/>
  <c r="A21" i="6"/>
  <c r="C21" i="6" s="1"/>
  <c r="Z20" i="6"/>
  <c r="Y20" i="6"/>
  <c r="X20" i="6"/>
  <c r="W20" i="6"/>
  <c r="U20" i="6"/>
  <c r="T20" i="6"/>
  <c r="V20" i="6" s="1"/>
  <c r="R20" i="6"/>
  <c r="L20" i="6"/>
  <c r="K20" i="6"/>
  <c r="G20" i="6"/>
  <c r="F20" i="6"/>
  <c r="E20" i="6"/>
  <c r="D20" i="6"/>
  <c r="B20" i="6"/>
  <c r="A20" i="6"/>
  <c r="C20" i="6" s="1"/>
  <c r="Z19" i="6"/>
  <c r="Y19" i="6"/>
  <c r="X19" i="6"/>
  <c r="W19" i="6"/>
  <c r="U19" i="6"/>
  <c r="T19" i="6"/>
  <c r="V19" i="6" s="1"/>
  <c r="R19" i="6"/>
  <c r="L19" i="6"/>
  <c r="K19" i="6"/>
  <c r="G19" i="6"/>
  <c r="F19" i="6"/>
  <c r="E19" i="6"/>
  <c r="D19" i="6"/>
  <c r="B19" i="6"/>
  <c r="A19" i="6"/>
  <c r="C19" i="6" s="1"/>
  <c r="Z18" i="6"/>
  <c r="Y18" i="6"/>
  <c r="X18" i="6"/>
  <c r="W18" i="6"/>
  <c r="U18" i="6"/>
  <c r="T18" i="6"/>
  <c r="V18" i="6" s="1"/>
  <c r="R18" i="6"/>
  <c r="L18" i="6"/>
  <c r="K18" i="6"/>
  <c r="G18" i="6"/>
  <c r="F18" i="6"/>
  <c r="E18" i="6"/>
  <c r="D18" i="6"/>
  <c r="B18" i="6"/>
  <c r="A18" i="6"/>
  <c r="C18" i="6" s="1"/>
  <c r="Z17" i="6"/>
  <c r="Y17" i="6"/>
  <c r="X17" i="6"/>
  <c r="W17" i="6"/>
  <c r="U17" i="6"/>
  <c r="T17" i="6"/>
  <c r="V17" i="6" s="1"/>
  <c r="R17" i="6"/>
  <c r="L17" i="6"/>
  <c r="K17" i="6"/>
  <c r="G17" i="6"/>
  <c r="F17" i="6"/>
  <c r="E17" i="6"/>
  <c r="D17" i="6"/>
  <c r="B17" i="6"/>
  <c r="A17" i="6"/>
  <c r="C17" i="6" s="1"/>
  <c r="AI16" i="6"/>
  <c r="AH16" i="6"/>
  <c r="Z16" i="6"/>
  <c r="Y16" i="6"/>
  <c r="X16" i="6"/>
  <c r="W16" i="6"/>
  <c r="U16" i="6"/>
  <c r="T16" i="6"/>
  <c r="V16" i="6" s="1"/>
  <c r="R16" i="6"/>
  <c r="L16" i="6"/>
  <c r="K16" i="6"/>
  <c r="G16" i="6"/>
  <c r="F16" i="6"/>
  <c r="E16" i="6"/>
  <c r="D16" i="6"/>
  <c r="B16" i="6"/>
  <c r="A16" i="6"/>
  <c r="C16" i="6" s="1"/>
  <c r="Z15" i="6"/>
  <c r="Y15" i="6"/>
  <c r="X15" i="6"/>
  <c r="W15" i="6"/>
  <c r="U15" i="6"/>
  <c r="T15" i="6"/>
  <c r="V15" i="6" s="1"/>
  <c r="R15" i="6"/>
  <c r="L15" i="6"/>
  <c r="K15" i="6"/>
  <c r="G15" i="6"/>
  <c r="F15" i="6"/>
  <c r="E15" i="6"/>
  <c r="D15" i="6"/>
  <c r="B15" i="6"/>
  <c r="A15" i="6"/>
  <c r="Z14" i="6"/>
  <c r="Y14" i="6"/>
  <c r="X14" i="6"/>
  <c r="W14" i="6"/>
  <c r="U14" i="6"/>
  <c r="T14" i="6"/>
  <c r="V14" i="6" s="1"/>
  <c r="R14" i="6"/>
  <c r="L14" i="6"/>
  <c r="K14" i="6"/>
  <c r="G14" i="6"/>
  <c r="F14" i="6"/>
  <c r="E14" i="6"/>
  <c r="D14" i="6"/>
  <c r="B14" i="6"/>
  <c r="A14" i="6"/>
  <c r="Z13" i="6"/>
  <c r="Y13" i="6"/>
  <c r="X13" i="6"/>
  <c r="W13" i="6"/>
  <c r="U13" i="6"/>
  <c r="T13" i="6"/>
  <c r="V13" i="6" s="1"/>
  <c r="R13" i="6"/>
  <c r="L13" i="6"/>
  <c r="K13" i="6"/>
  <c r="G13" i="6"/>
  <c r="F13" i="6"/>
  <c r="E13" i="6"/>
  <c r="D13" i="6"/>
  <c r="B13" i="6"/>
  <c r="A13" i="6"/>
  <c r="Z12" i="6"/>
  <c r="Y12" i="6"/>
  <c r="X12" i="6"/>
  <c r="W12" i="6"/>
  <c r="U12" i="6"/>
  <c r="T12" i="6"/>
  <c r="V12" i="6" s="1"/>
  <c r="R12" i="6"/>
  <c r="L12" i="6"/>
  <c r="K12" i="6"/>
  <c r="G12" i="6"/>
  <c r="F12" i="6"/>
  <c r="E12" i="6"/>
  <c r="D12" i="6"/>
  <c r="B12" i="6"/>
  <c r="A12" i="6"/>
  <c r="Z11" i="6"/>
  <c r="Y11" i="6"/>
  <c r="X11" i="6"/>
  <c r="W11" i="6"/>
  <c r="U11" i="6"/>
  <c r="T11" i="6"/>
  <c r="V11" i="6" s="1"/>
  <c r="R11" i="6"/>
  <c r="L11" i="6"/>
  <c r="K11" i="6"/>
  <c r="G11" i="6"/>
  <c r="F11" i="6"/>
  <c r="E11" i="6"/>
  <c r="D11" i="6"/>
  <c r="B11" i="6"/>
  <c r="A11" i="6"/>
  <c r="Z10" i="6"/>
  <c r="Y10" i="6"/>
  <c r="X10" i="6"/>
  <c r="W10" i="6"/>
  <c r="U10" i="6"/>
  <c r="T10" i="6"/>
  <c r="V10" i="6" s="1"/>
  <c r="R10" i="6"/>
  <c r="L10" i="6"/>
  <c r="K10" i="6"/>
  <c r="G10" i="6"/>
  <c r="F10" i="6"/>
  <c r="E10" i="6"/>
  <c r="D10" i="6"/>
  <c r="B10" i="6"/>
  <c r="A10" i="6"/>
  <c r="Z9" i="6"/>
  <c r="Y9" i="6"/>
  <c r="X9" i="6"/>
  <c r="W9" i="6"/>
  <c r="U9" i="6"/>
  <c r="T9" i="6"/>
  <c r="V9" i="6" s="1"/>
  <c r="R9" i="6"/>
  <c r="L9" i="6"/>
  <c r="K9" i="6"/>
  <c r="G9" i="6"/>
  <c r="F9" i="6"/>
  <c r="E9" i="6"/>
  <c r="D9" i="6"/>
  <c r="B9" i="6"/>
  <c r="A9" i="6"/>
  <c r="Z8" i="6"/>
  <c r="Y8" i="6"/>
  <c r="X8" i="6"/>
  <c r="W8" i="6"/>
  <c r="U8" i="6"/>
  <c r="T8" i="6"/>
  <c r="V8" i="6" s="1"/>
  <c r="R8" i="6"/>
  <c r="L8" i="6"/>
  <c r="K8" i="6"/>
  <c r="G8" i="6"/>
  <c r="F8" i="6"/>
  <c r="E8" i="6"/>
  <c r="D8" i="6"/>
  <c r="B8" i="6"/>
  <c r="A8" i="6"/>
  <c r="Z7" i="6"/>
  <c r="Y7" i="6"/>
  <c r="X7" i="6"/>
  <c r="W7" i="6"/>
  <c r="U7" i="6"/>
  <c r="T7" i="6"/>
  <c r="V7" i="6" s="1"/>
  <c r="R7" i="6"/>
  <c r="L7" i="6"/>
  <c r="K7" i="6"/>
  <c r="G7" i="6"/>
  <c r="F7" i="6"/>
  <c r="E7" i="6"/>
  <c r="D7" i="6"/>
  <c r="B7" i="6"/>
  <c r="A7" i="6"/>
  <c r="Z6" i="6"/>
  <c r="Y6" i="6"/>
  <c r="X6" i="6"/>
  <c r="W6" i="6"/>
  <c r="U6" i="6"/>
  <c r="T6" i="6"/>
  <c r="V6" i="6" s="1"/>
  <c r="R6" i="6"/>
  <c r="L6" i="6"/>
  <c r="K6" i="6"/>
  <c r="G6" i="6"/>
  <c r="F6" i="6"/>
  <c r="E6" i="6"/>
  <c r="D6" i="6"/>
  <c r="B6" i="6"/>
  <c r="A6" i="6"/>
  <c r="Z5" i="6"/>
  <c r="Y5" i="6"/>
  <c r="X5" i="6"/>
  <c r="W5" i="6"/>
  <c r="U5" i="6"/>
  <c r="T5" i="6"/>
  <c r="V5" i="6" s="1"/>
  <c r="L5" i="6"/>
  <c r="K5" i="6"/>
  <c r="G5" i="6"/>
  <c r="F5" i="6"/>
  <c r="E5" i="6"/>
  <c r="D5" i="6"/>
  <c r="B5" i="6"/>
  <c r="A5" i="6"/>
  <c r="Z4" i="6"/>
  <c r="Y4" i="6"/>
  <c r="X4" i="6"/>
  <c r="W4" i="6"/>
  <c r="U4" i="6"/>
  <c r="T4" i="6"/>
  <c r="V4" i="6" s="1"/>
  <c r="L4" i="6"/>
  <c r="K4" i="6"/>
  <c r="G4" i="6"/>
  <c r="F4" i="6"/>
  <c r="E4" i="6"/>
  <c r="D4" i="6"/>
  <c r="B4" i="6"/>
  <c r="A4" i="6"/>
  <c r="G216" i="3"/>
  <c r="F216" i="3"/>
  <c r="C216" i="3"/>
  <c r="E215" i="3"/>
  <c r="D215" i="3"/>
  <c r="E214" i="3"/>
  <c r="E213" i="3"/>
  <c r="E212" i="3"/>
  <c r="E211" i="3"/>
  <c r="E210" i="3"/>
  <c r="E209" i="3"/>
  <c r="E208" i="3"/>
  <c r="D208" i="3" s="1"/>
  <c r="E207" i="3"/>
  <c r="E206" i="3"/>
  <c r="E205" i="3"/>
  <c r="E204" i="3"/>
  <c r="E203" i="3"/>
  <c r="E202" i="3"/>
  <c r="G198" i="3"/>
  <c r="F198" i="3"/>
  <c r="C198" i="3"/>
  <c r="E197" i="3"/>
  <c r="E196" i="3"/>
  <c r="E195" i="3"/>
  <c r="E194" i="3"/>
  <c r="D194" i="3" s="1"/>
  <c r="E193" i="3"/>
  <c r="E192" i="3"/>
  <c r="E191" i="3"/>
  <c r="E190" i="3"/>
  <c r="E189" i="3"/>
  <c r="E188" i="3"/>
  <c r="E187" i="3"/>
  <c r="E186" i="3"/>
  <c r="E179" i="3"/>
  <c r="E176" i="3"/>
  <c r="E161" i="3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N17" i="2"/>
  <c r="I206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94" i="1"/>
  <c r="I100" i="1"/>
  <c r="I91" i="1"/>
  <c r="I96" i="1"/>
  <c r="I81" i="1"/>
  <c r="I64" i="1"/>
  <c r="I83" i="1"/>
  <c r="I61" i="1"/>
  <c r="I72" i="1"/>
  <c r="I63" i="1"/>
  <c r="I86" i="1"/>
  <c r="I68" i="1"/>
  <c r="I80" i="1"/>
  <c r="I39" i="1"/>
  <c r="I54" i="1"/>
  <c r="I50" i="1"/>
  <c r="I69" i="1"/>
  <c r="I38" i="1"/>
  <c r="I78" i="1"/>
  <c r="I95" i="1"/>
  <c r="I35" i="1"/>
  <c r="I34" i="1"/>
  <c r="I79" i="1"/>
  <c r="I67" i="1"/>
  <c r="I32" i="1"/>
  <c r="I88" i="1"/>
  <c r="I74" i="1"/>
  <c r="I47" i="1"/>
  <c r="I102" i="1"/>
  <c r="I101" i="1"/>
  <c r="I93" i="1"/>
  <c r="I92" i="1"/>
  <c r="I89" i="1"/>
  <c r="I87" i="1"/>
  <c r="I84" i="1"/>
  <c r="I77" i="1"/>
  <c r="I76" i="1"/>
  <c r="I75" i="1"/>
  <c r="I73" i="1"/>
  <c r="I60" i="1"/>
  <c r="I59" i="1"/>
  <c r="I51" i="1"/>
  <c r="I49" i="1"/>
  <c r="I44" i="1"/>
  <c r="I43" i="1"/>
  <c r="I42" i="1"/>
  <c r="I41" i="1"/>
  <c r="I37" i="1"/>
  <c r="I31" i="1"/>
  <c r="I30" i="1"/>
  <c r="I29" i="1"/>
  <c r="I28" i="1"/>
  <c r="I27" i="1"/>
  <c r="I24" i="1"/>
  <c r="I23" i="1"/>
  <c r="I22" i="1"/>
  <c r="I19" i="1"/>
  <c r="I18" i="1"/>
  <c r="I17" i="1"/>
  <c r="I16" i="1"/>
  <c r="I14" i="1"/>
  <c r="I13" i="1"/>
  <c r="Y6" i="19"/>
  <c r="W6" i="19"/>
  <c r="U6" i="19"/>
  <c r="R6" i="19"/>
  <c r="G6" i="19"/>
  <c r="E6" i="19"/>
  <c r="B6" i="19"/>
  <c r="F63" i="18"/>
  <c r="A63" i="18"/>
  <c r="C63" i="18" s="1"/>
  <c r="K62" i="18"/>
  <c r="E62" i="18"/>
  <c r="A62" i="18"/>
  <c r="C62" i="18" s="1"/>
  <c r="K61" i="18"/>
  <c r="E61" i="18"/>
  <c r="B61" i="18"/>
  <c r="K60" i="18"/>
  <c r="E60" i="18"/>
  <c r="A60" i="18"/>
  <c r="C60" i="18" s="1"/>
  <c r="L59" i="18"/>
  <c r="F59" i="18"/>
  <c r="A59" i="18"/>
  <c r="C59" i="18" s="1"/>
  <c r="K58" i="18"/>
  <c r="E58" i="18"/>
  <c r="A58" i="18"/>
  <c r="C58" i="18" s="1"/>
  <c r="L57" i="18"/>
  <c r="E57" i="18"/>
  <c r="B57" i="18"/>
  <c r="L56" i="18"/>
  <c r="F56" i="18"/>
  <c r="B56" i="18"/>
  <c r="K55" i="18"/>
  <c r="E55" i="18"/>
  <c r="B55" i="18"/>
  <c r="L54" i="18"/>
  <c r="F54" i="18"/>
  <c r="B54" i="18"/>
  <c r="K53" i="18"/>
  <c r="E53" i="18"/>
  <c r="A53" i="18"/>
  <c r="C53" i="18" s="1"/>
  <c r="G52" i="18"/>
  <c r="D52" i="18"/>
  <c r="R51" i="18"/>
  <c r="K51" i="18"/>
  <c r="E51" i="18"/>
  <c r="A51" i="18"/>
  <c r="C51" i="18" s="1"/>
  <c r="L50" i="18"/>
  <c r="F50" i="18"/>
  <c r="B50" i="18"/>
  <c r="L49" i="18"/>
  <c r="F49" i="18"/>
  <c r="A49" i="18"/>
  <c r="C49" i="18" s="1"/>
  <c r="K48" i="18"/>
  <c r="G48" i="18"/>
  <c r="E48" i="18"/>
  <c r="B48" i="18"/>
  <c r="R47" i="18"/>
  <c r="K47" i="18"/>
  <c r="F47" i="18"/>
  <c r="D47" i="18"/>
  <c r="A47" i="18"/>
  <c r="C47" i="18" s="1"/>
  <c r="R46" i="18"/>
  <c r="K46" i="18"/>
  <c r="F46" i="18"/>
  <c r="D46" i="18"/>
  <c r="A46" i="18"/>
  <c r="C46" i="18" s="1"/>
  <c r="K45" i="18"/>
  <c r="E45" i="18"/>
  <c r="A45" i="18"/>
  <c r="C45" i="18" s="1"/>
  <c r="K44" i="18"/>
  <c r="E44" i="18"/>
  <c r="A44" i="18"/>
  <c r="C44" i="18" s="1"/>
  <c r="K43" i="18"/>
  <c r="E43" i="18"/>
  <c r="A43" i="18"/>
  <c r="C43" i="18" s="1"/>
  <c r="K42" i="18"/>
  <c r="E42" i="18"/>
  <c r="A42" i="18"/>
  <c r="C42" i="18" s="1"/>
  <c r="K41" i="18"/>
  <c r="E41" i="18"/>
  <c r="B41" i="18"/>
  <c r="L40" i="18"/>
  <c r="F40" i="18"/>
  <c r="B40" i="18"/>
  <c r="L39" i="18"/>
  <c r="F39" i="18"/>
  <c r="B39" i="18"/>
  <c r="K38" i="18"/>
  <c r="F38" i="18"/>
  <c r="A38" i="18"/>
  <c r="C38" i="18" s="1"/>
  <c r="K37" i="18"/>
  <c r="E37" i="18"/>
  <c r="B37" i="18"/>
  <c r="G36" i="18"/>
  <c r="D36" i="18"/>
  <c r="R35" i="18"/>
  <c r="G35" i="18"/>
  <c r="D35" i="18"/>
  <c r="R34" i="18"/>
  <c r="G34" i="18"/>
  <c r="D34" i="18"/>
  <c r="F33" i="18"/>
  <c r="B33" i="18"/>
  <c r="Y32" i="18"/>
  <c r="T32" i="18"/>
  <c r="V32" i="18" s="1"/>
  <c r="L32" i="18"/>
  <c r="F32" i="18"/>
  <c r="A32" i="18"/>
  <c r="C32" i="18" s="1"/>
  <c r="X31" i="18"/>
  <c r="U31" i="18"/>
  <c r="L31" i="18"/>
  <c r="F31" i="18"/>
  <c r="B31" i="18"/>
  <c r="X30" i="18"/>
  <c r="U30" i="18"/>
  <c r="L30" i="18"/>
  <c r="F30" i="18"/>
  <c r="B30" i="18"/>
  <c r="Y29" i="18"/>
  <c r="T29" i="18"/>
  <c r="V29" i="18" s="1"/>
  <c r="K29" i="18"/>
  <c r="E29" i="18"/>
  <c r="A29" i="18"/>
  <c r="C29" i="18" s="1"/>
  <c r="X28" i="18"/>
  <c r="U28" i="18"/>
  <c r="L28" i="18"/>
  <c r="F28" i="18"/>
  <c r="A28" i="18"/>
  <c r="C28" i="18" s="1"/>
  <c r="X27" i="18"/>
  <c r="T27" i="18"/>
  <c r="V27" i="18" s="1"/>
  <c r="K27" i="18"/>
  <c r="E27" i="18"/>
  <c r="B27" i="18"/>
  <c r="Y26" i="18"/>
  <c r="U26" i="18"/>
  <c r="L26" i="18"/>
  <c r="F26" i="18"/>
  <c r="B26" i="18"/>
  <c r="X25" i="18"/>
  <c r="T25" i="18"/>
  <c r="V25" i="18" s="1"/>
  <c r="L25" i="18"/>
  <c r="F25" i="18"/>
  <c r="D25" i="18"/>
  <c r="A25" i="18"/>
  <c r="C25" i="18" s="1"/>
  <c r="Y24" i="18"/>
  <c r="W24" i="18"/>
  <c r="R24" i="18"/>
  <c r="G24" i="18"/>
  <c r="D24" i="18"/>
  <c r="Z23" i="18"/>
  <c r="W23" i="18"/>
  <c r="R23" i="18"/>
  <c r="G23" i="18"/>
  <c r="D23" i="18"/>
  <c r="Z22" i="18"/>
  <c r="W22" i="18"/>
  <c r="R22" i="18"/>
  <c r="G22" i="18"/>
  <c r="D22" i="18"/>
  <c r="Z21" i="18"/>
  <c r="W21" i="18"/>
  <c r="R21" i="18"/>
  <c r="G21" i="18"/>
  <c r="D21" i="18"/>
  <c r="Z20" i="18"/>
  <c r="W20" i="18"/>
  <c r="R20" i="18"/>
  <c r="G20" i="18"/>
  <c r="D20" i="18"/>
  <c r="Z19" i="18"/>
  <c r="W19" i="18"/>
  <c r="R19" i="18"/>
  <c r="K19" i="18"/>
  <c r="E19" i="18"/>
  <c r="B19" i="18"/>
  <c r="Y18" i="18"/>
  <c r="U18" i="18"/>
  <c r="K18" i="18"/>
  <c r="E18" i="18"/>
  <c r="A18" i="18"/>
  <c r="C18" i="18" s="1"/>
  <c r="X17" i="18"/>
  <c r="T17" i="18"/>
  <c r="V17" i="18" s="1"/>
  <c r="L17" i="18"/>
  <c r="F17" i="18"/>
  <c r="B17" i="18"/>
  <c r="Z16" i="18"/>
  <c r="W16" i="18"/>
  <c r="R16" i="18"/>
  <c r="G16" i="18"/>
  <c r="D16" i="18"/>
  <c r="Z15" i="18"/>
  <c r="Y15" i="18"/>
  <c r="X15" i="18"/>
  <c r="W15" i="18"/>
  <c r="U15" i="18"/>
  <c r="T15" i="18"/>
  <c r="V15" i="18" s="1"/>
  <c r="R15" i="18"/>
  <c r="L15" i="18"/>
  <c r="K15" i="18"/>
  <c r="G15" i="18"/>
  <c r="F15" i="18"/>
  <c r="E15" i="18"/>
  <c r="D15" i="18"/>
  <c r="B15" i="18"/>
  <c r="A15" i="18"/>
  <c r="C15" i="18" s="1"/>
  <c r="W14" i="18"/>
  <c r="T14" i="18"/>
  <c r="V14" i="18" s="1"/>
  <c r="L14" i="18"/>
  <c r="G14" i="18"/>
  <c r="E14" i="18"/>
  <c r="B14" i="18"/>
  <c r="Z10" i="18"/>
  <c r="Y10" i="18"/>
  <c r="X10" i="18"/>
  <c r="W10" i="18"/>
  <c r="U10" i="18"/>
  <c r="T10" i="18"/>
  <c r="V10" i="18" s="1"/>
  <c r="R10" i="18"/>
  <c r="L10" i="18"/>
  <c r="K10" i="18"/>
  <c r="G10" i="18"/>
  <c r="F10" i="18"/>
  <c r="E10" i="18"/>
  <c r="D10" i="18"/>
  <c r="B10" i="18"/>
  <c r="A10" i="18"/>
  <c r="C10" i="18" s="1"/>
  <c r="Z8" i="18"/>
  <c r="Y8" i="18"/>
  <c r="X8" i="18"/>
  <c r="W8" i="18"/>
  <c r="U8" i="18"/>
  <c r="T8" i="18"/>
  <c r="V8" i="18" s="1"/>
  <c r="R8" i="18"/>
  <c r="L8" i="18"/>
  <c r="K8" i="18"/>
  <c r="G8" i="18"/>
  <c r="F8" i="18"/>
  <c r="E8" i="18"/>
  <c r="D8" i="18"/>
  <c r="B8" i="18"/>
  <c r="A8" i="18"/>
  <c r="C8" i="18" s="1"/>
  <c r="Z6" i="18"/>
  <c r="Y6" i="18"/>
  <c r="X6" i="18"/>
  <c r="W6" i="18"/>
  <c r="U6" i="18"/>
  <c r="T6" i="18"/>
  <c r="V6" i="18" s="1"/>
  <c r="R6" i="18"/>
  <c r="L6" i="18"/>
  <c r="K6" i="18"/>
  <c r="G6" i="18"/>
  <c r="F6" i="18"/>
  <c r="E6" i="18"/>
  <c r="D6" i="18"/>
  <c r="B6" i="18"/>
  <c r="A6" i="18"/>
  <c r="Z4" i="18"/>
  <c r="Y4" i="18"/>
  <c r="X4" i="18"/>
  <c r="W4" i="18"/>
  <c r="U4" i="18"/>
  <c r="T4" i="18"/>
  <c r="R4" i="18"/>
  <c r="L4" i="18"/>
  <c r="K4" i="18"/>
  <c r="G4" i="18"/>
  <c r="F4" i="18"/>
  <c r="E4" i="18"/>
  <c r="D4" i="18"/>
  <c r="B4" i="18"/>
  <c r="A4" i="18"/>
  <c r="R63" i="17"/>
  <c r="L63" i="17"/>
  <c r="K63" i="17"/>
  <c r="G63" i="17"/>
  <c r="F63" i="17"/>
  <c r="E63" i="17"/>
  <c r="D63" i="17"/>
  <c r="B63" i="17"/>
  <c r="A63" i="17"/>
  <c r="C63" i="17" s="1"/>
  <c r="R62" i="17"/>
  <c r="L62" i="17"/>
  <c r="K62" i="17"/>
  <c r="G62" i="17"/>
  <c r="F62" i="17"/>
  <c r="E62" i="17"/>
  <c r="D62" i="17"/>
  <c r="B62" i="17"/>
  <c r="A62" i="17"/>
  <c r="C62" i="17" s="1"/>
  <c r="R61" i="17"/>
  <c r="L61" i="17"/>
  <c r="K61" i="17"/>
  <c r="G61" i="17"/>
  <c r="F61" i="17"/>
  <c r="E61" i="17"/>
  <c r="D61" i="17"/>
  <c r="B61" i="17"/>
  <c r="R60" i="17"/>
  <c r="K60" i="17"/>
  <c r="F60" i="17"/>
  <c r="D60" i="17"/>
  <c r="A60" i="17"/>
  <c r="C60" i="17" s="1"/>
  <c r="L59" i="17"/>
  <c r="G59" i="17"/>
  <c r="E59" i="17"/>
  <c r="B59" i="17"/>
  <c r="R58" i="17"/>
  <c r="K58" i="17"/>
  <c r="F58" i="17"/>
  <c r="D58" i="17"/>
  <c r="B58" i="17"/>
  <c r="L57" i="17"/>
  <c r="F57" i="17"/>
  <c r="B57" i="17"/>
  <c r="L56" i="17"/>
  <c r="F56" i="17"/>
  <c r="B56" i="17"/>
  <c r="L55" i="17"/>
  <c r="F55" i="17"/>
  <c r="B55" i="17"/>
  <c r="K54" i="17"/>
  <c r="E54" i="17"/>
  <c r="B54" i="17"/>
  <c r="K53" i="17"/>
  <c r="F53" i="17"/>
  <c r="B53" i="17"/>
  <c r="K52" i="17"/>
  <c r="E52" i="17"/>
  <c r="A52" i="17"/>
  <c r="C52" i="17" s="1"/>
  <c r="L51" i="17"/>
  <c r="F51" i="17"/>
  <c r="B51" i="17"/>
  <c r="L50" i="17"/>
  <c r="F50" i="17"/>
  <c r="B50" i="17"/>
  <c r="L49" i="17"/>
  <c r="E49" i="17"/>
  <c r="B49" i="17"/>
  <c r="L48" i="17"/>
  <c r="F48" i="17"/>
  <c r="A48" i="17"/>
  <c r="C48" i="17" s="1"/>
  <c r="L47" i="17"/>
  <c r="F47" i="17"/>
  <c r="B47" i="17"/>
  <c r="L46" i="17"/>
  <c r="F46" i="17"/>
  <c r="B46" i="17"/>
  <c r="L45" i="17"/>
  <c r="F45" i="17"/>
  <c r="B45" i="17"/>
  <c r="L44" i="17"/>
  <c r="E44" i="17"/>
  <c r="A44" i="17"/>
  <c r="C44" i="17" s="1"/>
  <c r="G43" i="17"/>
  <c r="D43" i="17"/>
  <c r="R42" i="17"/>
  <c r="K42" i="17"/>
  <c r="E42" i="17"/>
  <c r="B42" i="17"/>
  <c r="L41" i="17"/>
  <c r="F41" i="17"/>
  <c r="A41" i="17"/>
  <c r="C41" i="17" s="1"/>
  <c r="L40" i="17"/>
  <c r="F40" i="17"/>
  <c r="B40" i="17"/>
  <c r="K39" i="17"/>
  <c r="E39" i="17"/>
  <c r="A39" i="17"/>
  <c r="C39" i="17" s="1"/>
  <c r="K38" i="17"/>
  <c r="E38" i="17"/>
  <c r="A38" i="17"/>
  <c r="C38" i="17" s="1"/>
  <c r="K37" i="17"/>
  <c r="E37" i="17"/>
  <c r="B37" i="17"/>
  <c r="G36" i="17"/>
  <c r="D36" i="17"/>
  <c r="R35" i="17"/>
  <c r="G35" i="17"/>
  <c r="D35" i="17"/>
  <c r="K34" i="17"/>
  <c r="E34" i="17"/>
  <c r="B34" i="17"/>
  <c r="Z33" i="17"/>
  <c r="W33" i="17"/>
  <c r="R33" i="17"/>
  <c r="G33" i="17"/>
  <c r="D33" i="17"/>
  <c r="A33" i="17"/>
  <c r="C33" i="17" s="1"/>
  <c r="Y32" i="17"/>
  <c r="W32" i="17"/>
  <c r="T32" i="17"/>
  <c r="V32" i="17" s="1"/>
  <c r="L32" i="17"/>
  <c r="F32" i="17"/>
  <c r="E32" i="17"/>
  <c r="A32" i="17"/>
  <c r="C32" i="17" s="1"/>
  <c r="Y31" i="17"/>
  <c r="T31" i="17"/>
  <c r="V31" i="17" s="1"/>
  <c r="L31" i="17"/>
  <c r="F31" i="17"/>
  <c r="B31" i="17"/>
  <c r="Y30" i="17"/>
  <c r="U30" i="17"/>
  <c r="K30" i="17"/>
  <c r="E30" i="17"/>
  <c r="B30" i="17"/>
  <c r="Y29" i="17"/>
  <c r="T29" i="17"/>
  <c r="V29" i="17" s="1"/>
  <c r="L29" i="17"/>
  <c r="E29" i="17"/>
  <c r="A29" i="17"/>
  <c r="C29" i="17" s="1"/>
  <c r="X28" i="17"/>
  <c r="T28" i="17"/>
  <c r="V28" i="17" s="1"/>
  <c r="K28" i="17"/>
  <c r="E28" i="17"/>
  <c r="B28" i="17"/>
  <c r="Y27" i="17"/>
  <c r="T27" i="17"/>
  <c r="V27" i="17" s="1"/>
  <c r="L27" i="17"/>
  <c r="F27" i="17"/>
  <c r="B27" i="17"/>
  <c r="Y26" i="17"/>
  <c r="T26" i="17"/>
  <c r="V26" i="17" s="1"/>
  <c r="L26" i="17"/>
  <c r="F26" i="17"/>
  <c r="B26" i="17"/>
  <c r="Y25" i="17"/>
  <c r="U25" i="17"/>
  <c r="K25" i="17"/>
  <c r="E25" i="17"/>
  <c r="A25" i="17"/>
  <c r="C25" i="17" s="1"/>
  <c r="X24" i="17"/>
  <c r="T24" i="17"/>
  <c r="V24" i="17" s="1"/>
  <c r="K24" i="17"/>
  <c r="E24" i="17"/>
  <c r="A24" i="17"/>
  <c r="C24" i="17" s="1"/>
  <c r="Y23" i="17"/>
  <c r="U23" i="17"/>
  <c r="K23" i="17"/>
  <c r="E23" i="17"/>
  <c r="A23" i="17"/>
  <c r="C23" i="17" s="1"/>
  <c r="X22" i="17"/>
  <c r="U22" i="17"/>
  <c r="K22" i="17"/>
  <c r="E22" i="17"/>
  <c r="A22" i="17"/>
  <c r="C22" i="17" s="1"/>
  <c r="X21" i="17"/>
  <c r="U21" i="17"/>
  <c r="L21" i="17"/>
  <c r="F21" i="17"/>
  <c r="B21" i="17"/>
  <c r="Y20" i="17"/>
  <c r="T20" i="17"/>
  <c r="V20" i="17" s="1"/>
  <c r="K20" i="17"/>
  <c r="F20" i="17"/>
  <c r="A20" i="17"/>
  <c r="C20" i="17" s="1"/>
  <c r="X19" i="17"/>
  <c r="U19" i="17"/>
  <c r="L19" i="17"/>
  <c r="F19" i="17"/>
  <c r="B19" i="17"/>
  <c r="Y18" i="17"/>
  <c r="U18" i="17"/>
  <c r="K18" i="17"/>
  <c r="E18" i="17"/>
  <c r="B18" i="17"/>
  <c r="Y17" i="17"/>
  <c r="U17" i="17"/>
  <c r="K17" i="17"/>
  <c r="E17" i="17"/>
  <c r="A17" i="17"/>
  <c r="C17" i="17" s="1"/>
  <c r="AI16" i="17"/>
  <c r="Y16" i="17"/>
  <c r="Z7" i="17"/>
  <c r="X7" i="17"/>
  <c r="U7" i="17"/>
  <c r="R7" i="17"/>
  <c r="K7" i="17"/>
  <c r="F7" i="17"/>
  <c r="D7" i="17"/>
  <c r="B7" i="17"/>
  <c r="E6" i="17"/>
  <c r="A6" i="17"/>
  <c r="G60" i="16"/>
  <c r="B60" i="16"/>
  <c r="R59" i="16"/>
  <c r="K59" i="16"/>
  <c r="E59" i="16"/>
  <c r="A59" i="16"/>
  <c r="C59" i="16" s="1"/>
  <c r="K58" i="16"/>
  <c r="F58" i="16"/>
  <c r="B58" i="16"/>
  <c r="K57" i="16"/>
  <c r="E57" i="16"/>
  <c r="A57" i="16"/>
  <c r="C57" i="16" s="1"/>
  <c r="K56" i="16"/>
  <c r="E56" i="16"/>
  <c r="A56" i="16"/>
  <c r="C56" i="16" s="1"/>
  <c r="L55" i="16"/>
  <c r="F55" i="16"/>
  <c r="B55" i="16"/>
  <c r="K54" i="16"/>
  <c r="E54" i="16"/>
  <c r="A54" i="16"/>
  <c r="C54" i="16" s="1"/>
  <c r="L53" i="16"/>
  <c r="F53" i="16"/>
  <c r="A53" i="16"/>
  <c r="C53" i="16" s="1"/>
  <c r="L52" i="16"/>
  <c r="F52" i="16"/>
  <c r="B52" i="16"/>
  <c r="L51" i="16"/>
  <c r="F51" i="16"/>
  <c r="B51" i="16"/>
  <c r="K50" i="16"/>
  <c r="E50" i="16"/>
  <c r="A50" i="16"/>
  <c r="C50" i="16" s="1"/>
  <c r="K49" i="16"/>
  <c r="E49" i="16"/>
  <c r="A49" i="16"/>
  <c r="C49" i="16" s="1"/>
  <c r="L48" i="16"/>
  <c r="E48" i="16"/>
  <c r="A48" i="16"/>
  <c r="C48" i="16" s="1"/>
  <c r="L47" i="16"/>
  <c r="F47" i="16"/>
  <c r="B47" i="16"/>
  <c r="K46" i="16"/>
  <c r="E46" i="16"/>
  <c r="B46" i="16"/>
  <c r="K45" i="16"/>
  <c r="E45" i="16"/>
  <c r="B45" i="16"/>
  <c r="K44" i="16"/>
  <c r="E44" i="16"/>
  <c r="A44" i="16"/>
  <c r="C44" i="16" s="1"/>
  <c r="L43" i="16"/>
  <c r="F43" i="16"/>
  <c r="B43" i="16"/>
  <c r="L42" i="16"/>
  <c r="F42" i="16"/>
  <c r="B42" i="16"/>
  <c r="G41" i="16"/>
  <c r="D41" i="16"/>
  <c r="R40" i="16"/>
  <c r="G40" i="16"/>
  <c r="D40" i="16"/>
  <c r="R39" i="16"/>
  <c r="G39" i="16"/>
  <c r="D39" i="16"/>
  <c r="R38" i="16"/>
  <c r="K38" i="16"/>
  <c r="E38" i="16"/>
  <c r="B38" i="16"/>
  <c r="L37" i="16"/>
  <c r="F37" i="16"/>
  <c r="B37" i="16"/>
  <c r="K36" i="16"/>
  <c r="E36" i="16"/>
  <c r="A36" i="16"/>
  <c r="C36" i="16" s="1"/>
  <c r="K35" i="16"/>
  <c r="E35" i="16"/>
  <c r="A35" i="16"/>
  <c r="C35" i="16" s="1"/>
  <c r="K34" i="16"/>
  <c r="E34" i="16"/>
  <c r="A34" i="16"/>
  <c r="C34" i="16" s="1"/>
  <c r="X33" i="16"/>
  <c r="U33" i="16"/>
  <c r="L33" i="16"/>
  <c r="E33" i="16"/>
  <c r="A33" i="16"/>
  <c r="C33" i="16" s="1"/>
  <c r="Y32" i="16"/>
  <c r="T32" i="16"/>
  <c r="V32" i="16" s="1"/>
  <c r="K32" i="16"/>
  <c r="E32" i="16"/>
  <c r="A32" i="16"/>
  <c r="C32" i="16" s="1"/>
  <c r="X31" i="16"/>
  <c r="T31" i="16"/>
  <c r="V31" i="16" s="1"/>
  <c r="L31" i="16"/>
  <c r="G31" i="16"/>
  <c r="D31" i="16"/>
  <c r="Z30" i="16"/>
  <c r="T30" i="16"/>
  <c r="V30" i="16" s="1"/>
  <c r="K30" i="16"/>
  <c r="E30" i="16"/>
  <c r="B30" i="16"/>
  <c r="X29" i="16"/>
  <c r="T29" i="16"/>
  <c r="V29" i="16" s="1"/>
  <c r="K29" i="16"/>
  <c r="F29" i="16"/>
  <c r="A29" i="16"/>
  <c r="C29" i="16" s="1"/>
  <c r="X28" i="16"/>
  <c r="T28" i="16"/>
  <c r="V28" i="16" s="1"/>
  <c r="K28" i="16"/>
  <c r="E28" i="16"/>
  <c r="B28" i="16"/>
  <c r="Y27" i="16"/>
  <c r="U27" i="16"/>
  <c r="L27" i="16"/>
  <c r="F27" i="16"/>
  <c r="A27" i="16"/>
  <c r="C27" i="16" s="1"/>
  <c r="X26" i="16"/>
  <c r="T26" i="16"/>
  <c r="V26" i="16" s="1"/>
  <c r="K26" i="16"/>
  <c r="E26" i="16"/>
  <c r="B26" i="16"/>
  <c r="Y25" i="16"/>
  <c r="U25" i="16"/>
  <c r="K25" i="16"/>
  <c r="F25" i="16"/>
  <c r="A25" i="16"/>
  <c r="C25" i="16" s="1"/>
  <c r="X24" i="16"/>
  <c r="U24" i="16"/>
  <c r="K24" i="16"/>
  <c r="E24" i="16"/>
  <c r="B24" i="16"/>
  <c r="Y23" i="16"/>
  <c r="U23" i="16"/>
  <c r="L23" i="16"/>
  <c r="F23" i="16"/>
  <c r="B23" i="16"/>
  <c r="Y22" i="16"/>
  <c r="U22" i="16"/>
  <c r="K22" i="16"/>
  <c r="E22" i="16"/>
  <c r="B22" i="16"/>
  <c r="Y21" i="16"/>
  <c r="U21" i="16"/>
  <c r="K21" i="16"/>
  <c r="E21" i="16"/>
  <c r="B21" i="16"/>
  <c r="X20" i="16"/>
  <c r="R20" i="16"/>
  <c r="G20" i="16"/>
  <c r="B20" i="16"/>
  <c r="Y19" i="16"/>
  <c r="U19" i="16"/>
  <c r="L19" i="16"/>
  <c r="E19" i="16"/>
  <c r="Z18" i="16"/>
  <c r="W18" i="16"/>
  <c r="R18" i="16"/>
  <c r="G18" i="16"/>
  <c r="B18" i="16"/>
  <c r="Y17" i="16"/>
  <c r="U17" i="16"/>
  <c r="K17" i="16"/>
  <c r="E17" i="16"/>
  <c r="A17" i="16"/>
  <c r="C17" i="16" s="1"/>
  <c r="X16" i="16"/>
  <c r="R16" i="16"/>
  <c r="G16" i="16"/>
  <c r="D16" i="16"/>
  <c r="Z14" i="16"/>
  <c r="Y14" i="16"/>
  <c r="X14" i="16"/>
  <c r="W14" i="16"/>
  <c r="U14" i="16"/>
  <c r="T14" i="16"/>
  <c r="V14" i="16" s="1"/>
  <c r="R14" i="16"/>
  <c r="L14" i="16"/>
  <c r="K14" i="16"/>
  <c r="G14" i="16"/>
  <c r="F14" i="16"/>
  <c r="E14" i="16"/>
  <c r="D14" i="16"/>
  <c r="B14" i="16"/>
  <c r="A14" i="16"/>
  <c r="C14" i="16" s="1"/>
  <c r="T11" i="16"/>
  <c r="V11" i="16" s="1"/>
  <c r="L11" i="16"/>
  <c r="G11" i="16"/>
  <c r="E11" i="16"/>
  <c r="B11" i="16"/>
  <c r="Z9" i="16"/>
  <c r="Y9" i="16"/>
  <c r="X9" i="16"/>
  <c r="W9" i="16"/>
  <c r="U9" i="16"/>
  <c r="T9" i="16"/>
  <c r="V9" i="16" s="1"/>
  <c r="R9" i="16"/>
  <c r="L9" i="16"/>
  <c r="K9" i="16"/>
  <c r="G9" i="16"/>
  <c r="F9" i="16"/>
  <c r="E9" i="16"/>
  <c r="D9" i="16"/>
  <c r="B9" i="16"/>
  <c r="A9" i="16"/>
  <c r="C9" i="16" s="1"/>
  <c r="F7" i="16"/>
  <c r="D7" i="16"/>
  <c r="A7" i="16"/>
  <c r="F62" i="15"/>
  <c r="D62" i="15"/>
  <c r="A62" i="15"/>
  <c r="C62" i="15" s="1"/>
  <c r="L61" i="15"/>
  <c r="F61" i="15"/>
  <c r="D61" i="15"/>
  <c r="B61" i="15"/>
  <c r="R60" i="15"/>
  <c r="K60" i="15"/>
  <c r="F60" i="15"/>
  <c r="D60" i="15"/>
  <c r="A60" i="15"/>
  <c r="C60" i="15" s="1"/>
  <c r="L59" i="15"/>
  <c r="G59" i="15"/>
  <c r="E59" i="15"/>
  <c r="B59" i="15"/>
  <c r="K58" i="15"/>
  <c r="G58" i="15"/>
  <c r="E58" i="15"/>
  <c r="B58" i="15"/>
  <c r="R57" i="15"/>
  <c r="K57" i="15"/>
  <c r="F57" i="15"/>
  <c r="B57" i="15"/>
  <c r="R56" i="15"/>
  <c r="K56" i="15"/>
  <c r="F56" i="15"/>
  <c r="D56" i="15"/>
  <c r="A56" i="15"/>
  <c r="C56" i="15" s="1"/>
  <c r="L55" i="15"/>
  <c r="F55" i="15"/>
  <c r="B55" i="15"/>
  <c r="L54" i="15"/>
  <c r="E54" i="15"/>
  <c r="A54" i="15"/>
  <c r="C54" i="15" s="1"/>
  <c r="K53" i="15"/>
  <c r="D53" i="15"/>
  <c r="R52" i="15"/>
  <c r="G52" i="15"/>
  <c r="B52" i="15"/>
  <c r="L51" i="15"/>
  <c r="E51" i="15"/>
  <c r="A51" i="15"/>
  <c r="C51" i="15" s="1"/>
  <c r="K50" i="15"/>
  <c r="D50" i="15"/>
  <c r="R49" i="15"/>
  <c r="G49" i="15"/>
  <c r="A49" i="15"/>
  <c r="C49" i="15" s="1"/>
  <c r="L48" i="15"/>
  <c r="F48" i="15"/>
  <c r="A48" i="15"/>
  <c r="C48" i="15" s="1"/>
  <c r="K47" i="15"/>
  <c r="E47" i="15"/>
  <c r="R46" i="15"/>
  <c r="G46" i="15"/>
  <c r="D46" i="15"/>
  <c r="L45" i="15"/>
  <c r="F45" i="15"/>
  <c r="R44" i="15"/>
  <c r="G44" i="15"/>
  <c r="D44" i="15"/>
  <c r="L43" i="15"/>
  <c r="F43" i="15"/>
  <c r="B43" i="15"/>
  <c r="G42" i="15"/>
  <c r="D42" i="15"/>
  <c r="L41" i="15"/>
  <c r="F41" i="15"/>
  <c r="B41" i="15"/>
  <c r="L40" i="15"/>
  <c r="F40" i="15"/>
  <c r="A40" i="15"/>
  <c r="C40" i="15" s="1"/>
  <c r="G39" i="15"/>
  <c r="D39" i="15"/>
  <c r="R38" i="15"/>
  <c r="G38" i="15"/>
  <c r="D38" i="15"/>
  <c r="R37" i="15"/>
  <c r="F37" i="15"/>
  <c r="E37" i="15"/>
  <c r="A37" i="15"/>
  <c r="C37" i="15" s="1"/>
  <c r="L36" i="15"/>
  <c r="F36" i="15"/>
  <c r="B36" i="15"/>
  <c r="R35" i="15"/>
  <c r="K35" i="15"/>
  <c r="F35" i="15"/>
  <c r="B35" i="15"/>
  <c r="L34" i="15"/>
  <c r="G34" i="15"/>
  <c r="D34" i="15"/>
  <c r="Z33" i="15"/>
  <c r="W33" i="15"/>
  <c r="L33" i="15"/>
  <c r="F33" i="15"/>
  <c r="B33" i="15"/>
  <c r="X32" i="15"/>
  <c r="T32" i="15"/>
  <c r="V32" i="15" s="1"/>
  <c r="K32" i="15"/>
  <c r="E32" i="15"/>
  <c r="B32" i="15"/>
  <c r="X31" i="15"/>
  <c r="T31" i="15"/>
  <c r="V31" i="15" s="1"/>
  <c r="K31" i="15"/>
  <c r="E31" i="15"/>
  <c r="B31" i="15"/>
  <c r="Z30" i="15"/>
  <c r="U30" i="15"/>
  <c r="R30" i="15"/>
  <c r="K30" i="15"/>
  <c r="E30" i="15"/>
  <c r="B30" i="15"/>
  <c r="Z29" i="15"/>
  <c r="W29" i="15"/>
  <c r="T29" i="15"/>
  <c r="V29" i="15" s="1"/>
  <c r="K29" i="15"/>
  <c r="F29" i="15"/>
  <c r="D29" i="15"/>
  <c r="Z28" i="15"/>
  <c r="X28" i="15"/>
  <c r="U28" i="15"/>
  <c r="L28" i="15"/>
  <c r="G28" i="15"/>
  <c r="B28" i="15"/>
  <c r="Y27" i="15"/>
  <c r="U27" i="15"/>
  <c r="K27" i="15"/>
  <c r="E27" i="15"/>
  <c r="B27" i="15"/>
  <c r="X26" i="15"/>
  <c r="T26" i="15"/>
  <c r="V26" i="15" s="1"/>
  <c r="G26" i="15"/>
  <c r="B26" i="15"/>
  <c r="Y25" i="15"/>
  <c r="T25" i="15"/>
  <c r="V25" i="15" s="1"/>
  <c r="K25" i="15"/>
  <c r="E25" i="15"/>
  <c r="Z24" i="15"/>
  <c r="W24" i="15"/>
  <c r="R24" i="15"/>
  <c r="G24" i="15"/>
  <c r="D24" i="15"/>
  <c r="Z23" i="15"/>
  <c r="U23" i="15"/>
  <c r="L23" i="15"/>
  <c r="F23" i="15"/>
  <c r="A23" i="15"/>
  <c r="C23" i="15" s="1"/>
  <c r="X22" i="15"/>
  <c r="T22" i="15"/>
  <c r="V22" i="15" s="1"/>
  <c r="K22" i="15"/>
  <c r="E22" i="15"/>
  <c r="Z21" i="15"/>
  <c r="W21" i="15"/>
  <c r="R21" i="15"/>
  <c r="F21" i="15"/>
  <c r="D21" i="15"/>
  <c r="Y20" i="15"/>
  <c r="U20" i="15"/>
  <c r="L20" i="15"/>
  <c r="E20" i="15"/>
  <c r="A20" i="15"/>
  <c r="C20" i="15" s="1"/>
  <c r="X19" i="15"/>
  <c r="R19" i="15"/>
  <c r="G19" i="15"/>
  <c r="D19" i="15"/>
  <c r="Y18" i="15"/>
  <c r="U18" i="15"/>
  <c r="L18" i="15"/>
  <c r="E18" i="15"/>
  <c r="A18" i="15"/>
  <c r="C18" i="15" s="1"/>
  <c r="X17" i="15"/>
  <c r="T17" i="15"/>
  <c r="V17" i="15" s="1"/>
  <c r="K17" i="15"/>
  <c r="E17" i="15"/>
  <c r="A17" i="15"/>
  <c r="C17" i="15" s="1"/>
  <c r="AH16" i="15"/>
  <c r="Z16" i="15"/>
  <c r="R16" i="15"/>
  <c r="K16" i="15"/>
  <c r="D16" i="15"/>
  <c r="Z14" i="15"/>
  <c r="Y14" i="15"/>
  <c r="X14" i="15"/>
  <c r="W14" i="15"/>
  <c r="U14" i="15"/>
  <c r="T14" i="15"/>
  <c r="V14" i="15" s="1"/>
  <c r="R14" i="15"/>
  <c r="L14" i="15"/>
  <c r="K14" i="15"/>
  <c r="G14" i="15"/>
  <c r="F14" i="15"/>
  <c r="E14" i="15"/>
  <c r="D14" i="15"/>
  <c r="B14" i="15"/>
  <c r="A14" i="15"/>
  <c r="C14" i="15" s="1"/>
  <c r="Z10" i="15"/>
  <c r="Y10" i="15"/>
  <c r="X10" i="15"/>
  <c r="W10" i="15"/>
  <c r="U10" i="15"/>
  <c r="T10" i="15"/>
  <c r="V10" i="15" s="1"/>
  <c r="R10" i="15"/>
  <c r="L10" i="15"/>
  <c r="K10" i="15"/>
  <c r="G10" i="15"/>
  <c r="F10" i="15"/>
  <c r="E10" i="15"/>
  <c r="D10" i="15"/>
  <c r="B10" i="15"/>
  <c r="A10" i="15"/>
  <c r="C10" i="15" s="1"/>
  <c r="Z8" i="15"/>
  <c r="Y8" i="15"/>
  <c r="X8" i="15"/>
  <c r="W8" i="15"/>
  <c r="U8" i="15"/>
  <c r="T8" i="15"/>
  <c r="V8" i="15" s="1"/>
  <c r="R8" i="15"/>
  <c r="L8" i="15"/>
  <c r="K8" i="15"/>
  <c r="G8" i="15"/>
  <c r="F8" i="15"/>
  <c r="E8" i="15"/>
  <c r="D8" i="15"/>
  <c r="B8" i="15"/>
  <c r="A8" i="15"/>
  <c r="Z5" i="15"/>
  <c r="Y5" i="15"/>
  <c r="X5" i="15"/>
  <c r="W5" i="15"/>
  <c r="U5" i="15"/>
  <c r="T5" i="15"/>
  <c r="V5" i="15" s="1"/>
  <c r="R5" i="15"/>
  <c r="L5" i="15"/>
  <c r="K5" i="15"/>
  <c r="G5" i="15"/>
  <c r="F5" i="15"/>
  <c r="E5" i="15"/>
  <c r="D5" i="15"/>
  <c r="B5" i="15"/>
  <c r="A5" i="15"/>
  <c r="C5" i="15" s="1"/>
  <c r="K60" i="14"/>
  <c r="D60" i="14"/>
  <c r="R59" i="14"/>
  <c r="G59" i="14"/>
  <c r="D59" i="14"/>
  <c r="R58" i="14"/>
  <c r="G58" i="14"/>
  <c r="B58" i="14"/>
  <c r="L57" i="14"/>
  <c r="F57" i="14"/>
  <c r="B57" i="14"/>
  <c r="L56" i="14"/>
  <c r="F56" i="14"/>
  <c r="B56" i="14"/>
  <c r="K55" i="14"/>
  <c r="E55" i="14"/>
  <c r="A55" i="14"/>
  <c r="C55" i="14" s="1"/>
  <c r="K54" i="14"/>
  <c r="D54" i="14"/>
  <c r="R53" i="14"/>
  <c r="G53" i="14"/>
  <c r="B53" i="14"/>
  <c r="L52" i="14"/>
  <c r="E52" i="14"/>
  <c r="A52" i="14"/>
  <c r="C52" i="14" s="1"/>
  <c r="K51" i="14"/>
  <c r="D51" i="14"/>
  <c r="R50" i="14"/>
  <c r="F50" i="14"/>
  <c r="B50" i="14"/>
  <c r="K49" i="14"/>
  <c r="D49" i="14"/>
  <c r="R48" i="14"/>
  <c r="K48" i="14"/>
  <c r="D48" i="14"/>
  <c r="R47" i="14"/>
  <c r="G47" i="14"/>
  <c r="B47" i="14"/>
  <c r="L46" i="14"/>
  <c r="E46" i="14"/>
  <c r="A46" i="14"/>
  <c r="C46" i="14" s="1"/>
  <c r="K45" i="14"/>
  <c r="D45" i="14"/>
  <c r="R44" i="14"/>
  <c r="G44" i="14"/>
  <c r="B44" i="14"/>
  <c r="L43" i="14"/>
  <c r="E43" i="14"/>
  <c r="A43" i="14"/>
  <c r="C43" i="14" s="1"/>
  <c r="G42" i="14"/>
  <c r="D42" i="14"/>
  <c r="R41" i="14"/>
  <c r="G41" i="14"/>
  <c r="D41" i="14"/>
  <c r="K40" i="14"/>
  <c r="E40" i="14"/>
  <c r="R39" i="14"/>
  <c r="G39" i="14"/>
  <c r="D39" i="14"/>
  <c r="L38" i="14"/>
  <c r="F38" i="14"/>
  <c r="A38" i="14"/>
  <c r="C38" i="14" s="1"/>
  <c r="K37" i="14"/>
  <c r="E37" i="14"/>
  <c r="A37" i="14"/>
  <c r="C37" i="14" s="1"/>
  <c r="K36" i="14"/>
  <c r="D36" i="14"/>
  <c r="R35" i="14"/>
  <c r="G35" i="14"/>
  <c r="B35" i="14"/>
  <c r="L34" i="14"/>
  <c r="E34" i="14"/>
  <c r="B34" i="14"/>
  <c r="Y33" i="14"/>
  <c r="T33" i="14"/>
  <c r="V33" i="14" s="1"/>
  <c r="K33" i="14"/>
  <c r="Y5" i="14"/>
  <c r="W5" i="14"/>
  <c r="T5" i="14"/>
  <c r="V5" i="14" s="1"/>
  <c r="L5" i="14"/>
  <c r="F5" i="14"/>
  <c r="D5" i="14"/>
  <c r="B46" i="13"/>
  <c r="K45" i="13"/>
  <c r="E45" i="13"/>
  <c r="A45" i="13"/>
  <c r="C45" i="13" s="1"/>
  <c r="G44" i="13"/>
  <c r="D44" i="13"/>
  <c r="Q43" i="13"/>
  <c r="F43" i="13"/>
  <c r="B43" i="13"/>
  <c r="K42" i="13"/>
  <c r="E42" i="13"/>
  <c r="A42" i="13"/>
  <c r="C42" i="13" s="1"/>
  <c r="G41" i="13"/>
  <c r="D41" i="13"/>
  <c r="Q40" i="13"/>
  <c r="F40" i="13"/>
  <c r="B40" i="13"/>
  <c r="K39" i="13"/>
  <c r="E39" i="13"/>
  <c r="A39" i="13"/>
  <c r="C39" i="13" s="1"/>
  <c r="G38" i="13"/>
  <c r="D38" i="13"/>
  <c r="Q37" i="13"/>
  <c r="F37" i="13"/>
  <c r="B37" i="13"/>
  <c r="K36" i="13"/>
  <c r="E36" i="13"/>
  <c r="A36" i="13"/>
  <c r="C36" i="13" s="1"/>
  <c r="F35" i="13"/>
  <c r="B35" i="13"/>
  <c r="K34" i="13"/>
  <c r="E34" i="13"/>
  <c r="A34" i="13"/>
  <c r="C34" i="13" s="1"/>
  <c r="W33" i="13"/>
  <c r="T33" i="13"/>
  <c r="Q33" i="13"/>
  <c r="F33" i="13"/>
  <c r="B33" i="13"/>
  <c r="X32" i="13"/>
  <c r="T32" i="13"/>
  <c r="K32" i="13"/>
  <c r="E32" i="13"/>
  <c r="A32" i="13"/>
  <c r="C32" i="13" s="1"/>
  <c r="W31" i="13"/>
  <c r="S31" i="13"/>
  <c r="U31" i="13" s="1"/>
  <c r="Y30" i="13"/>
  <c r="V30" i="13"/>
  <c r="Q30" i="13"/>
  <c r="F30" i="13"/>
  <c r="B30" i="13"/>
  <c r="X29" i="13"/>
  <c r="V29" i="13"/>
  <c r="Q29" i="13"/>
  <c r="F29" i="13"/>
  <c r="B29" i="13"/>
  <c r="X28" i="13"/>
  <c r="S28" i="13"/>
  <c r="U28" i="13" s="1"/>
  <c r="F28" i="13"/>
  <c r="B28" i="13"/>
  <c r="Y27" i="13"/>
  <c r="V27" i="13"/>
  <c r="Q27" i="13"/>
  <c r="F27" i="13"/>
  <c r="B27" i="13"/>
  <c r="W26" i="13"/>
  <c r="Q26" i="13"/>
  <c r="F26" i="13"/>
  <c r="B26" i="13"/>
  <c r="X25" i="13"/>
  <c r="T25" i="13"/>
  <c r="G25" i="13"/>
  <c r="D25" i="13"/>
  <c r="Y24" i="13"/>
  <c r="T24" i="13"/>
  <c r="K24" i="13"/>
  <c r="D24" i="13"/>
  <c r="Y23" i="13"/>
  <c r="T23" i="13"/>
  <c r="K23" i="13"/>
  <c r="E23" i="13"/>
  <c r="Y22" i="13"/>
  <c r="V22" i="13"/>
  <c r="K22" i="13"/>
  <c r="E22" i="13"/>
  <c r="Y21" i="13"/>
  <c r="V21" i="13"/>
  <c r="K21" i="13"/>
  <c r="E21" i="13"/>
  <c r="A21" i="13"/>
  <c r="C21" i="13" s="1"/>
  <c r="V20" i="13"/>
  <c r="Q20" i="13"/>
  <c r="F20" i="13"/>
  <c r="B20" i="13"/>
  <c r="X19" i="13"/>
  <c r="T19" i="13"/>
  <c r="F19" i="13"/>
  <c r="B19" i="13"/>
  <c r="X18" i="13"/>
  <c r="T18" i="13"/>
  <c r="F18" i="13"/>
  <c r="D18" i="13"/>
  <c r="X17" i="13"/>
  <c r="T17" i="13"/>
  <c r="K17" i="13"/>
  <c r="E17" i="13"/>
  <c r="A17" i="13"/>
  <c r="C17" i="13" s="1"/>
  <c r="AG16" i="13"/>
  <c r="Y16" i="13"/>
  <c r="S16" i="13"/>
  <c r="U16" i="13" s="1"/>
  <c r="K16" i="13"/>
  <c r="E16" i="13"/>
  <c r="Y15" i="13"/>
  <c r="W15" i="13"/>
  <c r="T15" i="13"/>
  <c r="Q15" i="13"/>
  <c r="G15" i="13"/>
  <c r="E15" i="13"/>
  <c r="B15" i="13"/>
  <c r="G14" i="13"/>
  <c r="E14" i="13"/>
  <c r="B14" i="13"/>
  <c r="G8" i="13"/>
  <c r="E8" i="13"/>
  <c r="B8" i="13"/>
  <c r="G52" i="6"/>
  <c r="K51" i="6"/>
  <c r="A51" i="6"/>
  <c r="C51" i="6" s="1"/>
  <c r="E50" i="6"/>
  <c r="K49" i="6"/>
  <c r="A49" i="6"/>
  <c r="C49" i="6" s="1"/>
  <c r="E48" i="6"/>
  <c r="K47" i="6"/>
  <c r="F46" i="6"/>
  <c r="G45" i="6"/>
  <c r="F44" i="6"/>
  <c r="E43" i="6"/>
  <c r="E42" i="6"/>
  <c r="B41" i="6"/>
  <c r="R39" i="6"/>
  <c r="R38" i="6"/>
  <c r="L37" i="6"/>
  <c r="K36" i="6"/>
  <c r="D35" i="6"/>
  <c r="A34" i="6"/>
  <c r="C34" i="6" s="1"/>
  <c r="F33" i="6"/>
  <c r="U32" i="6"/>
  <c r="Y31" i="6"/>
  <c r="F31" i="6"/>
  <c r="L30" i="6"/>
  <c r="X29" i="6"/>
  <c r="B29" i="6"/>
  <c r="L28" i="6"/>
  <c r="W27" i="6"/>
  <c r="D27" i="6"/>
  <c r="K26" i="6"/>
  <c r="X25" i="6"/>
  <c r="E25" i="6"/>
  <c r="E170" i="3"/>
  <c r="E167" i="3"/>
  <c r="E160" i="3"/>
  <c r="E150" i="3"/>
  <c r="E143" i="3"/>
  <c r="E83" i="3"/>
  <c r="E77" i="3"/>
  <c r="E40" i="3"/>
  <c r="E24" i="3"/>
  <c r="E14" i="3"/>
  <c r="E9" i="3"/>
  <c r="E6" i="3"/>
  <c r="I209" i="1"/>
  <c r="I208" i="1"/>
  <c r="I55" i="1"/>
  <c r="I104" i="1"/>
  <c r="I71" i="1"/>
  <c r="I65" i="1"/>
  <c r="I90" i="1"/>
  <c r="I53" i="1"/>
  <c r="I52" i="1"/>
  <c r="I99" i="1"/>
  <c r="I57" i="1"/>
  <c r="I48" i="1"/>
  <c r="I103" i="1"/>
  <c r="I56" i="1"/>
  <c r="I46" i="1"/>
  <c r="I58" i="1"/>
  <c r="I98" i="1"/>
  <c r="I82" i="1"/>
  <c r="I70" i="1"/>
  <c r="I85" i="1"/>
  <c r="I97" i="1"/>
  <c r="I45" i="1"/>
  <c r="I62" i="1"/>
  <c r="I66" i="1"/>
  <c r="I40" i="1"/>
  <c r="I36" i="1"/>
  <c r="I33" i="1"/>
  <c r="I26" i="1"/>
  <c r="I25" i="1"/>
  <c r="I21" i="1"/>
  <c r="I20" i="1"/>
  <c r="I15" i="1"/>
  <c r="I12" i="1"/>
  <c r="I11" i="1"/>
  <c r="I10" i="1"/>
  <c r="I9" i="1"/>
  <c r="I8" i="1"/>
  <c r="I7" i="1"/>
  <c r="I6" i="1"/>
  <c r="I5" i="1"/>
  <c r="I4" i="1"/>
  <c r="I3" i="1"/>
  <c r="Z6" i="19"/>
  <c r="X6" i="19"/>
  <c r="T6" i="19"/>
  <c r="V6" i="19" s="1"/>
  <c r="L6" i="19"/>
  <c r="K6" i="19"/>
  <c r="F6" i="19"/>
  <c r="D6" i="19"/>
  <c r="A6" i="19"/>
  <c r="C6" i="19" s="1"/>
  <c r="Z4" i="19"/>
  <c r="Y4" i="19"/>
  <c r="X4" i="19"/>
  <c r="W4" i="19"/>
  <c r="U4" i="19"/>
  <c r="R4" i="19"/>
  <c r="K4" i="19"/>
  <c r="G4" i="19"/>
  <c r="E4" i="19"/>
  <c r="B4" i="19"/>
  <c r="R63" i="18"/>
  <c r="G63" i="18"/>
  <c r="B63" i="18"/>
  <c r="L62" i="18"/>
  <c r="F62" i="18"/>
  <c r="B62" i="18"/>
  <c r="L61" i="18"/>
  <c r="F61" i="18"/>
  <c r="A61" i="18"/>
  <c r="C61" i="18" s="1"/>
  <c r="L60" i="18"/>
  <c r="F60" i="18"/>
  <c r="B60" i="18"/>
  <c r="K59" i="18"/>
  <c r="E59" i="18"/>
  <c r="B59" i="18"/>
  <c r="L58" i="18"/>
  <c r="F58" i="18"/>
  <c r="B58" i="18"/>
  <c r="K57" i="18"/>
  <c r="F57" i="18"/>
  <c r="A57" i="18"/>
  <c r="C57" i="18" s="1"/>
  <c r="K56" i="18"/>
  <c r="E56" i="18"/>
  <c r="A56" i="18"/>
  <c r="C56" i="18" s="1"/>
  <c r="L55" i="18"/>
  <c r="F55" i="18"/>
  <c r="A55" i="18"/>
  <c r="C55" i="18" s="1"/>
  <c r="K54" i="18"/>
  <c r="E54" i="18"/>
  <c r="A54" i="18"/>
  <c r="C54" i="18" s="1"/>
  <c r="L53" i="18"/>
  <c r="F53" i="18"/>
  <c r="B53" i="18"/>
  <c r="K52" i="18"/>
  <c r="F52" i="18"/>
  <c r="B52" i="18"/>
  <c r="L51" i="18"/>
  <c r="F51" i="18"/>
  <c r="B51" i="18"/>
  <c r="K50" i="18"/>
  <c r="E50" i="18"/>
  <c r="A50" i="18"/>
  <c r="C50" i="18" s="1"/>
  <c r="G49" i="18"/>
  <c r="D49" i="18"/>
  <c r="R48" i="18"/>
  <c r="L48" i="18"/>
  <c r="F48" i="18"/>
  <c r="D48" i="18"/>
  <c r="A48" i="18"/>
  <c r="C48" i="18" s="1"/>
  <c r="L47" i="18"/>
  <c r="G47" i="18"/>
  <c r="E47" i="18"/>
  <c r="B47" i="18"/>
  <c r="L46" i="18"/>
  <c r="G46" i="18"/>
  <c r="E46" i="18"/>
  <c r="B46" i="18"/>
  <c r="L45" i="18"/>
  <c r="F45" i="18"/>
  <c r="B45" i="18"/>
  <c r="L44" i="18"/>
  <c r="F44" i="18"/>
  <c r="B44" i="18"/>
  <c r="L43" i="18"/>
  <c r="F43" i="18"/>
  <c r="B43" i="18"/>
  <c r="L42" i="18"/>
  <c r="F42" i="18"/>
  <c r="B42" i="18"/>
  <c r="L41" i="18"/>
  <c r="F41" i="18"/>
  <c r="A41" i="18"/>
  <c r="C41" i="18" s="1"/>
  <c r="K40" i="18"/>
  <c r="E40" i="18"/>
  <c r="A40" i="18"/>
  <c r="C40" i="18" s="1"/>
  <c r="K39" i="18"/>
  <c r="E39" i="18"/>
  <c r="A39" i="18"/>
  <c r="C39" i="18" s="1"/>
  <c r="L38" i="18"/>
  <c r="E38" i="18"/>
  <c r="B38" i="18"/>
  <c r="L37" i="18"/>
  <c r="F37" i="18"/>
  <c r="A37" i="18"/>
  <c r="C37" i="18" s="1"/>
  <c r="L36" i="18"/>
  <c r="F36" i="18"/>
  <c r="A36" i="18"/>
  <c r="C36" i="18" s="1"/>
  <c r="L35" i="18"/>
  <c r="F35" i="18"/>
  <c r="A35" i="18"/>
  <c r="C35" i="18" s="1"/>
  <c r="K34" i="18"/>
  <c r="E34" i="18"/>
  <c r="A34" i="18"/>
  <c r="C34" i="18" s="1"/>
  <c r="Y33" i="18"/>
  <c r="W33" i="18"/>
  <c r="U33" i="18"/>
  <c r="L33" i="18"/>
  <c r="G33" i="18"/>
  <c r="D33" i="18"/>
  <c r="Z32" i="18"/>
  <c r="W32" i="18"/>
  <c r="R32" i="18"/>
  <c r="G32" i="18"/>
  <c r="D32" i="18"/>
  <c r="Z31" i="18"/>
  <c r="W31" i="18"/>
  <c r="R31" i="18"/>
  <c r="G31" i="18"/>
  <c r="D31" i="18"/>
  <c r="Z30" i="18"/>
  <c r="W30" i="18"/>
  <c r="R30" i="18"/>
  <c r="G30" i="18"/>
  <c r="D30" i="18"/>
  <c r="Z29" i="18"/>
  <c r="W29" i="18"/>
  <c r="R29" i="18"/>
  <c r="G29" i="18"/>
  <c r="D29" i="18"/>
  <c r="Z28" i="18"/>
  <c r="W28" i="18"/>
  <c r="R28" i="18"/>
  <c r="G28" i="18"/>
  <c r="D28" i="18"/>
  <c r="Z27" i="18"/>
  <c r="W27" i="18"/>
  <c r="R27" i="18"/>
  <c r="G27" i="18"/>
  <c r="D27" i="18"/>
  <c r="Z26" i="18"/>
  <c r="W26" i="18"/>
  <c r="R26" i="18"/>
  <c r="G26" i="18"/>
  <c r="D26" i="18"/>
  <c r="Z25" i="18"/>
  <c r="W25" i="18"/>
  <c r="R25" i="18"/>
  <c r="G25" i="18"/>
  <c r="T24" i="18"/>
  <c r="V24" i="18" s="1"/>
  <c r="K24" i="18"/>
  <c r="E24" i="18"/>
  <c r="A24" i="18"/>
  <c r="C24" i="18" s="1"/>
  <c r="X23" i="18"/>
  <c r="U23" i="18"/>
  <c r="K23" i="18"/>
  <c r="E23" i="18"/>
  <c r="A23" i="18"/>
  <c r="C23" i="18" s="1"/>
  <c r="X22" i="18"/>
  <c r="T22" i="18"/>
  <c r="V22" i="18" s="1"/>
  <c r="K22" i="18"/>
  <c r="E22" i="18"/>
  <c r="A22" i="18"/>
  <c r="C22" i="18" s="1"/>
  <c r="X21" i="18"/>
  <c r="U21" i="18"/>
  <c r="K21" i="18"/>
  <c r="E21" i="18"/>
  <c r="A21" i="18"/>
  <c r="C21" i="18" s="1"/>
  <c r="Y20" i="18"/>
  <c r="U20" i="18"/>
  <c r="L20" i="18"/>
  <c r="F20" i="18"/>
  <c r="A20" i="18"/>
  <c r="C20" i="18" s="1"/>
  <c r="X19" i="18"/>
  <c r="T19" i="18"/>
  <c r="V19" i="18" s="1"/>
  <c r="L19" i="18"/>
  <c r="F19" i="18"/>
  <c r="A19" i="18"/>
  <c r="C19" i="18" s="1"/>
  <c r="X18" i="18"/>
  <c r="T18" i="18"/>
  <c r="V18" i="18" s="1"/>
  <c r="L18" i="18"/>
  <c r="F18" i="18"/>
  <c r="B18" i="18"/>
  <c r="Y17" i="18"/>
  <c r="U17" i="18"/>
  <c r="K17" i="18"/>
  <c r="E17" i="18"/>
  <c r="A17" i="18"/>
  <c r="C17" i="18" s="1"/>
  <c r="AI16" i="18"/>
  <c r="X16" i="18"/>
  <c r="T16" i="18"/>
  <c r="V16" i="18" s="1"/>
  <c r="K16" i="18"/>
  <c r="E16" i="18"/>
  <c r="B16" i="18"/>
  <c r="Z13" i="18"/>
  <c r="Y13" i="18"/>
  <c r="X13" i="18"/>
  <c r="W13" i="18"/>
  <c r="U13" i="18"/>
  <c r="T13" i="18"/>
  <c r="V13" i="18" s="1"/>
  <c r="R13" i="18"/>
  <c r="L13" i="18"/>
  <c r="K13" i="18"/>
  <c r="G13" i="18"/>
  <c r="F13" i="18"/>
  <c r="E13" i="18"/>
  <c r="D13" i="18"/>
  <c r="B13" i="18"/>
  <c r="A13" i="18"/>
  <c r="C13" i="18" s="1"/>
  <c r="Z11" i="18"/>
  <c r="Y11" i="18"/>
  <c r="X11" i="18"/>
  <c r="W11" i="18"/>
  <c r="U11" i="18"/>
  <c r="T11" i="18"/>
  <c r="V11" i="18" s="1"/>
  <c r="R11" i="18"/>
  <c r="L11" i="18"/>
  <c r="K11" i="18"/>
  <c r="G11" i="18"/>
  <c r="F11" i="18"/>
  <c r="E11" i="18"/>
  <c r="D11" i="18"/>
  <c r="B11" i="18"/>
  <c r="A11" i="18"/>
  <c r="C11" i="18" s="1"/>
  <c r="Z9" i="18"/>
  <c r="Y9" i="18"/>
  <c r="X9" i="18"/>
  <c r="W9" i="18"/>
  <c r="U9" i="18"/>
  <c r="T9" i="18"/>
  <c r="V9" i="18" s="1"/>
  <c r="R9" i="18"/>
  <c r="L9" i="18"/>
  <c r="K9" i="18"/>
  <c r="G9" i="18"/>
  <c r="F9" i="18"/>
  <c r="E9" i="18"/>
  <c r="D9" i="18"/>
  <c r="B9" i="18"/>
  <c r="A9" i="18"/>
  <c r="C9" i="18" s="1"/>
  <c r="Z7" i="18"/>
  <c r="Y7" i="18"/>
  <c r="X7" i="18"/>
  <c r="W7" i="18"/>
  <c r="U7" i="18"/>
  <c r="T7" i="18"/>
  <c r="V7" i="18" s="1"/>
  <c r="R7" i="18"/>
  <c r="L7" i="18"/>
  <c r="K7" i="18"/>
  <c r="G7" i="18"/>
  <c r="F7" i="18"/>
  <c r="E7" i="18"/>
  <c r="D7" i="18"/>
  <c r="B7" i="18"/>
  <c r="A7" i="18"/>
  <c r="Z5" i="18"/>
  <c r="Y5" i="18"/>
  <c r="X5" i="18"/>
  <c r="W5" i="18"/>
  <c r="U5" i="18"/>
  <c r="T5" i="18"/>
  <c r="V5" i="18" s="1"/>
  <c r="R5" i="18"/>
  <c r="L5" i="18"/>
  <c r="K5" i="18"/>
  <c r="G5" i="18"/>
  <c r="F5" i="18"/>
  <c r="E5" i="18"/>
  <c r="D5" i="18"/>
  <c r="B5" i="18"/>
  <c r="A5" i="18"/>
  <c r="R57" i="17"/>
  <c r="E57" i="17"/>
  <c r="A57" i="17"/>
  <c r="C57" i="17" s="1"/>
  <c r="K56" i="17"/>
  <c r="E56" i="17"/>
  <c r="A56" i="17"/>
  <c r="C56" i="17" s="1"/>
  <c r="K55" i="17"/>
  <c r="E55" i="17"/>
  <c r="A55" i="17"/>
  <c r="C55" i="17" s="1"/>
  <c r="L54" i="17"/>
  <c r="F54" i="17"/>
  <c r="A54" i="17"/>
  <c r="C54" i="17" s="1"/>
  <c r="L53" i="17"/>
  <c r="E53" i="17"/>
  <c r="A53" i="17"/>
  <c r="C53" i="17" s="1"/>
  <c r="L52" i="17"/>
  <c r="F52" i="17"/>
  <c r="B52" i="17"/>
  <c r="K51" i="17"/>
  <c r="E51" i="17"/>
  <c r="A51" i="17"/>
  <c r="C51" i="17" s="1"/>
  <c r="K50" i="17"/>
  <c r="E50" i="17"/>
  <c r="A50" i="17"/>
  <c r="C50" i="17" s="1"/>
  <c r="K49" i="17"/>
  <c r="F49" i="17"/>
  <c r="A49" i="17"/>
  <c r="C49" i="17" s="1"/>
  <c r="K48" i="17"/>
  <c r="E48" i="17"/>
  <c r="B48" i="17"/>
  <c r="K47" i="17"/>
  <c r="E47" i="17"/>
  <c r="A47" i="17"/>
  <c r="C47" i="17" s="1"/>
  <c r="K46" i="17"/>
  <c r="E46" i="17"/>
  <c r="A46" i="17"/>
  <c r="C46" i="17" s="1"/>
  <c r="K45" i="17"/>
  <c r="E45" i="17"/>
  <c r="A45" i="17"/>
  <c r="C45" i="17" s="1"/>
  <c r="G44" i="17"/>
  <c r="D44" i="17"/>
  <c r="R43" i="17"/>
  <c r="K43" i="17"/>
  <c r="E43" i="17"/>
  <c r="B43" i="17"/>
  <c r="G42" i="17"/>
  <c r="D42" i="17"/>
  <c r="R41" i="17"/>
  <c r="G41" i="17"/>
  <c r="D41" i="17"/>
  <c r="R40" i="17"/>
  <c r="K40" i="17"/>
  <c r="E40" i="17"/>
  <c r="A40" i="17"/>
  <c r="C40" i="17" s="1"/>
  <c r="L39" i="17"/>
  <c r="F39" i="17"/>
  <c r="B39" i="17"/>
  <c r="G38" i="17"/>
  <c r="D38" i="17"/>
  <c r="R37" i="17"/>
  <c r="L37" i="17"/>
  <c r="F37" i="17"/>
  <c r="A37" i="17"/>
  <c r="C37" i="17" s="1"/>
  <c r="K36" i="17"/>
  <c r="E36" i="17"/>
  <c r="A36" i="17"/>
  <c r="C36" i="17" s="1"/>
  <c r="L35" i="17"/>
  <c r="F35" i="17"/>
  <c r="A35" i="17"/>
  <c r="C35" i="17" s="1"/>
  <c r="L34" i="17"/>
  <c r="F34" i="17"/>
  <c r="A34" i="17"/>
  <c r="C34" i="17" s="1"/>
  <c r="X33" i="17"/>
  <c r="U33" i="17"/>
  <c r="L33" i="17"/>
  <c r="F33" i="17"/>
  <c r="B32" i="17"/>
  <c r="W31" i="17"/>
  <c r="R31" i="17"/>
  <c r="G31" i="17"/>
  <c r="D31" i="17"/>
  <c r="Z30" i="17"/>
  <c r="W30" i="17"/>
  <c r="R30" i="17"/>
  <c r="G30" i="17"/>
  <c r="D30" i="17"/>
  <c r="Z29" i="17"/>
  <c r="W29" i="17"/>
  <c r="R29" i="17"/>
  <c r="G29" i="17"/>
  <c r="D29" i="17"/>
  <c r="Z28" i="17"/>
  <c r="W28" i="17"/>
  <c r="R28" i="17"/>
  <c r="G28" i="17"/>
  <c r="D28" i="17"/>
  <c r="Z27" i="17"/>
  <c r="W27" i="17"/>
  <c r="R27" i="17"/>
  <c r="G27" i="17"/>
  <c r="D27" i="17"/>
  <c r="Z26" i="17"/>
  <c r="W26" i="17"/>
  <c r="R26" i="17"/>
  <c r="G26" i="17"/>
  <c r="D26" i="17"/>
  <c r="Z25" i="17"/>
  <c r="W25" i="17"/>
  <c r="R25" i="17"/>
  <c r="G25" i="17"/>
  <c r="D25" i="17"/>
  <c r="Z24" i="17"/>
  <c r="W24" i="17"/>
  <c r="R24" i="17"/>
  <c r="G24" i="17"/>
  <c r="D24" i="17"/>
  <c r="Z23" i="17"/>
  <c r="W23" i="17"/>
  <c r="R23" i="17"/>
  <c r="G23" i="17"/>
  <c r="D23" i="17"/>
  <c r="Z22" i="17"/>
  <c r="W22" i="17"/>
  <c r="R22" i="17"/>
  <c r="G22" i="17"/>
  <c r="D22" i="17"/>
  <c r="Z21" i="17"/>
  <c r="W21" i="17"/>
  <c r="R21" i="17"/>
  <c r="G21" i="17"/>
  <c r="D21" i="17"/>
  <c r="Z20" i="17"/>
  <c r="W20" i="17"/>
  <c r="R20" i="17"/>
  <c r="G20" i="17"/>
  <c r="D20" i="17"/>
  <c r="Z19" i="17"/>
  <c r="W19" i="17"/>
  <c r="R19" i="17"/>
  <c r="G19" i="17"/>
  <c r="D19" i="17"/>
  <c r="Z18" i="17"/>
  <c r="W18" i="17"/>
  <c r="R18" i="17"/>
  <c r="G18" i="17"/>
  <c r="D18" i="17"/>
  <c r="Z17" i="17"/>
  <c r="W17" i="17"/>
  <c r="R17" i="17"/>
  <c r="G17" i="17"/>
  <c r="D17" i="17"/>
  <c r="Z16" i="17"/>
  <c r="W16" i="17"/>
  <c r="Y7" i="17"/>
  <c r="W7" i="17"/>
  <c r="T7" i="17"/>
  <c r="V7" i="17" s="1"/>
  <c r="L7" i="17"/>
  <c r="G7" i="17"/>
  <c r="E7" i="17"/>
  <c r="A7" i="17"/>
  <c r="R61" i="16"/>
  <c r="K61" i="16"/>
  <c r="F61" i="16"/>
  <c r="D61" i="16"/>
  <c r="A61" i="16"/>
  <c r="C61" i="16" s="1"/>
  <c r="L60" i="16"/>
  <c r="F60" i="16"/>
  <c r="D60" i="16"/>
  <c r="A60" i="16"/>
  <c r="C60" i="16" s="1"/>
  <c r="L59" i="16"/>
  <c r="G59" i="16"/>
  <c r="D59" i="16"/>
  <c r="R58" i="16"/>
  <c r="G58" i="16"/>
  <c r="D58" i="16"/>
  <c r="R57" i="16"/>
  <c r="G57" i="16"/>
  <c r="D57" i="16"/>
  <c r="R56" i="16"/>
  <c r="G56" i="16"/>
  <c r="D56" i="16"/>
  <c r="R55" i="16"/>
  <c r="G55" i="16"/>
  <c r="D55" i="16"/>
  <c r="R54" i="16"/>
  <c r="G54" i="16"/>
  <c r="D54" i="16"/>
  <c r="R53" i="16"/>
  <c r="G53" i="16"/>
  <c r="D53" i="16"/>
  <c r="R52" i="16"/>
  <c r="G52" i="16"/>
  <c r="D52" i="16"/>
  <c r="R51" i="16"/>
  <c r="G51" i="16"/>
  <c r="D51" i="16"/>
  <c r="R50" i="16"/>
  <c r="G50" i="16"/>
  <c r="D50" i="16"/>
  <c r="R49" i="16"/>
  <c r="G49" i="16"/>
  <c r="D49" i="16"/>
  <c r="R48" i="16"/>
  <c r="G48" i="16"/>
  <c r="D48" i="16"/>
  <c r="R47" i="16"/>
  <c r="G47" i="16"/>
  <c r="D47" i="16"/>
  <c r="R46" i="16"/>
  <c r="G46" i="16"/>
  <c r="D46" i="16"/>
  <c r="R45" i="16"/>
  <c r="G45" i="16"/>
  <c r="D45" i="16"/>
  <c r="R44" i="16"/>
  <c r="G44" i="16"/>
  <c r="D44" i="16"/>
  <c r="R43" i="16"/>
  <c r="G43" i="16"/>
  <c r="D43" i="16"/>
  <c r="R42" i="16"/>
  <c r="K42" i="16"/>
  <c r="E42" i="16"/>
  <c r="A42" i="16"/>
  <c r="C42" i="16" s="1"/>
  <c r="K41" i="16"/>
  <c r="E41" i="16"/>
  <c r="B41" i="16"/>
  <c r="K40" i="16"/>
  <c r="E40" i="16"/>
  <c r="A40" i="16"/>
  <c r="C40" i="16" s="1"/>
  <c r="L39" i="16"/>
  <c r="F39" i="16"/>
  <c r="A39" i="16"/>
  <c r="C39" i="16" s="1"/>
  <c r="L38" i="16"/>
  <c r="F38" i="16"/>
  <c r="A38" i="16"/>
  <c r="C38" i="16" s="1"/>
  <c r="K37" i="16"/>
  <c r="E37" i="16"/>
  <c r="A37" i="16"/>
  <c r="C37" i="16" s="1"/>
  <c r="L36" i="16"/>
  <c r="F36" i="16"/>
  <c r="B36" i="16"/>
  <c r="G35" i="16"/>
  <c r="D35" i="16"/>
  <c r="R34" i="16"/>
  <c r="G34" i="16"/>
  <c r="D34" i="16"/>
  <c r="Y33" i="16"/>
  <c r="W33" i="16"/>
  <c r="R33" i="16"/>
  <c r="G33" i="16"/>
  <c r="D33" i="16"/>
  <c r="Z32" i="16"/>
  <c r="W32" i="16"/>
  <c r="R32" i="16"/>
  <c r="G32" i="16"/>
  <c r="D32" i="16"/>
  <c r="Z31" i="16"/>
  <c r="W31" i="16"/>
  <c r="R31" i="16"/>
  <c r="F31" i="16"/>
  <c r="A31" i="16"/>
  <c r="C31" i="16" s="1"/>
  <c r="Y30" i="16"/>
  <c r="W30" i="16"/>
  <c r="R30" i="16"/>
  <c r="G30" i="16"/>
  <c r="D30" i="16"/>
  <c r="Y29" i="16"/>
  <c r="U29" i="16"/>
  <c r="L29" i="16"/>
  <c r="E29" i="16"/>
  <c r="B29" i="16"/>
  <c r="Y28" i="16"/>
  <c r="U28" i="16"/>
  <c r="L28" i="16"/>
  <c r="F28" i="16"/>
  <c r="A28" i="16"/>
  <c r="C28" i="16" s="1"/>
  <c r="X27" i="16"/>
  <c r="T27" i="16"/>
  <c r="V27" i="16" s="1"/>
  <c r="K27" i="16"/>
  <c r="E27" i="16"/>
  <c r="B27" i="16"/>
  <c r="Y26" i="16"/>
  <c r="U26" i="16"/>
  <c r="L26" i="16"/>
  <c r="F26" i="16"/>
  <c r="A26" i="16"/>
  <c r="C26" i="16" s="1"/>
  <c r="X25" i="16"/>
  <c r="T25" i="16"/>
  <c r="V25" i="16" s="1"/>
  <c r="L25" i="16"/>
  <c r="E25" i="16"/>
  <c r="B25" i="16"/>
  <c r="Y24" i="16"/>
  <c r="T24" i="16"/>
  <c r="V24" i="16" s="1"/>
  <c r="L24" i="16"/>
  <c r="F24" i="16"/>
  <c r="A24" i="16"/>
  <c r="C24" i="16" s="1"/>
  <c r="X23" i="16"/>
  <c r="T23" i="16"/>
  <c r="V23" i="16" s="1"/>
  <c r="K23" i="16"/>
  <c r="E23" i="16"/>
  <c r="A23" i="16"/>
  <c r="C23" i="16" s="1"/>
  <c r="X22" i="16"/>
  <c r="T22" i="16"/>
  <c r="V22" i="16" s="1"/>
  <c r="L22" i="16"/>
  <c r="F22" i="16"/>
  <c r="A22" i="16"/>
  <c r="C22" i="16" s="1"/>
  <c r="X21" i="16"/>
  <c r="R21" i="16"/>
  <c r="G21" i="16"/>
  <c r="D21" i="16"/>
  <c r="Z20" i="16"/>
  <c r="W20" i="16"/>
  <c r="L20" i="16"/>
  <c r="F20" i="16"/>
  <c r="A20" i="16"/>
  <c r="C20" i="16" s="1"/>
  <c r="X19" i="16"/>
  <c r="T19" i="16"/>
  <c r="V19" i="16" s="1"/>
  <c r="K19" i="16"/>
  <c r="F19" i="16"/>
  <c r="A19" i="16"/>
  <c r="C19" i="16" s="1"/>
  <c r="Y18" i="16"/>
  <c r="L18" i="16"/>
  <c r="F18" i="16"/>
  <c r="A18" i="16"/>
  <c r="C18" i="16" s="1"/>
  <c r="X17" i="16"/>
  <c r="T17" i="16"/>
  <c r="V17" i="16" s="1"/>
  <c r="G17" i="16"/>
  <c r="D17" i="16"/>
  <c r="AI16" i="16"/>
  <c r="Z16" i="16"/>
  <c r="W16" i="16"/>
  <c r="L16" i="16"/>
  <c r="F16" i="16"/>
  <c r="A16" i="16"/>
  <c r="C16" i="16" s="1"/>
  <c r="Z12" i="16"/>
  <c r="Y12" i="16"/>
  <c r="X12" i="16"/>
  <c r="W12" i="16"/>
  <c r="U12" i="16"/>
  <c r="T12" i="16"/>
  <c r="V12" i="16" s="1"/>
  <c r="R12" i="16"/>
  <c r="L12" i="16"/>
  <c r="K12" i="16"/>
  <c r="G12" i="16"/>
  <c r="F12" i="16"/>
  <c r="E12" i="16"/>
  <c r="D12" i="16"/>
  <c r="B12" i="16"/>
  <c r="A12" i="16"/>
  <c r="Z10" i="16"/>
  <c r="Y10" i="16"/>
  <c r="X10" i="16"/>
  <c r="W10" i="16"/>
  <c r="U10" i="16"/>
  <c r="T10" i="16"/>
  <c r="V10" i="16" s="1"/>
  <c r="R10" i="16"/>
  <c r="L10" i="16"/>
  <c r="K10" i="16"/>
  <c r="G10" i="16"/>
  <c r="F10" i="16"/>
  <c r="E10" i="16"/>
  <c r="D10" i="16"/>
  <c r="B10" i="16"/>
  <c r="A10" i="16"/>
  <c r="Z7" i="16"/>
  <c r="Y7" i="16"/>
  <c r="X7" i="16"/>
  <c r="W7" i="16"/>
  <c r="U7" i="16"/>
  <c r="T7" i="16"/>
  <c r="V7" i="16" s="1"/>
  <c r="R7" i="16"/>
  <c r="L7" i="16"/>
  <c r="K7" i="16"/>
  <c r="G7" i="16"/>
  <c r="I7" i="16" s="1"/>
  <c r="J7" i="16" s="1"/>
  <c r="E7" i="16"/>
  <c r="B7" i="16"/>
  <c r="Z5" i="16"/>
  <c r="Y5" i="16"/>
  <c r="X5" i="16"/>
  <c r="W5" i="16"/>
  <c r="U5" i="16"/>
  <c r="T5" i="16"/>
  <c r="V5" i="16" s="1"/>
  <c r="R5" i="16"/>
  <c r="L5" i="16"/>
  <c r="K5" i="16"/>
  <c r="G5" i="16"/>
  <c r="F5" i="16"/>
  <c r="E5" i="16"/>
  <c r="D5" i="16"/>
  <c r="B5" i="16"/>
  <c r="A5" i="16"/>
  <c r="R55" i="15"/>
  <c r="E55" i="15"/>
  <c r="R54" i="15"/>
  <c r="K54" i="15"/>
  <c r="D54" i="15"/>
  <c r="R53" i="15"/>
  <c r="G53" i="15"/>
  <c r="B53" i="15"/>
  <c r="K52" i="15"/>
  <c r="D52" i="15"/>
  <c r="R51" i="15"/>
  <c r="G51" i="15"/>
  <c r="B51" i="15"/>
  <c r="L50" i="15"/>
  <c r="F50" i="15"/>
  <c r="A50" i="15"/>
  <c r="C50" i="15" s="1"/>
  <c r="K49" i="15"/>
  <c r="E49" i="15"/>
  <c r="R48" i="15"/>
  <c r="G48" i="15"/>
  <c r="D48" i="15"/>
  <c r="L47" i="15"/>
  <c r="F47" i="15"/>
  <c r="B47" i="15"/>
  <c r="K46" i="15"/>
  <c r="E46" i="15"/>
  <c r="A46" i="15"/>
  <c r="C46" i="15" s="1"/>
  <c r="G45" i="15"/>
  <c r="D45" i="15"/>
  <c r="L44" i="15"/>
  <c r="F44" i="15"/>
  <c r="B44" i="15"/>
  <c r="K43" i="15"/>
  <c r="E43" i="15"/>
  <c r="A43" i="15"/>
  <c r="C43" i="15" s="1"/>
  <c r="K42" i="15"/>
  <c r="E42" i="15"/>
  <c r="A42" i="15"/>
  <c r="C42" i="15" s="1"/>
  <c r="G41" i="15"/>
  <c r="D41" i="15"/>
  <c r="K40" i="15"/>
  <c r="E40" i="15"/>
  <c r="B40" i="15"/>
  <c r="K39" i="15"/>
  <c r="E39" i="15"/>
  <c r="B39" i="15"/>
  <c r="K38" i="15"/>
  <c r="E38" i="15"/>
  <c r="A38" i="15"/>
  <c r="C38" i="15" s="1"/>
  <c r="Y33" i="15"/>
  <c r="U33" i="15"/>
  <c r="K33" i="15"/>
  <c r="E33" i="15"/>
  <c r="Y32" i="15"/>
  <c r="U32" i="15"/>
  <c r="L32" i="15"/>
  <c r="F32" i="15"/>
  <c r="A32" i="15"/>
  <c r="C32" i="15" s="1"/>
  <c r="W31" i="15"/>
  <c r="R31" i="15"/>
  <c r="G31" i="15"/>
  <c r="D31" i="15"/>
  <c r="A31" i="15"/>
  <c r="C31" i="15" s="1"/>
  <c r="W30" i="15"/>
  <c r="T30" i="15"/>
  <c r="V30" i="15" s="1"/>
  <c r="L30" i="15"/>
  <c r="F30" i="15"/>
  <c r="D30" i="15"/>
  <c r="A30" i="15"/>
  <c r="C30" i="15" s="1"/>
  <c r="X29" i="15"/>
  <c r="U29" i="15"/>
  <c r="L29" i="15"/>
  <c r="G29" i="15"/>
  <c r="E29" i="15"/>
  <c r="A29" i="15"/>
  <c r="C29" i="15" s="1"/>
  <c r="Y28" i="15"/>
  <c r="W28" i="15"/>
  <c r="R28" i="15"/>
  <c r="K28" i="15"/>
  <c r="F28" i="15"/>
  <c r="A28" i="15"/>
  <c r="C28" i="15" s="1"/>
  <c r="X27" i="15"/>
  <c r="T27" i="15"/>
  <c r="V27" i="15" s="1"/>
  <c r="G27" i="15"/>
  <c r="D27" i="15"/>
  <c r="Y26" i="15"/>
  <c r="U26" i="15"/>
  <c r="L26" i="15"/>
  <c r="E26" i="15"/>
  <c r="A26" i="15"/>
  <c r="C26" i="15" s="1"/>
  <c r="X25" i="15"/>
  <c r="R25" i="15"/>
  <c r="G25" i="15"/>
  <c r="B25" i="15"/>
  <c r="Y24" i="15"/>
  <c r="T24" i="15"/>
  <c r="V24" i="15" s="1"/>
  <c r="F24" i="15"/>
  <c r="B24" i="15"/>
  <c r="Y23" i="15"/>
  <c r="T23" i="15"/>
  <c r="V23" i="15" s="1"/>
  <c r="K23" i="15"/>
  <c r="E23" i="15"/>
  <c r="Z22" i="15"/>
  <c r="W22" i="15"/>
  <c r="L22" i="15"/>
  <c r="F22" i="15"/>
  <c r="A22" i="15"/>
  <c r="C22" i="15" s="1"/>
  <c r="X21" i="15"/>
  <c r="T21" i="15"/>
  <c r="V21" i="15" s="1"/>
  <c r="G21" i="15"/>
  <c r="B21" i="15"/>
  <c r="Z20" i="15"/>
  <c r="T20" i="15"/>
  <c r="V20" i="15" s="1"/>
  <c r="K20" i="15"/>
  <c r="D20" i="15"/>
  <c r="Z19" i="15"/>
  <c r="W19" i="15"/>
  <c r="L19" i="15"/>
  <c r="F19" i="15"/>
  <c r="B19" i="15"/>
  <c r="X18" i="15"/>
  <c r="T18" i="15"/>
  <c r="V18" i="15" s="1"/>
  <c r="K18" i="15"/>
  <c r="D18" i="15"/>
  <c r="Z17" i="15"/>
  <c r="W17" i="15"/>
  <c r="L17" i="15"/>
  <c r="F17" i="15"/>
  <c r="B17" i="15"/>
  <c r="AI16" i="15"/>
  <c r="X16" i="15"/>
  <c r="T16" i="15"/>
  <c r="V16" i="15" s="1"/>
  <c r="G16" i="15"/>
  <c r="B16" i="15"/>
  <c r="Z12" i="15"/>
  <c r="Y12" i="15"/>
  <c r="X12" i="15"/>
  <c r="W12" i="15"/>
  <c r="U12" i="15"/>
  <c r="T12" i="15"/>
  <c r="V12" i="15" s="1"/>
  <c r="R12" i="15"/>
  <c r="L12" i="15"/>
  <c r="K12" i="15"/>
  <c r="G12" i="15"/>
  <c r="F12" i="15"/>
  <c r="E12" i="15"/>
  <c r="D12" i="15"/>
  <c r="B12" i="15"/>
  <c r="A12" i="15"/>
  <c r="C12" i="15" s="1"/>
  <c r="X11" i="15"/>
  <c r="U11" i="15"/>
  <c r="R11" i="15"/>
  <c r="K11" i="15"/>
  <c r="F11" i="15"/>
  <c r="D11" i="15"/>
  <c r="A11" i="15"/>
  <c r="C11" i="15" s="1"/>
  <c r="Z9" i="15"/>
  <c r="Y9" i="15"/>
  <c r="X9" i="15"/>
  <c r="W9" i="15"/>
  <c r="U9" i="15"/>
  <c r="T9" i="15"/>
  <c r="V9" i="15" s="1"/>
  <c r="R9" i="15"/>
  <c r="L9" i="15"/>
  <c r="K9" i="15"/>
  <c r="G9" i="15"/>
  <c r="F9" i="15"/>
  <c r="E9" i="15"/>
  <c r="D9" i="15"/>
  <c r="B9" i="15"/>
  <c r="A9" i="15"/>
  <c r="C9" i="15" s="1"/>
  <c r="Y7" i="15"/>
  <c r="W7" i="15"/>
  <c r="U7" i="15"/>
  <c r="T7" i="15"/>
  <c r="V7" i="15" s="1"/>
  <c r="L7" i="15"/>
  <c r="K7" i="15"/>
  <c r="G7" i="15"/>
  <c r="F7" i="15"/>
  <c r="E7" i="15"/>
  <c r="B7" i="15"/>
  <c r="A7" i="15"/>
  <c r="K61" i="14"/>
  <c r="F61" i="14"/>
  <c r="D61" i="14"/>
  <c r="A61" i="14"/>
  <c r="C61" i="14" s="1"/>
  <c r="L60" i="14"/>
  <c r="F60" i="14"/>
  <c r="B60" i="14"/>
  <c r="L59" i="14"/>
  <c r="F59" i="14"/>
  <c r="B59" i="14"/>
  <c r="L58" i="14"/>
  <c r="F58" i="14"/>
  <c r="A58" i="14"/>
  <c r="C58" i="14" s="1"/>
  <c r="K57" i="14"/>
  <c r="E57" i="14"/>
  <c r="A57" i="14"/>
  <c r="C57" i="14" s="1"/>
  <c r="K56" i="14"/>
  <c r="E56" i="14"/>
  <c r="A56" i="14"/>
  <c r="C56" i="14" s="1"/>
  <c r="L55" i="14"/>
  <c r="D55" i="14"/>
  <c r="R54" i="14"/>
  <c r="G54" i="14"/>
  <c r="B54" i="14"/>
  <c r="L53" i="14"/>
  <c r="E53" i="14"/>
  <c r="A53" i="14"/>
  <c r="C53" i="14" s="1"/>
  <c r="K52" i="14"/>
  <c r="D52" i="14"/>
  <c r="R51" i="14"/>
  <c r="G51" i="14"/>
  <c r="B51" i="14"/>
  <c r="L50" i="14"/>
  <c r="E50" i="14"/>
  <c r="A50" i="14"/>
  <c r="C50" i="14" s="1"/>
  <c r="L49" i="14"/>
  <c r="E49" i="14"/>
  <c r="A49" i="14"/>
  <c r="C49" i="14" s="1"/>
  <c r="G48" i="14"/>
  <c r="B48" i="14"/>
  <c r="L47" i="14"/>
  <c r="E47" i="14"/>
  <c r="A47" i="14"/>
  <c r="C47" i="14" s="1"/>
  <c r="K46" i="14"/>
  <c r="D46" i="14"/>
  <c r="R45" i="14"/>
  <c r="G45" i="14"/>
  <c r="B45" i="14"/>
  <c r="L44" i="14"/>
  <c r="E44" i="14"/>
  <c r="A44" i="14"/>
  <c r="C44" i="14" s="1"/>
  <c r="F43" i="14"/>
  <c r="B43" i="14"/>
  <c r="K42" i="14"/>
  <c r="E42" i="14"/>
  <c r="A42" i="14"/>
  <c r="C42" i="14" s="1"/>
  <c r="K41" i="14"/>
  <c r="E41" i="14"/>
  <c r="R40" i="14"/>
  <c r="G40" i="14"/>
  <c r="D40" i="14"/>
  <c r="L39" i="14"/>
  <c r="E39" i="14"/>
  <c r="R38" i="14"/>
  <c r="G38" i="14"/>
  <c r="B38" i="14"/>
  <c r="L37" i="14"/>
  <c r="D37" i="14"/>
  <c r="R36" i="14"/>
  <c r="G36" i="14"/>
  <c r="B36" i="14"/>
  <c r="L35" i="14"/>
  <c r="D35" i="14"/>
  <c r="R34" i="14"/>
  <c r="F34" i="14"/>
  <c r="Z33" i="14"/>
  <c r="U33" i="14"/>
  <c r="L33" i="14"/>
  <c r="Z5" i="14"/>
  <c r="X5" i="14"/>
  <c r="U5" i="14"/>
  <c r="R5" i="14"/>
  <c r="G5" i="14"/>
  <c r="E5" i="14"/>
  <c r="B5" i="14"/>
  <c r="Z4" i="14"/>
  <c r="Y4" i="14"/>
  <c r="X4" i="14"/>
  <c r="W4" i="14"/>
  <c r="U4" i="14"/>
  <c r="T4" i="14"/>
  <c r="V4" i="14" s="1"/>
  <c r="R4" i="14"/>
  <c r="L4" i="14"/>
  <c r="K4" i="14"/>
  <c r="G4" i="14"/>
  <c r="F4" i="14"/>
  <c r="E4" i="14"/>
  <c r="D4" i="14"/>
  <c r="B4" i="14"/>
  <c r="A4" i="14"/>
  <c r="Q63" i="13"/>
  <c r="K63" i="13"/>
  <c r="G63" i="13"/>
  <c r="F63" i="13"/>
  <c r="E63" i="13"/>
  <c r="D63" i="13"/>
  <c r="B63" i="13"/>
  <c r="A63" i="13"/>
  <c r="C63" i="13" s="1"/>
  <c r="Q62" i="13"/>
  <c r="K62" i="13"/>
  <c r="G62" i="13"/>
  <c r="F62" i="13"/>
  <c r="E62" i="13"/>
  <c r="D62" i="13"/>
  <c r="B62" i="13"/>
  <c r="A62" i="13"/>
  <c r="C62" i="13" s="1"/>
  <c r="Q61" i="13"/>
  <c r="K61" i="13"/>
  <c r="G61" i="13"/>
  <c r="F61" i="13"/>
  <c r="E61" i="13"/>
  <c r="D61" i="13"/>
  <c r="B61" i="13"/>
  <c r="A61" i="13"/>
  <c r="C61" i="13" s="1"/>
  <c r="Q60" i="13"/>
  <c r="K60" i="13"/>
  <c r="G60" i="13"/>
  <c r="F60" i="13"/>
  <c r="E60" i="13"/>
  <c r="D60" i="13"/>
  <c r="B60" i="13"/>
  <c r="A60" i="13"/>
  <c r="C60" i="13" s="1"/>
  <c r="Q59" i="13"/>
  <c r="K59" i="13"/>
  <c r="G59" i="13"/>
  <c r="F59" i="13"/>
  <c r="E59" i="13"/>
  <c r="D59" i="13"/>
  <c r="B59" i="13"/>
  <c r="A59" i="13"/>
  <c r="C59" i="13" s="1"/>
  <c r="Q58" i="13"/>
  <c r="K58" i="13"/>
  <c r="G58" i="13"/>
  <c r="F58" i="13"/>
  <c r="E58" i="13"/>
  <c r="B58" i="13"/>
  <c r="A58" i="13"/>
  <c r="C58" i="13" s="1"/>
  <c r="G57" i="13"/>
  <c r="E57" i="13"/>
  <c r="B57" i="13"/>
  <c r="Q56" i="13"/>
  <c r="G56" i="13"/>
  <c r="E56" i="13"/>
  <c r="B56" i="13"/>
  <c r="Q55" i="13"/>
  <c r="G55" i="13"/>
  <c r="E55" i="13"/>
  <c r="B55" i="13"/>
  <c r="Q54" i="13"/>
  <c r="G54" i="13"/>
  <c r="E54" i="13"/>
  <c r="B54" i="13"/>
  <c r="Q53" i="13"/>
  <c r="G53" i="13"/>
  <c r="E53" i="13"/>
  <c r="B53" i="13"/>
  <c r="Q52" i="13"/>
  <c r="G52" i="13"/>
  <c r="E52" i="13"/>
  <c r="B52" i="13"/>
  <c r="Q51" i="13"/>
  <c r="G51" i="13"/>
  <c r="E51" i="13"/>
  <c r="B51" i="13"/>
  <c r="Q50" i="13"/>
  <c r="G50" i="13"/>
  <c r="E50" i="13"/>
  <c r="A50" i="13"/>
  <c r="C50" i="13" s="1"/>
  <c r="Q49" i="13"/>
  <c r="G49" i="13"/>
  <c r="E49" i="13"/>
  <c r="B49" i="13"/>
  <c r="Q48" i="13"/>
  <c r="G48" i="13"/>
  <c r="E48" i="13"/>
  <c r="B48" i="13"/>
  <c r="Q47" i="13"/>
  <c r="G47" i="13"/>
  <c r="E47" i="13"/>
  <c r="B47" i="13"/>
  <c r="Q46" i="13"/>
  <c r="G46" i="13"/>
  <c r="E46" i="13"/>
  <c r="A46" i="13"/>
  <c r="C46" i="13" s="1"/>
  <c r="G45" i="13"/>
  <c r="D45" i="13"/>
  <c r="Q44" i="13"/>
  <c r="F44" i="13"/>
  <c r="A44" i="13"/>
  <c r="C44" i="13" s="1"/>
  <c r="K43" i="13"/>
  <c r="E43" i="13"/>
  <c r="A43" i="13"/>
  <c r="C43" i="13" s="1"/>
  <c r="G42" i="13"/>
  <c r="D42" i="13"/>
  <c r="Q41" i="13"/>
  <c r="F41" i="13"/>
  <c r="B41" i="13"/>
  <c r="K40" i="13"/>
  <c r="E40" i="13"/>
  <c r="A40" i="13"/>
  <c r="C40" i="13" s="1"/>
  <c r="F39" i="13"/>
  <c r="B39" i="13"/>
  <c r="K38" i="13"/>
  <c r="E38" i="13"/>
  <c r="A38" i="13"/>
  <c r="C38" i="13" s="1"/>
  <c r="G37" i="13"/>
  <c r="D37" i="13"/>
  <c r="Q36" i="13"/>
  <c r="F36" i="13"/>
  <c r="B36" i="13"/>
  <c r="K35" i="13"/>
  <c r="E35" i="13"/>
  <c r="A35" i="13"/>
  <c r="C35" i="13" s="1"/>
  <c r="G34" i="13"/>
  <c r="D34" i="13"/>
  <c r="Y33" i="13"/>
  <c r="K33" i="13"/>
  <c r="E33" i="13"/>
  <c r="A33" i="13"/>
  <c r="C33" i="13" s="1"/>
  <c r="W32" i="13"/>
  <c r="S32" i="13"/>
  <c r="U32" i="13" s="1"/>
  <c r="G32" i="13"/>
  <c r="D32" i="13"/>
  <c r="Y31" i="13"/>
  <c r="V31" i="13"/>
  <c r="Q31" i="13"/>
  <c r="G31" i="13"/>
  <c r="E31" i="13"/>
  <c r="B31" i="13"/>
  <c r="X30" i="13"/>
  <c r="S30" i="13"/>
  <c r="U30" i="13" s="1"/>
  <c r="G30" i="13"/>
  <c r="D30" i="13"/>
  <c r="Y29" i="13"/>
  <c r="T29" i="13"/>
  <c r="K29" i="13"/>
  <c r="E29" i="13"/>
  <c r="A29" i="13"/>
  <c r="C29" i="13" s="1"/>
  <c r="W28" i="13"/>
  <c r="Q28" i="13"/>
  <c r="G28" i="13"/>
  <c r="D28" i="13"/>
  <c r="X27" i="13"/>
  <c r="S27" i="13"/>
  <c r="U27" i="13" s="1"/>
  <c r="G27" i="13"/>
  <c r="D27" i="13"/>
  <c r="Y26" i="13"/>
  <c r="T26" i="13"/>
  <c r="K26" i="13"/>
  <c r="D26" i="13"/>
  <c r="Y25" i="13"/>
  <c r="V25" i="13"/>
  <c r="Q25" i="13"/>
  <c r="F25" i="13"/>
  <c r="B25" i="13"/>
  <c r="W24" i="13"/>
  <c r="S24" i="13"/>
  <c r="U24" i="13" s="1"/>
  <c r="G24" i="13"/>
  <c r="B24" i="13"/>
  <c r="X23" i="13"/>
  <c r="S23" i="13"/>
  <c r="U23" i="13" s="1"/>
  <c r="G23" i="13"/>
  <c r="A23" i="13"/>
  <c r="C23" i="13" s="1"/>
  <c r="W22" i="13"/>
  <c r="S22" i="13"/>
  <c r="U22" i="13" s="1"/>
  <c r="F22" i="13"/>
  <c r="D22" i="13"/>
  <c r="W21" i="13"/>
  <c r="T21" i="13"/>
  <c r="G21" i="13"/>
  <c r="D21" i="13"/>
  <c r="X20" i="13"/>
  <c r="S20" i="13"/>
  <c r="U20" i="13" s="1"/>
  <c r="G20" i="13"/>
  <c r="A20" i="13"/>
  <c r="C20" i="13" s="1"/>
  <c r="W19" i="13"/>
  <c r="Q19" i="13"/>
  <c r="G19" i="13"/>
  <c r="A19" i="13"/>
  <c r="C19" i="13" s="1"/>
  <c r="W18" i="13"/>
  <c r="S18" i="13"/>
  <c r="U18" i="13" s="1"/>
  <c r="G18" i="13"/>
  <c r="B18" i="13"/>
  <c r="W17" i="13"/>
  <c r="S17" i="13"/>
  <c r="U17" i="13" s="1"/>
  <c r="G17" i="13"/>
  <c r="D17" i="13"/>
  <c r="AH16" i="13"/>
  <c r="X16" i="13"/>
  <c r="T16" i="13"/>
  <c r="G16" i="13"/>
  <c r="B16" i="13"/>
  <c r="Y14" i="13"/>
  <c r="X14" i="13"/>
  <c r="W14" i="13"/>
  <c r="V14" i="13"/>
  <c r="T14" i="13"/>
  <c r="S14" i="13"/>
  <c r="U14" i="13" s="1"/>
  <c r="Q14" i="13"/>
  <c r="K14" i="13"/>
  <c r="F14" i="13"/>
  <c r="D14" i="13"/>
  <c r="A14" i="13"/>
  <c r="C14" i="13" s="1"/>
  <c r="Y12" i="13"/>
  <c r="X12" i="13"/>
  <c r="W12" i="13"/>
  <c r="V12" i="13"/>
  <c r="T12" i="13"/>
  <c r="S12" i="13"/>
  <c r="U12" i="13" s="1"/>
  <c r="Q12" i="13"/>
  <c r="K12" i="13"/>
  <c r="G12" i="13"/>
  <c r="F12" i="13"/>
  <c r="E12" i="13"/>
  <c r="D12" i="13"/>
  <c r="B12" i="13"/>
  <c r="A12" i="13"/>
  <c r="C12" i="13" s="1"/>
  <c r="S10" i="13"/>
  <c r="U10" i="13" s="1"/>
  <c r="Q10" i="13"/>
  <c r="G10" i="13"/>
  <c r="F10" i="13"/>
  <c r="E10" i="13"/>
  <c r="D10" i="13"/>
  <c r="B10" i="13"/>
  <c r="A10" i="13"/>
  <c r="C10" i="13" s="1"/>
  <c r="Y8" i="13"/>
  <c r="X8" i="13"/>
  <c r="W8" i="13"/>
  <c r="V8" i="13"/>
  <c r="T8" i="13"/>
  <c r="S8" i="13"/>
  <c r="U8" i="13" s="1"/>
  <c r="Q8" i="13"/>
  <c r="K8" i="13"/>
  <c r="F8" i="13"/>
  <c r="D8" i="13"/>
  <c r="A8" i="13"/>
  <c r="Y6" i="13"/>
  <c r="X6" i="13"/>
  <c r="W6" i="13"/>
  <c r="V6" i="13"/>
  <c r="T6" i="13"/>
  <c r="S6" i="13"/>
  <c r="U6" i="13" s="1"/>
  <c r="Q6" i="13"/>
  <c r="K6" i="13"/>
  <c r="G6" i="13"/>
  <c r="F6" i="13"/>
  <c r="E6" i="13"/>
  <c r="D6" i="13"/>
  <c r="B6" i="13"/>
  <c r="A6" i="13"/>
  <c r="Y5" i="13"/>
  <c r="X5" i="13"/>
  <c r="W5" i="13"/>
  <c r="V5" i="13"/>
  <c r="T5" i="13"/>
  <c r="S5" i="13"/>
  <c r="U5" i="13" s="1"/>
  <c r="Q5" i="13"/>
  <c r="K5" i="13"/>
  <c r="G5" i="13"/>
  <c r="F5" i="13"/>
  <c r="E5" i="13"/>
  <c r="D5" i="13"/>
  <c r="A5" i="13"/>
  <c r="D42" i="12"/>
  <c r="G41" i="12"/>
  <c r="D41" i="12"/>
  <c r="K40" i="12"/>
  <c r="E40" i="12"/>
  <c r="Q39" i="12"/>
  <c r="F39" i="12"/>
  <c r="A39" i="12"/>
  <c r="C39" i="12" s="1"/>
  <c r="F38" i="12"/>
  <c r="A38" i="12"/>
  <c r="C38" i="12" s="1"/>
  <c r="K37" i="12"/>
  <c r="E37" i="12"/>
  <c r="Q36" i="12"/>
  <c r="F36" i="12"/>
  <c r="A36" i="12"/>
  <c r="C36" i="12" s="1"/>
  <c r="G35" i="12"/>
  <c r="B35" i="12"/>
  <c r="K34" i="12"/>
  <c r="D34" i="12"/>
  <c r="Y33" i="12"/>
  <c r="T33" i="12"/>
  <c r="K33" i="12"/>
  <c r="E33" i="12"/>
  <c r="Y32" i="12"/>
  <c r="T32" i="12"/>
  <c r="G32" i="12"/>
  <c r="B32" i="12"/>
  <c r="Y31" i="12"/>
  <c r="T31" i="12"/>
  <c r="G31" i="12"/>
  <c r="B31" i="12"/>
  <c r="X30" i="12"/>
  <c r="T30" i="12"/>
  <c r="G30" i="12"/>
  <c r="D30" i="12"/>
  <c r="X29" i="12"/>
  <c r="T29" i="12"/>
  <c r="K29" i="12"/>
  <c r="D29" i="12"/>
  <c r="Y28" i="12"/>
  <c r="T28" i="12"/>
  <c r="K28" i="12"/>
  <c r="D28" i="12"/>
  <c r="Y27" i="12"/>
  <c r="V27" i="12"/>
  <c r="K27" i="12"/>
  <c r="E27" i="12"/>
  <c r="Y26" i="12"/>
  <c r="V26" i="12"/>
  <c r="Q26" i="12"/>
  <c r="E26" i="12"/>
  <c r="A26" i="12"/>
  <c r="C26" i="12" s="1"/>
  <c r="V25" i="12"/>
  <c r="Q25" i="12"/>
  <c r="E25" i="12"/>
  <c r="A25" i="12"/>
  <c r="C25" i="12" s="1"/>
  <c r="W24" i="12"/>
  <c r="Q24" i="12"/>
  <c r="F24" i="12"/>
  <c r="B24" i="12"/>
  <c r="W23" i="12"/>
  <c r="S23" i="12"/>
  <c r="U23" i="12" s="1"/>
  <c r="E23" i="12"/>
  <c r="A23" i="12"/>
  <c r="C23" i="12" s="1"/>
  <c r="W22" i="12"/>
  <c r="Q22" i="12"/>
  <c r="F22" i="12"/>
  <c r="B22" i="12"/>
  <c r="W21" i="12"/>
  <c r="T21" i="12"/>
  <c r="G21" i="12"/>
  <c r="D21" i="12"/>
  <c r="Y20" i="12"/>
  <c r="T20" i="12"/>
  <c r="G20" i="12"/>
  <c r="B20" i="12"/>
  <c r="W19" i="12"/>
  <c r="S19" i="12"/>
  <c r="U19" i="12" s="1"/>
  <c r="G19" i="12"/>
  <c r="D19" i="12"/>
  <c r="X18" i="12"/>
  <c r="T18" i="12"/>
  <c r="F18" i="12"/>
  <c r="B18" i="12"/>
  <c r="X17" i="12"/>
  <c r="S17" i="12"/>
  <c r="U17" i="12" s="1"/>
  <c r="G17" i="12"/>
  <c r="A17" i="12"/>
  <c r="C17" i="12" s="1"/>
  <c r="AH16" i="12"/>
  <c r="Y16" i="12"/>
  <c r="T16" i="12"/>
  <c r="G16" i="12"/>
  <c r="A16" i="12"/>
  <c r="Y15" i="12"/>
  <c r="X15" i="12"/>
  <c r="W15" i="12"/>
  <c r="T15" i="12"/>
  <c r="S15" i="12"/>
  <c r="U15" i="12" s="1"/>
  <c r="Q15" i="12"/>
  <c r="G15" i="12"/>
  <c r="F15" i="12"/>
  <c r="D15" i="12"/>
  <c r="B15" i="12"/>
  <c r="A15" i="12"/>
  <c r="Y13" i="12"/>
  <c r="X13" i="12"/>
  <c r="W13" i="12"/>
  <c r="V13" i="12"/>
  <c r="T13" i="12"/>
  <c r="S13" i="12"/>
  <c r="U13" i="12" s="1"/>
  <c r="Q13" i="12"/>
  <c r="K13" i="12"/>
  <c r="G13" i="12"/>
  <c r="M13" i="12" s="1"/>
  <c r="F13" i="12"/>
  <c r="E13" i="12"/>
  <c r="D13" i="12"/>
  <c r="B13" i="12"/>
  <c r="X11" i="12"/>
  <c r="V11" i="12"/>
  <c r="S11" i="12"/>
  <c r="U11" i="12" s="1"/>
  <c r="K11" i="12"/>
  <c r="F11" i="12"/>
  <c r="D11" i="12"/>
  <c r="A11" i="12"/>
  <c r="Y6" i="12"/>
  <c r="X6" i="12"/>
  <c r="W6" i="12"/>
  <c r="V6" i="12"/>
  <c r="T6" i="12"/>
  <c r="S6" i="12"/>
  <c r="U6" i="12" s="1"/>
  <c r="Q6" i="12"/>
  <c r="K6" i="12"/>
  <c r="G6" i="12"/>
  <c r="E6" i="12"/>
  <c r="D6" i="12"/>
  <c r="A6" i="12"/>
  <c r="Y4" i="12"/>
  <c r="X4" i="12"/>
  <c r="W4" i="12"/>
  <c r="V4" i="12"/>
  <c r="T4" i="12"/>
  <c r="S4" i="12"/>
  <c r="Q4" i="12"/>
  <c r="K4" i="12"/>
  <c r="G4" i="12"/>
  <c r="F4" i="12"/>
  <c r="E4" i="12"/>
  <c r="D4" i="12"/>
  <c r="B4" i="12"/>
  <c r="A4" i="12"/>
  <c r="R63" i="11"/>
  <c r="L63" i="11"/>
  <c r="K63" i="11"/>
  <c r="G63" i="11"/>
  <c r="F63" i="11"/>
  <c r="E63" i="11"/>
  <c r="D63" i="11"/>
  <c r="B63" i="11"/>
  <c r="A63" i="11"/>
  <c r="C63" i="11" s="1"/>
  <c r="R62" i="11"/>
  <c r="L62" i="11"/>
  <c r="K62" i="11"/>
  <c r="G62" i="11"/>
  <c r="F62" i="11"/>
  <c r="E62" i="11"/>
  <c r="D62" i="11"/>
  <c r="B62" i="11"/>
  <c r="A62" i="11"/>
  <c r="C62" i="11" s="1"/>
  <c r="R61" i="11"/>
  <c r="L61" i="11"/>
  <c r="K61" i="11"/>
  <c r="G61" i="11"/>
  <c r="F61" i="11"/>
  <c r="E61" i="11"/>
  <c r="D61" i="11"/>
  <c r="B61" i="11"/>
  <c r="A61" i="11"/>
  <c r="C61" i="11" s="1"/>
  <c r="R60" i="11"/>
  <c r="L60" i="11"/>
  <c r="K60" i="11"/>
  <c r="G60" i="11"/>
  <c r="F60" i="11"/>
  <c r="E60" i="11"/>
  <c r="D60" i="11"/>
  <c r="B60" i="11"/>
  <c r="A60" i="11"/>
  <c r="C60" i="11" s="1"/>
  <c r="R59" i="11"/>
  <c r="L59" i="11"/>
  <c r="G59" i="11"/>
  <c r="E59" i="11"/>
  <c r="B59" i="11"/>
  <c r="R58" i="11"/>
  <c r="K58" i="11"/>
  <c r="F58" i="11"/>
  <c r="D58" i="11"/>
  <c r="A58" i="11"/>
  <c r="C58" i="11" s="1"/>
  <c r="L57" i="11"/>
  <c r="G57" i="11"/>
  <c r="E57" i="11"/>
  <c r="B57" i="11"/>
  <c r="R56" i="11"/>
  <c r="K56" i="11"/>
  <c r="F56" i="11"/>
  <c r="D56" i="11"/>
  <c r="A56" i="11"/>
  <c r="C56" i="11" s="1"/>
  <c r="L55" i="11"/>
  <c r="G55" i="11"/>
  <c r="E55" i="11"/>
  <c r="B55" i="11"/>
  <c r="R54" i="11"/>
  <c r="K54" i="11"/>
  <c r="F54" i="11"/>
  <c r="D54" i="11"/>
  <c r="B54" i="11"/>
  <c r="R53" i="11"/>
  <c r="K53" i="11"/>
  <c r="F53" i="11"/>
  <c r="D53" i="11"/>
  <c r="A53" i="11"/>
  <c r="C53" i="11" s="1"/>
  <c r="G45" i="10"/>
  <c r="B45" i="10"/>
  <c r="R44" i="10"/>
  <c r="K44" i="10"/>
  <c r="D44" i="10"/>
  <c r="R43" i="10"/>
  <c r="K43" i="10"/>
  <c r="E43" i="10"/>
  <c r="A43" i="10"/>
  <c r="C43" i="10" s="1"/>
  <c r="G42" i="10"/>
  <c r="D42" i="10"/>
  <c r="L41" i="10"/>
  <c r="F41" i="10"/>
  <c r="A41" i="10"/>
  <c r="C41" i="10" s="1"/>
  <c r="K40" i="10"/>
  <c r="D40" i="10"/>
  <c r="R39" i="10"/>
  <c r="G39" i="10"/>
  <c r="A39" i="10"/>
  <c r="C39" i="10" s="1"/>
  <c r="K38" i="10"/>
  <c r="D38" i="10"/>
  <c r="R37" i="10"/>
  <c r="G37" i="10"/>
  <c r="D37" i="10"/>
  <c r="G36" i="10"/>
  <c r="D36" i="10"/>
  <c r="L35" i="10"/>
  <c r="F35" i="10"/>
  <c r="A35" i="10"/>
  <c r="C35" i="10" s="1"/>
  <c r="K34" i="10"/>
  <c r="D34" i="10"/>
  <c r="Z33" i="10"/>
  <c r="W33" i="10"/>
  <c r="T33" i="10"/>
  <c r="V33" i="10" s="1"/>
  <c r="K33" i="10"/>
  <c r="E33" i="10"/>
  <c r="B33" i="10"/>
  <c r="Z32" i="10"/>
  <c r="U32" i="10"/>
  <c r="L32" i="10"/>
  <c r="E32" i="10"/>
  <c r="A32" i="10"/>
  <c r="C32" i="10" s="1"/>
  <c r="W31" i="10"/>
  <c r="L31" i="10"/>
  <c r="F31" i="10"/>
  <c r="A31" i="10"/>
  <c r="C31" i="10" s="1"/>
  <c r="W30" i="10"/>
  <c r="R30" i="10"/>
  <c r="F30" i="10"/>
  <c r="B30" i="10"/>
  <c r="W29" i="10"/>
  <c r="R29" i="10"/>
  <c r="G29" i="10"/>
  <c r="A29" i="10"/>
  <c r="C29" i="10" s="1"/>
  <c r="X28" i="10"/>
  <c r="R28" i="10"/>
  <c r="F28" i="10"/>
  <c r="A28" i="10"/>
  <c r="C28" i="10" s="1"/>
  <c r="W27" i="10"/>
  <c r="R27" i="10"/>
  <c r="F27" i="10"/>
  <c r="A27" i="10"/>
  <c r="C27" i="10" s="1"/>
  <c r="X26" i="10"/>
  <c r="L26" i="10"/>
  <c r="F26" i="10"/>
  <c r="A26" i="10"/>
  <c r="C26" i="10" s="1"/>
  <c r="W25" i="10"/>
  <c r="L25" i="10"/>
  <c r="G25" i="10"/>
  <c r="B25" i="10"/>
  <c r="X24" i="10"/>
  <c r="R24" i="10"/>
  <c r="F24" i="10"/>
  <c r="B24" i="10"/>
  <c r="X23" i="10"/>
  <c r="R23" i="10"/>
  <c r="G23" i="10"/>
  <c r="A23" i="10"/>
  <c r="C23" i="10" s="1"/>
  <c r="X22" i="10"/>
  <c r="R22" i="10"/>
  <c r="G22" i="10"/>
  <c r="A22" i="10"/>
  <c r="C22" i="10" s="1"/>
  <c r="X21" i="10"/>
  <c r="R21" i="10"/>
  <c r="F21" i="10"/>
  <c r="A21" i="10"/>
  <c r="C21" i="10" s="1"/>
  <c r="X20" i="10"/>
  <c r="R20" i="10"/>
  <c r="F20" i="10"/>
  <c r="B20" i="10"/>
  <c r="X19" i="10"/>
  <c r="T19" i="10"/>
  <c r="V19" i="10" s="1"/>
  <c r="G19" i="10"/>
  <c r="B19" i="10"/>
  <c r="X18" i="10"/>
  <c r="L18" i="10"/>
  <c r="G18" i="10"/>
  <c r="B18" i="10"/>
  <c r="Z17" i="10"/>
  <c r="W17" i="10"/>
  <c r="L17" i="10"/>
  <c r="D17" i="10"/>
  <c r="AI16" i="10"/>
  <c r="Z16" i="10"/>
  <c r="T16" i="10"/>
  <c r="V16" i="10" s="1"/>
  <c r="G16" i="10"/>
  <c r="B16" i="10"/>
  <c r="X15" i="10"/>
  <c r="U15" i="10"/>
  <c r="R15" i="10"/>
  <c r="G15" i="10"/>
  <c r="E15" i="10"/>
  <c r="A15" i="10"/>
  <c r="C15" i="10" s="1"/>
  <c r="Z14" i="10"/>
  <c r="Y14" i="10"/>
  <c r="X14" i="10"/>
  <c r="W14" i="10"/>
  <c r="U14" i="10"/>
  <c r="T14" i="10"/>
  <c r="V14" i="10" s="1"/>
  <c r="R14" i="10"/>
  <c r="L14" i="10"/>
  <c r="K14" i="10"/>
  <c r="G14" i="10"/>
  <c r="F14" i="10"/>
  <c r="E14" i="10"/>
  <c r="D14" i="10"/>
  <c r="B14" i="10"/>
  <c r="A14" i="10"/>
  <c r="C14" i="10" s="1"/>
  <c r="Z12" i="10"/>
  <c r="Y12" i="10"/>
  <c r="X12" i="10"/>
  <c r="W12" i="10"/>
  <c r="U12" i="10"/>
  <c r="T12" i="10"/>
  <c r="V12" i="10" s="1"/>
  <c r="R12" i="10"/>
  <c r="L12" i="10"/>
  <c r="K12" i="10"/>
  <c r="G12" i="10"/>
  <c r="F12" i="10"/>
  <c r="E12" i="10"/>
  <c r="D12" i="10"/>
  <c r="B12" i="10"/>
  <c r="A12" i="10"/>
  <c r="C12" i="10" s="1"/>
  <c r="Z9" i="10"/>
  <c r="Y9" i="10"/>
  <c r="X9" i="10"/>
  <c r="W9" i="10"/>
  <c r="U9" i="10"/>
  <c r="T9" i="10"/>
  <c r="V9" i="10" s="1"/>
  <c r="R9" i="10"/>
  <c r="L9" i="10"/>
  <c r="K9" i="10"/>
  <c r="G9" i="10"/>
  <c r="F9" i="10"/>
  <c r="E9" i="10"/>
  <c r="D9" i="10"/>
  <c r="B9" i="10"/>
  <c r="A9" i="10"/>
  <c r="C9" i="10" s="1"/>
  <c r="R7" i="10"/>
  <c r="K7" i="10"/>
  <c r="F7" i="10"/>
  <c r="D7" i="10"/>
  <c r="A7" i="10"/>
  <c r="C7" i="10" s="1"/>
  <c r="Z4" i="10"/>
  <c r="Y4" i="10"/>
  <c r="X4" i="10"/>
  <c r="W4" i="10"/>
  <c r="U4" i="10"/>
  <c r="T4" i="10"/>
  <c r="V4" i="10" s="1"/>
  <c r="R4" i="10"/>
  <c r="L4" i="10"/>
  <c r="K4" i="10"/>
  <c r="G4" i="10"/>
  <c r="F4" i="10"/>
  <c r="E4" i="10"/>
  <c r="D4" i="10"/>
  <c r="B4" i="10"/>
  <c r="A4" i="10"/>
  <c r="R63" i="9"/>
  <c r="L63" i="9"/>
  <c r="K63" i="9"/>
  <c r="G63" i="9"/>
  <c r="F63" i="9"/>
  <c r="E63" i="9"/>
  <c r="D63" i="9"/>
  <c r="B63" i="9"/>
  <c r="A63" i="9"/>
  <c r="C63" i="9" s="1"/>
  <c r="R62" i="9"/>
  <c r="L62" i="9"/>
  <c r="K62" i="9"/>
  <c r="G62" i="9"/>
  <c r="F62" i="9"/>
  <c r="E62" i="9"/>
  <c r="D62" i="9"/>
  <c r="B62" i="9"/>
  <c r="A62" i="9"/>
  <c r="C62" i="9" s="1"/>
  <c r="R61" i="9"/>
  <c r="L61" i="9"/>
  <c r="G61" i="9"/>
  <c r="E61" i="9"/>
  <c r="B61" i="9"/>
  <c r="R60" i="9"/>
  <c r="K60" i="9"/>
  <c r="F60" i="9"/>
  <c r="D60" i="9"/>
  <c r="A60" i="9"/>
  <c r="C60" i="9" s="1"/>
  <c r="L59" i="9"/>
  <c r="G59" i="9"/>
  <c r="E59" i="9"/>
  <c r="B59" i="9"/>
  <c r="R58" i="9"/>
  <c r="K58" i="9"/>
  <c r="F58" i="9"/>
  <c r="D58" i="9"/>
  <c r="A58" i="9"/>
  <c r="C58" i="9" s="1"/>
  <c r="L57" i="9"/>
  <c r="G57" i="9"/>
  <c r="E57" i="9"/>
  <c r="B57" i="9"/>
  <c r="R56" i="9"/>
  <c r="K56" i="9"/>
  <c r="F56" i="9"/>
  <c r="D56" i="9"/>
  <c r="A56" i="9"/>
  <c r="C56" i="9" s="1"/>
  <c r="L55" i="9"/>
  <c r="F55" i="9"/>
  <c r="B55" i="9"/>
  <c r="L54" i="9"/>
  <c r="F54" i="9"/>
  <c r="B54" i="9"/>
  <c r="L53" i="9"/>
  <c r="E53" i="9"/>
  <c r="A53" i="9"/>
  <c r="C53" i="9" s="1"/>
  <c r="L52" i="9"/>
  <c r="F52" i="9"/>
  <c r="B52" i="9"/>
  <c r="L51" i="9"/>
  <c r="F51" i="9"/>
  <c r="A51" i="9"/>
  <c r="C51" i="9" s="1"/>
  <c r="G50" i="9"/>
  <c r="D50" i="9"/>
  <c r="R49" i="9"/>
  <c r="G49" i="9"/>
  <c r="D49" i="9"/>
  <c r="R48" i="9"/>
  <c r="G48" i="9"/>
  <c r="D48" i="9"/>
  <c r="R47" i="9"/>
  <c r="F47" i="9"/>
  <c r="B47" i="9"/>
  <c r="L46" i="9"/>
  <c r="F46" i="9"/>
  <c r="B46" i="9"/>
  <c r="G45" i="9"/>
  <c r="D45" i="9"/>
  <c r="K44" i="9"/>
  <c r="E44" i="9"/>
  <c r="R43" i="9"/>
  <c r="G43" i="9"/>
  <c r="D43" i="9"/>
  <c r="L42" i="9"/>
  <c r="F42" i="9"/>
  <c r="A42" i="9"/>
  <c r="C42" i="9" s="1"/>
  <c r="K41" i="9"/>
  <c r="D41" i="9"/>
  <c r="R40" i="9"/>
  <c r="G40" i="9"/>
  <c r="B40" i="9"/>
  <c r="K39" i="9"/>
  <c r="D39" i="9"/>
  <c r="R38" i="9"/>
  <c r="G38" i="9"/>
  <c r="B38" i="9"/>
  <c r="L37" i="9"/>
  <c r="E37" i="9"/>
  <c r="A37" i="9"/>
  <c r="C37" i="9" s="1"/>
  <c r="G36" i="9"/>
  <c r="D36" i="9"/>
  <c r="L35" i="9"/>
  <c r="F35" i="9"/>
  <c r="A35" i="9"/>
  <c r="C35" i="9" s="1"/>
  <c r="L34" i="9"/>
  <c r="E34" i="9"/>
  <c r="A34" i="9"/>
  <c r="C34" i="9" s="1"/>
  <c r="X33" i="9"/>
  <c r="R33" i="9"/>
  <c r="G33" i="9"/>
  <c r="D33" i="9"/>
  <c r="Y32" i="9"/>
  <c r="U32" i="9"/>
  <c r="L32" i="9"/>
  <c r="E32" i="9"/>
  <c r="Z31" i="9"/>
  <c r="W31" i="9"/>
  <c r="L31" i="9"/>
  <c r="F31" i="9"/>
  <c r="A31" i="9"/>
  <c r="C31" i="9" s="1"/>
  <c r="X30" i="9"/>
  <c r="T30" i="9"/>
  <c r="V30" i="9" s="1"/>
  <c r="G30" i="9"/>
  <c r="D30" i="9"/>
  <c r="Z29" i="9"/>
  <c r="U29" i="9"/>
  <c r="K29" i="9"/>
  <c r="D29" i="9"/>
  <c r="Z28" i="9"/>
  <c r="U28" i="9"/>
  <c r="L28" i="9"/>
  <c r="F28" i="9"/>
  <c r="A28" i="9"/>
  <c r="C28" i="9" s="1"/>
  <c r="X27" i="9"/>
  <c r="R27" i="9"/>
  <c r="G27" i="9"/>
  <c r="B27" i="9"/>
  <c r="X26" i="9"/>
  <c r="T26" i="9"/>
  <c r="V26" i="9" s="1"/>
  <c r="G26" i="9"/>
  <c r="D26" i="9"/>
  <c r="Z25" i="9"/>
  <c r="U25" i="9"/>
  <c r="L25" i="9"/>
  <c r="E25" i="9"/>
  <c r="A25" i="9"/>
  <c r="C25" i="9" s="1"/>
  <c r="X24" i="9"/>
  <c r="R24" i="9"/>
  <c r="G24" i="9"/>
  <c r="B24" i="9"/>
  <c r="Y23" i="9"/>
  <c r="U23" i="9"/>
  <c r="K23" i="9"/>
  <c r="E23" i="9"/>
  <c r="Z22" i="9"/>
  <c r="W22" i="9"/>
  <c r="R22" i="9"/>
  <c r="F22" i="9"/>
  <c r="B22" i="9"/>
  <c r="Y21" i="9"/>
  <c r="U21" i="9"/>
  <c r="L21" i="9"/>
  <c r="B21" i="9"/>
  <c r="Y20" i="9"/>
  <c r="U20" i="9"/>
  <c r="F20" i="9"/>
  <c r="A20" i="9"/>
  <c r="C20" i="9" s="1"/>
  <c r="X19" i="9"/>
  <c r="R19" i="9"/>
  <c r="G19" i="9"/>
  <c r="A19" i="9"/>
  <c r="C19" i="9" s="1"/>
  <c r="W18" i="9"/>
  <c r="L18" i="9"/>
  <c r="E18" i="9"/>
  <c r="A18" i="9"/>
  <c r="C18" i="9" s="1"/>
  <c r="W17" i="9"/>
  <c r="L17" i="9"/>
  <c r="E17" i="9"/>
  <c r="A17" i="9"/>
  <c r="C17" i="9" s="1"/>
  <c r="X16" i="9"/>
  <c r="L16" i="9"/>
  <c r="F16" i="9"/>
  <c r="Y15" i="9"/>
  <c r="W15" i="9"/>
  <c r="U15" i="9"/>
  <c r="L15" i="9"/>
  <c r="K15" i="9"/>
  <c r="E15" i="9"/>
  <c r="D15" i="9"/>
  <c r="B15" i="9"/>
  <c r="Z13" i="9"/>
  <c r="Y13" i="9"/>
  <c r="X13" i="9"/>
  <c r="W13" i="9"/>
  <c r="U13" i="9"/>
  <c r="T13" i="9"/>
  <c r="V13" i="9" s="1"/>
  <c r="R13" i="9"/>
  <c r="L13" i="9"/>
  <c r="K13" i="9"/>
  <c r="G13" i="9"/>
  <c r="F13" i="9"/>
  <c r="E13" i="9"/>
  <c r="D13" i="9"/>
  <c r="B13" i="9"/>
  <c r="A13" i="9"/>
  <c r="Z11" i="9"/>
  <c r="Y11" i="9"/>
  <c r="X11" i="9"/>
  <c r="W11" i="9"/>
  <c r="U11" i="9"/>
  <c r="T11" i="9"/>
  <c r="V11" i="9" s="1"/>
  <c r="R11" i="9"/>
  <c r="L11" i="9"/>
  <c r="K11" i="9"/>
  <c r="G11" i="9"/>
  <c r="F11" i="9"/>
  <c r="E11" i="9"/>
  <c r="D11" i="9"/>
  <c r="B11" i="9"/>
  <c r="A11" i="9"/>
  <c r="Z14" i="7"/>
  <c r="Y14" i="7"/>
  <c r="X14" i="7"/>
  <c r="W14" i="7"/>
  <c r="U14" i="7"/>
  <c r="T14" i="7"/>
  <c r="V14" i="7" s="1"/>
  <c r="R14" i="7"/>
  <c r="L14" i="7"/>
  <c r="K14" i="7"/>
  <c r="G14" i="7"/>
  <c r="F14" i="7"/>
  <c r="E14" i="7"/>
  <c r="D14" i="7"/>
  <c r="B14" i="7"/>
  <c r="A14" i="7"/>
  <c r="C14" i="7" s="1"/>
  <c r="E10" i="7"/>
  <c r="A10" i="7"/>
  <c r="C10" i="7" s="1"/>
  <c r="Z9" i="7"/>
  <c r="Y9" i="7"/>
  <c r="X9" i="7"/>
  <c r="W9" i="7"/>
  <c r="U9" i="7"/>
  <c r="T9" i="7"/>
  <c r="V9" i="7" s="1"/>
  <c r="R9" i="7"/>
  <c r="L9" i="7"/>
  <c r="K9" i="7"/>
  <c r="G9" i="7"/>
  <c r="F9" i="7"/>
  <c r="E9" i="7"/>
  <c r="D9" i="7"/>
  <c r="B9" i="7"/>
  <c r="A9" i="7"/>
  <c r="C9" i="7" s="1"/>
  <c r="U8" i="7"/>
  <c r="R8" i="7"/>
  <c r="K8" i="7"/>
  <c r="F8" i="7"/>
  <c r="D8" i="7"/>
  <c r="A8" i="7"/>
  <c r="C8" i="7" s="1"/>
  <c r="Z5" i="7"/>
  <c r="Y5" i="7"/>
  <c r="X5" i="7"/>
  <c r="W5" i="7"/>
  <c r="T5" i="7"/>
  <c r="R5" i="7"/>
  <c r="L5" i="7"/>
  <c r="G5" i="7"/>
  <c r="F5" i="7"/>
  <c r="D5" i="7"/>
  <c r="B5" i="7"/>
  <c r="A5" i="7"/>
  <c r="F47" i="6"/>
  <c r="R46" i="6"/>
  <c r="G46" i="6"/>
  <c r="B46" i="6"/>
  <c r="L45" i="6"/>
  <c r="B45" i="6"/>
  <c r="L44" i="6"/>
  <c r="E44" i="6"/>
  <c r="R43" i="6"/>
  <c r="G43" i="6"/>
  <c r="B43" i="6"/>
  <c r="K42" i="6"/>
  <c r="D42" i="6"/>
  <c r="K41" i="6"/>
  <c r="D41" i="6"/>
  <c r="L40" i="6"/>
  <c r="D40" i="6"/>
  <c r="L39" i="6"/>
  <c r="F39" i="6"/>
  <c r="K38" i="6"/>
  <c r="E38" i="6"/>
  <c r="G37" i="6"/>
  <c r="D37" i="6"/>
  <c r="L36" i="6"/>
  <c r="D36" i="6"/>
  <c r="R35" i="6"/>
  <c r="F35" i="6"/>
  <c r="R34" i="6"/>
  <c r="G34" i="6"/>
  <c r="Z33" i="6"/>
  <c r="W33" i="6"/>
  <c r="L33" i="6"/>
  <c r="D33" i="6"/>
  <c r="Z32" i="6"/>
  <c r="T32" i="6"/>
  <c r="V32" i="6" s="1"/>
  <c r="G32" i="6"/>
  <c r="B32" i="6"/>
  <c r="X31" i="6"/>
  <c r="R31" i="6"/>
  <c r="E31" i="6"/>
  <c r="Z30" i="6"/>
  <c r="W30" i="6"/>
  <c r="K30" i="6"/>
  <c r="D30" i="6"/>
  <c r="Z29" i="6"/>
  <c r="T29" i="6"/>
  <c r="V29" i="6" s="1"/>
  <c r="G29" i="6"/>
  <c r="A29" i="6"/>
  <c r="C29" i="6" s="1"/>
  <c r="W28" i="6"/>
  <c r="R28" i="6"/>
  <c r="D28" i="6"/>
  <c r="Z27" i="6"/>
  <c r="T27" i="6"/>
  <c r="V27" i="6" s="1"/>
  <c r="G27" i="6"/>
  <c r="A27" i="6"/>
  <c r="C27" i="6" s="1"/>
  <c r="W26" i="6"/>
  <c r="L26" i="6"/>
  <c r="E26" i="6"/>
  <c r="Y25" i="6"/>
  <c r="T25" i="6"/>
  <c r="V25" i="6" s="1"/>
  <c r="G25" i="6"/>
  <c r="A25" i="6"/>
  <c r="C25" i="6" s="1"/>
  <c r="W24" i="6"/>
  <c r="E185" i="3"/>
  <c r="E178" i="3"/>
  <c r="E168" i="3"/>
  <c r="G162" i="3"/>
  <c r="F162" i="3"/>
  <c r="C162" i="3"/>
  <c r="E149" i="3"/>
  <c r="E148" i="3"/>
  <c r="E137" i="3"/>
  <c r="E116" i="3"/>
  <c r="E105" i="3"/>
  <c r="E97" i="3"/>
  <c r="E63" i="3"/>
  <c r="E52" i="3"/>
  <c r="E50" i="3"/>
  <c r="E47" i="3"/>
  <c r="E32" i="3"/>
  <c r="E29" i="3"/>
  <c r="E15" i="3"/>
  <c r="E11" i="3"/>
  <c r="E8" i="3"/>
  <c r="E4" i="3"/>
  <c r="I212" i="1"/>
  <c r="C16" i="12" l="1"/>
  <c r="C8" i="15"/>
  <c r="H8" i="15" s="1"/>
  <c r="J8" i="15" s="1"/>
  <c r="C5" i="6"/>
  <c r="C14" i="6"/>
  <c r="C15" i="6"/>
  <c r="C8" i="6"/>
  <c r="C11" i="8"/>
  <c r="H11" i="8" s="1"/>
  <c r="C12" i="16"/>
  <c r="H12" i="16" s="1"/>
  <c r="J12" i="16" s="1"/>
  <c r="I12" i="6"/>
  <c r="C7" i="17"/>
  <c r="H7" i="17" s="1"/>
  <c r="J7" i="17" s="1"/>
  <c r="C10" i="8"/>
  <c r="H10" i="8" s="1"/>
  <c r="C15" i="12"/>
  <c r="H15" i="12" s="1"/>
  <c r="J15" i="12" s="1"/>
  <c r="C14" i="12"/>
  <c r="H14" i="12" s="1"/>
  <c r="J14" i="12" s="1"/>
  <c r="C11" i="16"/>
  <c r="H11" i="16" s="1"/>
  <c r="J11" i="16" s="1"/>
  <c r="C9" i="14"/>
  <c r="H9" i="14" s="1"/>
  <c r="J9" i="14" s="1"/>
  <c r="U5" i="12"/>
  <c r="C6" i="15"/>
  <c r="C5" i="17"/>
  <c r="H5" i="17" s="1"/>
  <c r="C13" i="6"/>
  <c r="H13" i="6" s="1"/>
  <c r="C7" i="9"/>
  <c r="H7" i="9" s="1"/>
  <c r="C6" i="9"/>
  <c r="H6" i="9" s="1"/>
  <c r="C5" i="9"/>
  <c r="H5" i="9" s="1"/>
  <c r="C10" i="9"/>
  <c r="H10" i="9" s="1"/>
  <c r="C9" i="9"/>
  <c r="H9" i="9" s="1"/>
  <c r="C8" i="9"/>
  <c r="H8" i="9" s="1"/>
  <c r="C7" i="18"/>
  <c r="H7" i="18" s="1"/>
  <c r="J7" i="18" s="1"/>
  <c r="U4" i="12"/>
  <c r="M5" i="11"/>
  <c r="I5" i="11"/>
  <c r="C6" i="18"/>
  <c r="H6" i="18" s="1"/>
  <c r="C8" i="14"/>
  <c r="C9" i="13"/>
  <c r="C7" i="15"/>
  <c r="H7" i="15" s="1"/>
  <c r="J7" i="15" s="1"/>
  <c r="D193" i="3"/>
  <c r="D158" i="3"/>
  <c r="D76" i="3"/>
  <c r="D71" i="3"/>
  <c r="D138" i="3"/>
  <c r="I5" i="16"/>
  <c r="J5" i="16" s="1"/>
  <c r="N21" i="2"/>
  <c r="I10" i="12"/>
  <c r="J10" i="12" s="1"/>
  <c r="D117" i="3"/>
  <c r="D98" i="3"/>
  <c r="D26" i="3"/>
  <c r="C7" i="7"/>
  <c r="D141" i="3"/>
  <c r="I7" i="9"/>
  <c r="J7" i="9" s="1"/>
  <c r="D166" i="3"/>
  <c r="V4" i="18"/>
  <c r="D83" i="3"/>
  <c r="D100" i="3"/>
  <c r="D16" i="3"/>
  <c r="D46" i="3"/>
  <c r="D7" i="3"/>
  <c r="D136" i="3"/>
  <c r="D62" i="3"/>
  <c r="D196" i="3"/>
  <c r="D169" i="3"/>
  <c r="D120" i="3"/>
  <c r="D101" i="3"/>
  <c r="D86" i="3"/>
  <c r="D78" i="3"/>
  <c r="D167" i="3"/>
  <c r="D9" i="3"/>
  <c r="D125" i="3"/>
  <c r="D95" i="3"/>
  <c r="D84" i="3"/>
  <c r="D88" i="3"/>
  <c r="D179" i="3"/>
  <c r="D150" i="3"/>
  <c r="D112" i="3"/>
  <c r="D96" i="3"/>
  <c r="D85" i="3"/>
  <c r="D59" i="3"/>
  <c r="D23" i="3"/>
  <c r="D134" i="3"/>
  <c r="D66" i="3"/>
  <c r="D61" i="3"/>
  <c r="D49" i="3"/>
  <c r="D33" i="3"/>
  <c r="D152" i="3"/>
  <c r="D103" i="3"/>
  <c r="D99" i="3"/>
  <c r="D89" i="3"/>
  <c r="D82" i="3"/>
  <c r="D43" i="3"/>
  <c r="D10" i="3"/>
  <c r="D206" i="3"/>
  <c r="D197" i="3"/>
  <c r="D188" i="3"/>
  <c r="C9" i="8"/>
  <c r="C11" i="11"/>
  <c r="D131" i="3"/>
  <c r="D213" i="3"/>
  <c r="C8" i="13"/>
  <c r="C10" i="16"/>
  <c r="C6" i="17"/>
  <c r="D143" i="3"/>
  <c r="D123" i="3"/>
  <c r="C7" i="14"/>
  <c r="C13" i="9"/>
  <c r="C5" i="18"/>
  <c r="C9" i="6"/>
  <c r="D209" i="3"/>
  <c r="D204" i="3"/>
  <c r="D214" i="3"/>
  <c r="V5" i="7"/>
  <c r="D210" i="3"/>
  <c r="D202" i="3"/>
  <c r="D192" i="3"/>
  <c r="V4" i="7"/>
  <c r="D203" i="3"/>
  <c r="D195" i="3"/>
  <c r="D186" i="3"/>
  <c r="C7" i="13"/>
  <c r="D212" i="3"/>
  <c r="C12" i="6"/>
  <c r="C11" i="6"/>
  <c r="C10" i="6"/>
  <c r="C7" i="6"/>
  <c r="C6" i="6"/>
  <c r="E216" i="3"/>
  <c r="C15" i="4" s="1"/>
  <c r="D190" i="3"/>
  <c r="D132" i="3"/>
  <c r="C12" i="9"/>
  <c r="D170" i="3"/>
  <c r="D160" i="3"/>
  <c r="D40" i="3"/>
  <c r="D14" i="3"/>
  <c r="C13" i="12"/>
  <c r="D135" i="3"/>
  <c r="D28" i="3"/>
  <c r="D155" i="3"/>
  <c r="D70" i="3"/>
  <c r="D107" i="3"/>
  <c r="D159" i="3"/>
  <c r="D151" i="3"/>
  <c r="D113" i="3"/>
  <c r="D81" i="3"/>
  <c r="D79" i="3"/>
  <c r="D5" i="3"/>
  <c r="D178" i="3"/>
  <c r="D177" i="3"/>
  <c r="D173" i="3"/>
  <c r="D60" i="3"/>
  <c r="D44" i="3"/>
  <c r="V7" i="8"/>
  <c r="D140" i="3"/>
  <c r="D52" i="3"/>
  <c r="D11" i="3"/>
  <c r="C11" i="9"/>
  <c r="D185" i="3"/>
  <c r="D168" i="3"/>
  <c r="C6" i="13"/>
  <c r="D153" i="3"/>
  <c r="D207" i="3"/>
  <c r="D205" i="3"/>
  <c r="D191" i="3"/>
  <c r="D139" i="3"/>
  <c r="D130" i="3"/>
  <c r="D115" i="3"/>
  <c r="D17" i="3"/>
  <c r="D189" i="3"/>
  <c r="D187" i="3"/>
  <c r="D80" i="3"/>
  <c r="D65" i="3"/>
  <c r="D45" i="3"/>
  <c r="D25" i="3"/>
  <c r="D211" i="3"/>
  <c r="D176" i="3"/>
  <c r="D161" i="3"/>
  <c r="D149" i="3"/>
  <c r="D137" i="3"/>
  <c r="C6" i="12"/>
  <c r="C8" i="8"/>
  <c r="D77" i="3"/>
  <c r="D24" i="3"/>
  <c r="V8" i="8"/>
  <c r="D6" i="3"/>
  <c r="C9" i="12"/>
  <c r="C7" i="12"/>
  <c r="C10" i="11"/>
  <c r="C7" i="8"/>
  <c r="C6" i="8"/>
  <c r="V5" i="8"/>
  <c r="C5" i="8"/>
  <c r="V6" i="8"/>
  <c r="V4" i="8"/>
  <c r="C5" i="10"/>
  <c r="C5" i="7"/>
  <c r="D69" i="3"/>
  <c r="D30" i="3"/>
  <c r="D148" i="3"/>
  <c r="D122" i="3"/>
  <c r="Y34" i="15"/>
  <c r="X34" i="13"/>
  <c r="D184" i="3"/>
  <c r="C6" i="7"/>
  <c r="C6" i="14"/>
  <c r="C8" i="12"/>
  <c r="C8" i="11"/>
  <c r="C7" i="11"/>
  <c r="C5" i="12"/>
  <c r="V6" i="7"/>
  <c r="C12" i="12"/>
  <c r="C5" i="16"/>
  <c r="C6" i="11"/>
  <c r="C5" i="11"/>
  <c r="E72" i="3"/>
  <c r="C7" i="4" s="1"/>
  <c r="E108" i="3"/>
  <c r="C9" i="4" s="1"/>
  <c r="H63" i="19"/>
  <c r="J63" i="19" s="1"/>
  <c r="I63" i="19"/>
  <c r="M63" i="19"/>
  <c r="N63" i="19"/>
  <c r="Q63" i="19"/>
  <c r="H62" i="19"/>
  <c r="J62" i="19" s="1"/>
  <c r="I62" i="19"/>
  <c r="M62" i="19"/>
  <c r="N62" i="19"/>
  <c r="Q62" i="19"/>
  <c r="H61" i="19"/>
  <c r="J61" i="19" s="1"/>
  <c r="I61" i="19"/>
  <c r="M61" i="19"/>
  <c r="N61" i="19"/>
  <c r="Q61" i="19"/>
  <c r="H60" i="19"/>
  <c r="J60" i="19" s="1"/>
  <c r="I60" i="19"/>
  <c r="M60" i="19"/>
  <c r="N60" i="19"/>
  <c r="Q60" i="19"/>
  <c r="H59" i="19"/>
  <c r="J59" i="19" s="1"/>
  <c r="I59" i="19"/>
  <c r="M59" i="19"/>
  <c r="N59" i="19"/>
  <c r="Q59" i="19"/>
  <c r="H58" i="19"/>
  <c r="J58" i="19" s="1"/>
  <c r="I58" i="19"/>
  <c r="M58" i="19"/>
  <c r="N58" i="19"/>
  <c r="Q58" i="19"/>
  <c r="H57" i="19"/>
  <c r="J57" i="19" s="1"/>
  <c r="I57" i="19"/>
  <c r="M57" i="19"/>
  <c r="N57" i="19"/>
  <c r="Q57" i="19"/>
  <c r="H56" i="19"/>
  <c r="J56" i="19" s="1"/>
  <c r="I56" i="19"/>
  <c r="M56" i="19"/>
  <c r="N56" i="19"/>
  <c r="Q56" i="19"/>
  <c r="H55" i="19"/>
  <c r="J55" i="19" s="1"/>
  <c r="I55" i="19"/>
  <c r="M55" i="19"/>
  <c r="N55" i="19"/>
  <c r="Q55" i="19"/>
  <c r="H54" i="19"/>
  <c r="J54" i="19" s="1"/>
  <c r="I54" i="19"/>
  <c r="M54" i="19"/>
  <c r="N54" i="19"/>
  <c r="Q54" i="19"/>
  <c r="H53" i="19"/>
  <c r="J53" i="19" s="1"/>
  <c r="I53" i="19"/>
  <c r="M53" i="19"/>
  <c r="N53" i="19"/>
  <c r="Q53" i="19"/>
  <c r="H52" i="19"/>
  <c r="J52" i="19" s="1"/>
  <c r="I52" i="19"/>
  <c r="M52" i="19"/>
  <c r="N52" i="19"/>
  <c r="Q52" i="19"/>
  <c r="H51" i="19"/>
  <c r="J51" i="19" s="1"/>
  <c r="I51" i="19"/>
  <c r="M51" i="19"/>
  <c r="N51" i="19"/>
  <c r="Q51" i="19"/>
  <c r="H50" i="19"/>
  <c r="J50" i="19" s="1"/>
  <c r="I50" i="19"/>
  <c r="M50" i="19"/>
  <c r="N50" i="19"/>
  <c r="Q50" i="19"/>
  <c r="H49" i="19"/>
  <c r="J49" i="19" s="1"/>
  <c r="I49" i="19"/>
  <c r="M49" i="19"/>
  <c r="N49" i="19"/>
  <c r="Q49" i="19"/>
  <c r="H48" i="19"/>
  <c r="J48" i="19" s="1"/>
  <c r="I48" i="19"/>
  <c r="M48" i="19"/>
  <c r="N48" i="19"/>
  <c r="Q48" i="19"/>
  <c r="H47" i="19"/>
  <c r="J47" i="19" s="1"/>
  <c r="I47" i="19"/>
  <c r="M47" i="19"/>
  <c r="N47" i="19"/>
  <c r="Q47" i="19"/>
  <c r="H46" i="19"/>
  <c r="J46" i="19" s="1"/>
  <c r="I46" i="19"/>
  <c r="M46" i="19"/>
  <c r="N46" i="19"/>
  <c r="Q46" i="19"/>
  <c r="H45" i="19"/>
  <c r="J45" i="19" s="1"/>
  <c r="I45" i="19"/>
  <c r="M45" i="19"/>
  <c r="N45" i="19"/>
  <c r="Q45" i="19"/>
  <c r="H44" i="19"/>
  <c r="J44" i="19" s="1"/>
  <c r="I44" i="19"/>
  <c r="M44" i="19"/>
  <c r="N44" i="19"/>
  <c r="Q44" i="19"/>
  <c r="H43" i="19"/>
  <c r="J43" i="19" s="1"/>
  <c r="I43" i="19"/>
  <c r="M43" i="19"/>
  <c r="N43" i="19"/>
  <c r="Q43" i="19"/>
  <c r="H42" i="19"/>
  <c r="J42" i="19" s="1"/>
  <c r="I42" i="19"/>
  <c r="M42" i="19"/>
  <c r="N42" i="19"/>
  <c r="Q42" i="19"/>
  <c r="H41" i="19"/>
  <c r="J41" i="19" s="1"/>
  <c r="I41" i="19"/>
  <c r="M41" i="19"/>
  <c r="N41" i="19"/>
  <c r="Q41" i="19"/>
  <c r="H40" i="19"/>
  <c r="J40" i="19" s="1"/>
  <c r="I40" i="19"/>
  <c r="M40" i="19"/>
  <c r="N40" i="19"/>
  <c r="Q40" i="19"/>
  <c r="H39" i="19"/>
  <c r="J39" i="19" s="1"/>
  <c r="I39" i="19"/>
  <c r="M39" i="19"/>
  <c r="N39" i="19"/>
  <c r="Q39" i="19"/>
  <c r="H38" i="19"/>
  <c r="J38" i="19" s="1"/>
  <c r="I38" i="19"/>
  <c r="M38" i="19"/>
  <c r="N38" i="19"/>
  <c r="Q38" i="19"/>
  <c r="H37" i="19"/>
  <c r="J37" i="19" s="1"/>
  <c r="I37" i="19"/>
  <c r="M37" i="19"/>
  <c r="N37" i="19"/>
  <c r="Q37" i="19"/>
  <c r="H36" i="19"/>
  <c r="J36" i="19" s="1"/>
  <c r="I36" i="19"/>
  <c r="M36" i="19"/>
  <c r="N36" i="19"/>
  <c r="Q36" i="19"/>
  <c r="H35" i="19"/>
  <c r="J35" i="19" s="1"/>
  <c r="I35" i="19"/>
  <c r="M35" i="19"/>
  <c r="N35" i="19"/>
  <c r="Q35" i="19"/>
  <c r="H34" i="19"/>
  <c r="J34" i="19" s="1"/>
  <c r="I34" i="19"/>
  <c r="M34" i="19"/>
  <c r="N34" i="19"/>
  <c r="Q34" i="19"/>
  <c r="AC33" i="19"/>
  <c r="AD33" i="19"/>
  <c r="H33" i="19"/>
  <c r="J33" i="19" s="1"/>
  <c r="I33" i="19"/>
  <c r="M33" i="19"/>
  <c r="N33" i="19"/>
  <c r="Q33" i="19"/>
  <c r="AC32" i="19"/>
  <c r="AD32" i="19"/>
  <c r="H32" i="19"/>
  <c r="J32" i="19" s="1"/>
  <c r="I32" i="19"/>
  <c r="M32" i="19"/>
  <c r="N32" i="19"/>
  <c r="Q32" i="19"/>
  <c r="AC31" i="19"/>
  <c r="AD31" i="19"/>
  <c r="H31" i="19"/>
  <c r="J31" i="19" s="1"/>
  <c r="I31" i="19"/>
  <c r="M31" i="19"/>
  <c r="N31" i="19"/>
  <c r="Q31" i="19"/>
  <c r="AC30" i="19"/>
  <c r="AD30" i="19"/>
  <c r="H30" i="19"/>
  <c r="J30" i="19" s="1"/>
  <c r="I30" i="19"/>
  <c r="M30" i="19"/>
  <c r="N30" i="19"/>
  <c r="Q30" i="19"/>
  <c r="AC29" i="19"/>
  <c r="AD29" i="19"/>
  <c r="H29" i="19"/>
  <c r="J29" i="19" s="1"/>
  <c r="I29" i="19"/>
  <c r="M29" i="19"/>
  <c r="N29" i="19"/>
  <c r="Q29" i="19"/>
  <c r="AC28" i="19"/>
  <c r="AD28" i="19"/>
  <c r="H28" i="19"/>
  <c r="J28" i="19" s="1"/>
  <c r="I28" i="19"/>
  <c r="M28" i="19"/>
  <c r="N28" i="19"/>
  <c r="Q28" i="19"/>
  <c r="AC27" i="19"/>
  <c r="AD27" i="19"/>
  <c r="H27" i="19"/>
  <c r="J27" i="19" s="1"/>
  <c r="I27" i="19"/>
  <c r="M27" i="19"/>
  <c r="N27" i="19"/>
  <c r="Q27" i="19"/>
  <c r="AC26" i="19"/>
  <c r="AD26" i="19"/>
  <c r="H26" i="19"/>
  <c r="J26" i="19" s="1"/>
  <c r="I26" i="19"/>
  <c r="M26" i="19"/>
  <c r="N26" i="19"/>
  <c r="Q26" i="19"/>
  <c r="AC25" i="19"/>
  <c r="AD25" i="19"/>
  <c r="H25" i="19"/>
  <c r="J25" i="19" s="1"/>
  <c r="I25" i="19"/>
  <c r="M25" i="19"/>
  <c r="N25" i="19"/>
  <c r="Q25" i="19"/>
  <c r="AC24" i="19"/>
  <c r="AD24" i="19"/>
  <c r="H24" i="19"/>
  <c r="J24" i="19" s="1"/>
  <c r="I24" i="19"/>
  <c r="M24" i="19"/>
  <c r="N24" i="19"/>
  <c r="Q24" i="19"/>
  <c r="AC23" i="19"/>
  <c r="AD23" i="19"/>
  <c r="H23" i="19"/>
  <c r="J23" i="19" s="1"/>
  <c r="I23" i="19"/>
  <c r="M23" i="19"/>
  <c r="N23" i="19"/>
  <c r="Q23" i="19"/>
  <c r="AC22" i="19"/>
  <c r="AD22" i="19"/>
  <c r="H22" i="19"/>
  <c r="J22" i="19" s="1"/>
  <c r="I22" i="19"/>
  <c r="M22" i="19"/>
  <c r="N22" i="19"/>
  <c r="Q22" i="19"/>
  <c r="AC21" i="19"/>
  <c r="AD21" i="19"/>
  <c r="H21" i="19"/>
  <c r="J21" i="19" s="1"/>
  <c r="I21" i="19"/>
  <c r="M21" i="19"/>
  <c r="N21" i="19"/>
  <c r="Q21" i="19"/>
  <c r="AC20" i="19"/>
  <c r="AD20" i="19"/>
  <c r="H20" i="19"/>
  <c r="J20" i="19" s="1"/>
  <c r="I20" i="19"/>
  <c r="M20" i="19"/>
  <c r="N20" i="19"/>
  <c r="Q20" i="19"/>
  <c r="AC19" i="19"/>
  <c r="AD19" i="19"/>
  <c r="H19" i="19"/>
  <c r="J19" i="19" s="1"/>
  <c r="I19" i="19"/>
  <c r="M19" i="19"/>
  <c r="N19" i="19"/>
  <c r="Q19" i="19"/>
  <c r="AC18" i="19"/>
  <c r="AD18" i="19"/>
  <c r="H18" i="19"/>
  <c r="J18" i="19" s="1"/>
  <c r="I18" i="19"/>
  <c r="M18" i="19"/>
  <c r="N18" i="19"/>
  <c r="Q18" i="19"/>
  <c r="AC17" i="19"/>
  <c r="AD17" i="19"/>
  <c r="H17" i="19"/>
  <c r="J17" i="19" s="1"/>
  <c r="I17" i="19"/>
  <c r="M17" i="19"/>
  <c r="N17" i="19"/>
  <c r="Q17" i="19"/>
  <c r="AC16" i="19"/>
  <c r="AD16" i="19"/>
  <c r="H16" i="19"/>
  <c r="J16" i="19" s="1"/>
  <c r="I16" i="19"/>
  <c r="M16" i="19"/>
  <c r="N16" i="19"/>
  <c r="Q16" i="19"/>
  <c r="AC15" i="19"/>
  <c r="AD15" i="19"/>
  <c r="H15" i="19"/>
  <c r="J15" i="19" s="1"/>
  <c r="I15" i="19"/>
  <c r="M15" i="19"/>
  <c r="N15" i="19"/>
  <c r="Q15" i="19"/>
  <c r="AC14" i="19"/>
  <c r="AD14" i="19"/>
  <c r="H14" i="19"/>
  <c r="J14" i="19" s="1"/>
  <c r="I14" i="19"/>
  <c r="M14" i="19"/>
  <c r="N14" i="19"/>
  <c r="Q14" i="19"/>
  <c r="AC13" i="19"/>
  <c r="AD13" i="19"/>
  <c r="H13" i="19"/>
  <c r="J13" i="19" s="1"/>
  <c r="I13" i="19"/>
  <c r="M13" i="19"/>
  <c r="N13" i="19"/>
  <c r="Q13" i="19"/>
  <c r="AC12" i="19"/>
  <c r="AD12" i="19"/>
  <c r="H12" i="19"/>
  <c r="J12" i="19" s="1"/>
  <c r="I12" i="19"/>
  <c r="M12" i="19"/>
  <c r="N12" i="19"/>
  <c r="Q12" i="19"/>
  <c r="AC11" i="19"/>
  <c r="AD11" i="19"/>
  <c r="H11" i="19"/>
  <c r="J11" i="19" s="1"/>
  <c r="I11" i="19"/>
  <c r="M11" i="19"/>
  <c r="N11" i="19"/>
  <c r="Q11" i="19"/>
  <c r="AC10" i="19"/>
  <c r="AD10" i="19"/>
  <c r="H10" i="19"/>
  <c r="J10" i="19" s="1"/>
  <c r="I10" i="19"/>
  <c r="M10" i="19"/>
  <c r="N10" i="19"/>
  <c r="Q10" i="19"/>
  <c r="AC9" i="19"/>
  <c r="AD9" i="19"/>
  <c r="H9" i="19"/>
  <c r="J9" i="19" s="1"/>
  <c r="I9" i="19"/>
  <c r="M9" i="19"/>
  <c r="N9" i="19"/>
  <c r="Q9" i="19"/>
  <c r="AC8" i="19"/>
  <c r="AD8" i="19"/>
  <c r="H8" i="19"/>
  <c r="J8" i="19" s="1"/>
  <c r="I8" i="19"/>
  <c r="M8" i="19"/>
  <c r="N8" i="19"/>
  <c r="Q8" i="19"/>
  <c r="AC7" i="19"/>
  <c r="AD7" i="19"/>
  <c r="H7" i="19"/>
  <c r="J7" i="19" s="1"/>
  <c r="I7" i="19"/>
  <c r="M7" i="19"/>
  <c r="N7" i="19"/>
  <c r="Q7" i="19"/>
  <c r="AC5" i="19"/>
  <c r="AD5" i="19"/>
  <c r="H5" i="19"/>
  <c r="J5" i="19" s="1"/>
  <c r="I5" i="19"/>
  <c r="M5" i="19"/>
  <c r="N5" i="19"/>
  <c r="Q5" i="19"/>
  <c r="AJ4" i="19"/>
  <c r="AK4" i="19"/>
  <c r="AL4" i="19"/>
  <c r="AM4" i="19"/>
  <c r="AN4" i="19"/>
  <c r="AO4" i="19"/>
  <c r="AP4" i="19"/>
  <c r="AJ6" i="19"/>
  <c r="AK6" i="19"/>
  <c r="AL6" i="19"/>
  <c r="AM6" i="19"/>
  <c r="AN6" i="19"/>
  <c r="AO6" i="19"/>
  <c r="AP6" i="19"/>
  <c r="AJ7" i="19"/>
  <c r="AK7" i="19"/>
  <c r="AL7" i="19"/>
  <c r="AM7" i="19"/>
  <c r="AN7" i="19"/>
  <c r="AO7" i="19"/>
  <c r="AP7" i="19"/>
  <c r="AJ8" i="19"/>
  <c r="AK8" i="19"/>
  <c r="AL8" i="19"/>
  <c r="AM8" i="19"/>
  <c r="AN8" i="19"/>
  <c r="AO8" i="19"/>
  <c r="AP8" i="19"/>
  <c r="AJ9" i="19"/>
  <c r="AK9" i="19"/>
  <c r="AL9" i="19"/>
  <c r="AM9" i="19"/>
  <c r="AN9" i="19"/>
  <c r="AO9" i="19"/>
  <c r="AP9" i="19"/>
  <c r="AJ10" i="19"/>
  <c r="AK10" i="19"/>
  <c r="AL10" i="19"/>
  <c r="AM10" i="19"/>
  <c r="AN10" i="19"/>
  <c r="AO10" i="19"/>
  <c r="AP10" i="19"/>
  <c r="AJ11" i="19"/>
  <c r="AK11" i="19"/>
  <c r="AL11" i="19"/>
  <c r="AM11" i="19"/>
  <c r="AN11" i="19"/>
  <c r="AO11" i="19"/>
  <c r="AP11" i="19"/>
  <c r="AJ12" i="19"/>
  <c r="AK12" i="19"/>
  <c r="AL12" i="19"/>
  <c r="AM12" i="19"/>
  <c r="AN12" i="19"/>
  <c r="AO12" i="19"/>
  <c r="AP12" i="19"/>
  <c r="AJ13" i="19"/>
  <c r="AK13" i="19"/>
  <c r="AL13" i="19"/>
  <c r="AM13" i="19"/>
  <c r="AN13" i="19"/>
  <c r="AO13" i="19"/>
  <c r="AP13" i="19"/>
  <c r="AJ14" i="19"/>
  <c r="AK14" i="19"/>
  <c r="AL14" i="19"/>
  <c r="AM14" i="19"/>
  <c r="AN14" i="19"/>
  <c r="AO14" i="19"/>
  <c r="AP14" i="19"/>
  <c r="AJ15" i="19"/>
  <c r="AK15" i="19"/>
  <c r="AL15" i="19"/>
  <c r="AM15" i="19"/>
  <c r="AN15" i="19"/>
  <c r="AO15" i="19"/>
  <c r="AP15" i="19"/>
  <c r="C4" i="19"/>
  <c r="AJ5" i="19"/>
  <c r="AL5" i="19"/>
  <c r="AO5" i="19"/>
  <c r="AK5" i="19"/>
  <c r="AM5" i="19"/>
  <c r="AN5" i="19"/>
  <c r="AP5" i="19"/>
  <c r="H62" i="18"/>
  <c r="J62" i="18" s="1"/>
  <c r="I62" i="18"/>
  <c r="M62" i="18"/>
  <c r="N62" i="18"/>
  <c r="Q62" i="18"/>
  <c r="H61" i="18"/>
  <c r="J61" i="18" s="1"/>
  <c r="I61" i="18"/>
  <c r="M61" i="18"/>
  <c r="N61" i="18"/>
  <c r="Q61" i="18"/>
  <c r="H60" i="18"/>
  <c r="J60" i="18" s="1"/>
  <c r="I60" i="18"/>
  <c r="N60" i="18"/>
  <c r="M60" i="18"/>
  <c r="Q60" i="18"/>
  <c r="H59" i="18"/>
  <c r="J59" i="18" s="1"/>
  <c r="I59" i="18"/>
  <c r="M59" i="18"/>
  <c r="N59" i="18"/>
  <c r="Q59" i="18"/>
  <c r="H58" i="18"/>
  <c r="J58" i="18" s="1"/>
  <c r="I58" i="18"/>
  <c r="N58" i="18"/>
  <c r="Q58" i="18"/>
  <c r="M58" i="18"/>
  <c r="H57" i="18"/>
  <c r="J57" i="18" s="1"/>
  <c r="I57" i="18"/>
  <c r="M57" i="18"/>
  <c r="Q57" i="18"/>
  <c r="N57" i="18"/>
  <c r="H56" i="18"/>
  <c r="J56" i="18" s="1"/>
  <c r="I56" i="18"/>
  <c r="N56" i="18"/>
  <c r="M56" i="18"/>
  <c r="Q56" i="18"/>
  <c r="H55" i="18"/>
  <c r="J55" i="18" s="1"/>
  <c r="I55" i="18"/>
  <c r="N55" i="18"/>
  <c r="M55" i="18"/>
  <c r="Q55" i="18"/>
  <c r="H54" i="18"/>
  <c r="J54" i="18" s="1"/>
  <c r="I54" i="18"/>
  <c r="M54" i="18"/>
  <c r="N54" i="18"/>
  <c r="Q54" i="18"/>
  <c r="H53" i="18"/>
  <c r="J53" i="18" s="1"/>
  <c r="I53" i="18"/>
  <c r="N53" i="18"/>
  <c r="M53" i="18"/>
  <c r="Q53" i="18"/>
  <c r="H51" i="18"/>
  <c r="J51" i="18" s="1"/>
  <c r="I51" i="18"/>
  <c r="N51" i="18"/>
  <c r="Q51" i="18"/>
  <c r="M51" i="18"/>
  <c r="H50" i="18"/>
  <c r="J50" i="18" s="1"/>
  <c r="I50" i="18"/>
  <c r="M50" i="18"/>
  <c r="N50" i="18"/>
  <c r="Q50" i="18"/>
  <c r="H45" i="18"/>
  <c r="J45" i="18" s="1"/>
  <c r="I45" i="18"/>
  <c r="M45" i="18"/>
  <c r="N45" i="18"/>
  <c r="Q45" i="18"/>
  <c r="H44" i="18"/>
  <c r="J44" i="18" s="1"/>
  <c r="I44" i="18"/>
  <c r="M44" i="18"/>
  <c r="N44" i="18"/>
  <c r="Q44" i="18"/>
  <c r="H43" i="18"/>
  <c r="J43" i="18" s="1"/>
  <c r="I43" i="18"/>
  <c r="Q43" i="18"/>
  <c r="M43" i="18"/>
  <c r="N43" i="18"/>
  <c r="H42" i="18"/>
  <c r="J42" i="18" s="1"/>
  <c r="I42" i="18"/>
  <c r="Q42" i="18"/>
  <c r="M42" i="18"/>
  <c r="N42" i="18"/>
  <c r="H41" i="18"/>
  <c r="J41" i="18" s="1"/>
  <c r="I41" i="18"/>
  <c r="N41" i="18"/>
  <c r="M41" i="18"/>
  <c r="Q41" i="18"/>
  <c r="H40" i="18"/>
  <c r="J40" i="18" s="1"/>
  <c r="I40" i="18"/>
  <c r="M40" i="18"/>
  <c r="N40" i="18"/>
  <c r="Q40" i="18"/>
  <c r="H39" i="18"/>
  <c r="J39" i="18" s="1"/>
  <c r="I39" i="18"/>
  <c r="M39" i="18"/>
  <c r="N39" i="18"/>
  <c r="Q39" i="18"/>
  <c r="H38" i="18"/>
  <c r="J38" i="18" s="1"/>
  <c r="I38" i="18"/>
  <c r="N38" i="18"/>
  <c r="M38" i="18"/>
  <c r="Q38" i="18"/>
  <c r="H37" i="18"/>
  <c r="J37" i="18" s="1"/>
  <c r="I37" i="18"/>
  <c r="N37" i="18"/>
  <c r="M37" i="18"/>
  <c r="Q37" i="18"/>
  <c r="AC33" i="18"/>
  <c r="AD33" i="18"/>
  <c r="AC32" i="18"/>
  <c r="AD32" i="18"/>
  <c r="AC29" i="18"/>
  <c r="AD29" i="18"/>
  <c r="AC26" i="18"/>
  <c r="AD26" i="18"/>
  <c r="AC24" i="18"/>
  <c r="AD24" i="18"/>
  <c r="AC20" i="18"/>
  <c r="AD20" i="18"/>
  <c r="H19" i="18"/>
  <c r="J19" i="18" s="1"/>
  <c r="I19" i="18"/>
  <c r="M19" i="18"/>
  <c r="N19" i="18"/>
  <c r="Q19" i="18"/>
  <c r="H18" i="18"/>
  <c r="J18" i="18" s="1"/>
  <c r="I18" i="18"/>
  <c r="M18" i="18"/>
  <c r="N18" i="18"/>
  <c r="Q18" i="18"/>
  <c r="H17" i="18"/>
  <c r="J17" i="18" s="1"/>
  <c r="I17" i="18"/>
  <c r="N17" i="18"/>
  <c r="M17" i="18"/>
  <c r="Q17" i="18"/>
  <c r="AC14" i="18"/>
  <c r="AD14" i="18"/>
  <c r="AC12" i="18"/>
  <c r="AD12" i="18"/>
  <c r="H12" i="18"/>
  <c r="J12" i="18" s="1"/>
  <c r="I12" i="18"/>
  <c r="M12" i="18"/>
  <c r="N12" i="18"/>
  <c r="Q12" i="18"/>
  <c r="I60" i="17"/>
  <c r="M60" i="17"/>
  <c r="N60" i="17"/>
  <c r="Q60" i="17"/>
  <c r="H60" i="17"/>
  <c r="J60" i="17" s="1"/>
  <c r="H58" i="17"/>
  <c r="J58" i="17" s="1"/>
  <c r="I58" i="17"/>
  <c r="M58" i="17"/>
  <c r="N58" i="17"/>
  <c r="Q58" i="17"/>
  <c r="H57" i="17"/>
  <c r="J57" i="17" s="1"/>
  <c r="M57" i="17"/>
  <c r="Q57" i="17"/>
  <c r="I57" i="17"/>
  <c r="N57" i="17"/>
  <c r="H56" i="17"/>
  <c r="J56" i="17" s="1"/>
  <c r="I56" i="17"/>
  <c r="M56" i="17"/>
  <c r="N56" i="17"/>
  <c r="Q56" i="17"/>
  <c r="H55" i="17"/>
  <c r="J55" i="17" s="1"/>
  <c r="I55" i="17"/>
  <c r="M55" i="17"/>
  <c r="N55" i="17"/>
  <c r="Q55" i="17"/>
  <c r="H54" i="17"/>
  <c r="J54" i="17" s="1"/>
  <c r="I54" i="17"/>
  <c r="M54" i="17"/>
  <c r="N54" i="17"/>
  <c r="Q54" i="17"/>
  <c r="H53" i="17"/>
  <c r="J53" i="17" s="1"/>
  <c r="I53" i="17"/>
  <c r="M53" i="17"/>
  <c r="N53" i="17"/>
  <c r="Q53" i="17"/>
  <c r="H52" i="17"/>
  <c r="J52" i="17" s="1"/>
  <c r="I52" i="17"/>
  <c r="N52" i="17"/>
  <c r="M52" i="17"/>
  <c r="Q52" i="17"/>
  <c r="H51" i="17"/>
  <c r="J51" i="17" s="1"/>
  <c r="I51" i="17"/>
  <c r="M51" i="17"/>
  <c r="Q51" i="17"/>
  <c r="N51" i="17"/>
  <c r="H50" i="17"/>
  <c r="J50" i="17" s="1"/>
  <c r="I50" i="17"/>
  <c r="M50" i="17"/>
  <c r="N50" i="17"/>
  <c r="Q50" i="17"/>
  <c r="H49" i="17"/>
  <c r="J49" i="17" s="1"/>
  <c r="I49" i="17"/>
  <c r="M49" i="17"/>
  <c r="N49" i="17"/>
  <c r="Q49" i="17"/>
  <c r="H48" i="17"/>
  <c r="J48" i="17" s="1"/>
  <c r="I48" i="17"/>
  <c r="M48" i="17"/>
  <c r="N48" i="17"/>
  <c r="Q48" i="17"/>
  <c r="H47" i="17"/>
  <c r="J47" i="17" s="1"/>
  <c r="I47" i="17"/>
  <c r="M47" i="17"/>
  <c r="N47" i="17"/>
  <c r="Q47" i="17"/>
  <c r="H46" i="17"/>
  <c r="J46" i="17" s="1"/>
  <c r="I46" i="17"/>
  <c r="N46" i="17"/>
  <c r="M46" i="17"/>
  <c r="Q46" i="17"/>
  <c r="H45" i="17"/>
  <c r="J45" i="17" s="1"/>
  <c r="I45" i="17"/>
  <c r="M45" i="17"/>
  <c r="N45" i="17"/>
  <c r="Q45" i="17"/>
  <c r="H40" i="17"/>
  <c r="J40" i="17" s="1"/>
  <c r="I40" i="17"/>
  <c r="Q40" i="17"/>
  <c r="M40" i="17"/>
  <c r="N40" i="17"/>
  <c r="H39" i="17"/>
  <c r="J39" i="17" s="1"/>
  <c r="I39" i="17"/>
  <c r="M39" i="17"/>
  <c r="N39" i="17"/>
  <c r="Q39" i="17"/>
  <c r="H37" i="17"/>
  <c r="J37" i="17" s="1"/>
  <c r="I37" i="17"/>
  <c r="N37" i="17"/>
  <c r="M37" i="17"/>
  <c r="Q37" i="17"/>
  <c r="H34" i="17"/>
  <c r="J34" i="17" s="1"/>
  <c r="I34" i="17"/>
  <c r="M34" i="17"/>
  <c r="N34" i="17"/>
  <c r="Q34" i="17"/>
  <c r="AC32" i="17"/>
  <c r="AD32" i="17"/>
  <c r="I32" i="17"/>
  <c r="H32" i="17"/>
  <c r="J32" i="17" s="1"/>
  <c r="M32" i="17"/>
  <c r="N32" i="17"/>
  <c r="Q32" i="17"/>
  <c r="AC31" i="17"/>
  <c r="AD31" i="17"/>
  <c r="AC30" i="17"/>
  <c r="AD30" i="17"/>
  <c r="AC29" i="17"/>
  <c r="AD29" i="17"/>
  <c r="AC27" i="17"/>
  <c r="AD27" i="17"/>
  <c r="AC26" i="17"/>
  <c r="AD26" i="17"/>
  <c r="AC25" i="17"/>
  <c r="AD25" i="17"/>
  <c r="AC23" i="17"/>
  <c r="AD23" i="17"/>
  <c r="AC20" i="17"/>
  <c r="AD20" i="17"/>
  <c r="AC18" i="17"/>
  <c r="AD18" i="17"/>
  <c r="AC17" i="17"/>
  <c r="AD17" i="17"/>
  <c r="AD16" i="17"/>
  <c r="AC16" i="17"/>
  <c r="AC6" i="17"/>
  <c r="AD6" i="17"/>
  <c r="I6" i="17"/>
  <c r="J6" i="17" s="1"/>
  <c r="M6" i="17"/>
  <c r="N6" i="17"/>
  <c r="AC4" i="17"/>
  <c r="AD4" i="17"/>
  <c r="I4" i="17"/>
  <c r="J4" i="17" s="1"/>
  <c r="M4" i="17"/>
  <c r="N4" i="17"/>
  <c r="C4" i="17"/>
  <c r="AJ5" i="17"/>
  <c r="AJ4" i="17"/>
  <c r="AL5" i="17"/>
  <c r="AJ6" i="17"/>
  <c r="AL6" i="17"/>
  <c r="AL4" i="17"/>
  <c r="AJ7" i="17"/>
  <c r="AL7" i="17"/>
  <c r="AJ8" i="17"/>
  <c r="AL8" i="17"/>
  <c r="AJ9" i="17"/>
  <c r="AL9" i="17"/>
  <c r="AJ10" i="17"/>
  <c r="AL10" i="17"/>
  <c r="AJ11" i="17"/>
  <c r="AL11" i="17"/>
  <c r="AJ12" i="17"/>
  <c r="AK12" i="17"/>
  <c r="AL12" i="17"/>
  <c r="AM12" i="17"/>
  <c r="AN12" i="17"/>
  <c r="AO12" i="17"/>
  <c r="AP12" i="17"/>
  <c r="AJ13" i="17"/>
  <c r="AK13" i="17"/>
  <c r="AL13" i="17"/>
  <c r="AM13" i="17"/>
  <c r="AN13" i="17"/>
  <c r="AO13" i="17"/>
  <c r="AP13" i="17"/>
  <c r="AJ14" i="17"/>
  <c r="AK14" i="17"/>
  <c r="AL14" i="17"/>
  <c r="AM14" i="17"/>
  <c r="AN14" i="17"/>
  <c r="AO14" i="17"/>
  <c r="AP14" i="17"/>
  <c r="AJ15" i="17"/>
  <c r="AK15" i="17"/>
  <c r="AL15" i="17"/>
  <c r="AM15" i="17"/>
  <c r="AN15" i="17"/>
  <c r="AO15" i="17"/>
  <c r="AP15" i="17"/>
  <c r="H63" i="16"/>
  <c r="J63" i="16" s="1"/>
  <c r="I63" i="16"/>
  <c r="M63" i="16"/>
  <c r="N63" i="16"/>
  <c r="Q63" i="16"/>
  <c r="H62" i="16"/>
  <c r="J62" i="16" s="1"/>
  <c r="I62" i="16"/>
  <c r="M62" i="16"/>
  <c r="N62" i="16"/>
  <c r="Q62" i="16"/>
  <c r="H61" i="16"/>
  <c r="J61" i="16" s="1"/>
  <c r="I61" i="16"/>
  <c r="M61" i="16"/>
  <c r="N61" i="16"/>
  <c r="Q61" i="16"/>
  <c r="H42" i="16"/>
  <c r="J42" i="16" s="1"/>
  <c r="I42" i="16"/>
  <c r="Q42" i="16"/>
  <c r="M42" i="16"/>
  <c r="N42" i="16"/>
  <c r="H38" i="16"/>
  <c r="J38" i="16" s="1"/>
  <c r="I38" i="16"/>
  <c r="M38" i="16"/>
  <c r="Q38" i="16"/>
  <c r="N38" i="16"/>
  <c r="H37" i="16"/>
  <c r="J37" i="16" s="1"/>
  <c r="I37" i="16"/>
  <c r="M37" i="16"/>
  <c r="N37" i="16"/>
  <c r="Q37" i="16"/>
  <c r="H36" i="16"/>
  <c r="J36" i="16" s="1"/>
  <c r="I36" i="16"/>
  <c r="M36" i="16"/>
  <c r="N36" i="16"/>
  <c r="Q36" i="16"/>
  <c r="AC32" i="16"/>
  <c r="AD32" i="16"/>
  <c r="AC30" i="16"/>
  <c r="AD30" i="16"/>
  <c r="H29" i="16"/>
  <c r="J29" i="16" s="1"/>
  <c r="I29" i="16"/>
  <c r="M29" i="16"/>
  <c r="Q29" i="16"/>
  <c r="N29" i="16"/>
  <c r="H28" i="16"/>
  <c r="J28" i="16" s="1"/>
  <c r="I28" i="16"/>
  <c r="N28" i="16"/>
  <c r="M28" i="16"/>
  <c r="Q28" i="16"/>
  <c r="H27" i="16"/>
  <c r="J27" i="16" s="1"/>
  <c r="I27" i="16"/>
  <c r="M27" i="16"/>
  <c r="N27" i="16"/>
  <c r="Q27" i="16"/>
  <c r="H26" i="16"/>
  <c r="J26" i="16" s="1"/>
  <c r="I26" i="16"/>
  <c r="N26" i="16"/>
  <c r="M26" i="16"/>
  <c r="Q26" i="16"/>
  <c r="H25" i="16"/>
  <c r="J25" i="16" s="1"/>
  <c r="I25" i="16"/>
  <c r="N25" i="16"/>
  <c r="M25" i="16"/>
  <c r="Q25" i="16"/>
  <c r="H24" i="16"/>
  <c r="J24" i="16" s="1"/>
  <c r="I24" i="16"/>
  <c r="M24" i="16"/>
  <c r="N24" i="16"/>
  <c r="Q24" i="16"/>
  <c r="H23" i="16"/>
  <c r="J23" i="16" s="1"/>
  <c r="I23" i="16"/>
  <c r="M23" i="16"/>
  <c r="N23" i="16"/>
  <c r="Q23" i="16"/>
  <c r="H22" i="16"/>
  <c r="J22" i="16" s="1"/>
  <c r="I22" i="16"/>
  <c r="M22" i="16"/>
  <c r="N22" i="16"/>
  <c r="Q22" i="16"/>
  <c r="H19" i="16"/>
  <c r="J19" i="16" s="1"/>
  <c r="I19" i="16"/>
  <c r="M19" i="16"/>
  <c r="N19" i="16"/>
  <c r="Q19" i="16"/>
  <c r="AC18" i="16"/>
  <c r="AD18" i="16"/>
  <c r="AC15" i="16"/>
  <c r="AD15" i="16"/>
  <c r="H15" i="16"/>
  <c r="J15" i="16" s="1"/>
  <c r="I15" i="16"/>
  <c r="M15" i="16"/>
  <c r="N15" i="16"/>
  <c r="Q15" i="16"/>
  <c r="AC13" i="16"/>
  <c r="AD13" i="16"/>
  <c r="H13" i="16"/>
  <c r="J13" i="16" s="1"/>
  <c r="I13" i="16"/>
  <c r="M13" i="16"/>
  <c r="N13" i="16"/>
  <c r="Q13" i="16"/>
  <c r="AC11" i="16"/>
  <c r="AD11" i="16"/>
  <c r="AC8" i="16"/>
  <c r="AD8" i="16"/>
  <c r="H8" i="16"/>
  <c r="I8" i="16"/>
  <c r="J8" i="16" s="1"/>
  <c r="M8" i="16"/>
  <c r="N8" i="16"/>
  <c r="AC6" i="16"/>
  <c r="AD6" i="16"/>
  <c r="H6" i="16"/>
  <c r="M6" i="16"/>
  <c r="N6" i="16"/>
  <c r="I6" i="16"/>
  <c r="J6" i="16" s="1"/>
  <c r="AC4" i="16"/>
  <c r="AD4" i="16"/>
  <c r="I4" i="16"/>
  <c r="J4" i="16" s="1"/>
  <c r="M4" i="16"/>
  <c r="N4" i="16"/>
  <c r="C4" i="16"/>
  <c r="AL5" i="16"/>
  <c r="AJ7" i="16"/>
  <c r="AL7" i="16"/>
  <c r="AJ8" i="16"/>
  <c r="AL8" i="16"/>
  <c r="AJ10" i="16"/>
  <c r="AL10" i="16"/>
  <c r="AJ12" i="16"/>
  <c r="AL12" i="16"/>
  <c r="AM12" i="16"/>
  <c r="AN12" i="16"/>
  <c r="AP12" i="16"/>
  <c r="AK14" i="16"/>
  <c r="AL14" i="16"/>
  <c r="AN14" i="16"/>
  <c r="AO14" i="16"/>
  <c r="AJ15" i="16"/>
  <c r="AM15" i="16"/>
  <c r="AP15" i="16"/>
  <c r="AJ4" i="16"/>
  <c r="AL4" i="16"/>
  <c r="AJ6" i="16"/>
  <c r="AL6" i="16"/>
  <c r="AJ9" i="16"/>
  <c r="AL9" i="16"/>
  <c r="AL11" i="16"/>
  <c r="AL15" i="16"/>
  <c r="AJ11" i="16"/>
  <c r="AJ13" i="16"/>
  <c r="AK13" i="16"/>
  <c r="AL13" i="16"/>
  <c r="AM13" i="16"/>
  <c r="AN13" i="16"/>
  <c r="AO13" i="16"/>
  <c r="AP13" i="16"/>
  <c r="AK15" i="16"/>
  <c r="AN15" i="16"/>
  <c r="AO15" i="16"/>
  <c r="AJ5" i="16"/>
  <c r="AK12" i="16"/>
  <c r="AO12" i="16"/>
  <c r="AJ14" i="16"/>
  <c r="AM14" i="16"/>
  <c r="AP14" i="16"/>
  <c r="H63" i="15"/>
  <c r="J63" i="15" s="1"/>
  <c r="I63" i="15"/>
  <c r="M63" i="15"/>
  <c r="N63" i="15"/>
  <c r="Q63" i="15"/>
  <c r="H62" i="15"/>
  <c r="J62" i="15" s="1"/>
  <c r="I62" i="15"/>
  <c r="M62" i="15"/>
  <c r="N62" i="15"/>
  <c r="Q62" i="15"/>
  <c r="H61" i="15"/>
  <c r="J61" i="15" s="1"/>
  <c r="I61" i="15"/>
  <c r="M61" i="15"/>
  <c r="N61" i="15"/>
  <c r="Q61" i="15"/>
  <c r="H60" i="15"/>
  <c r="J60" i="15" s="1"/>
  <c r="I60" i="15"/>
  <c r="M60" i="15"/>
  <c r="N60" i="15"/>
  <c r="Q60" i="15"/>
  <c r="H57" i="15"/>
  <c r="J57" i="15" s="1"/>
  <c r="I57" i="15"/>
  <c r="M57" i="15"/>
  <c r="N57" i="15"/>
  <c r="Q57" i="15"/>
  <c r="H56" i="15"/>
  <c r="J56" i="15" s="1"/>
  <c r="I56" i="15"/>
  <c r="M56" i="15"/>
  <c r="N56" i="15"/>
  <c r="Q56" i="15"/>
  <c r="H54" i="15"/>
  <c r="J54" i="15" s="1"/>
  <c r="I54" i="15"/>
  <c r="N54" i="15"/>
  <c r="M54" i="15"/>
  <c r="Q54" i="15"/>
  <c r="H50" i="15"/>
  <c r="J50" i="15" s="1"/>
  <c r="I50" i="15"/>
  <c r="M50" i="15"/>
  <c r="N50" i="15"/>
  <c r="Q50" i="15"/>
  <c r="H47" i="15"/>
  <c r="J47" i="15" s="1"/>
  <c r="I47" i="15"/>
  <c r="M47" i="15"/>
  <c r="N47" i="15"/>
  <c r="Q47" i="15"/>
  <c r="H43" i="15"/>
  <c r="J43" i="15" s="1"/>
  <c r="I43" i="15"/>
  <c r="M43" i="15"/>
  <c r="N43" i="15"/>
  <c r="Q43" i="15"/>
  <c r="H40" i="15"/>
  <c r="J40" i="15" s="1"/>
  <c r="I40" i="15"/>
  <c r="M40" i="15"/>
  <c r="N40" i="15"/>
  <c r="Q40" i="15"/>
  <c r="M37" i="15"/>
  <c r="N37" i="15"/>
  <c r="Q37" i="15"/>
  <c r="I37" i="15"/>
  <c r="H37" i="15"/>
  <c r="J37" i="15" s="1"/>
  <c r="I36" i="15"/>
  <c r="M36" i="15"/>
  <c r="N36" i="15"/>
  <c r="Q36" i="15"/>
  <c r="H36" i="15"/>
  <c r="J36" i="15" s="1"/>
  <c r="M35" i="15"/>
  <c r="Q35" i="15"/>
  <c r="N35" i="15"/>
  <c r="H35" i="15"/>
  <c r="J35" i="15" s="1"/>
  <c r="I35" i="15"/>
  <c r="AC33" i="15"/>
  <c r="AD33" i="15"/>
  <c r="H33" i="15"/>
  <c r="J33" i="15" s="1"/>
  <c r="I33" i="15"/>
  <c r="N33" i="15"/>
  <c r="M33" i="15"/>
  <c r="Q33" i="15"/>
  <c r="H32" i="15"/>
  <c r="J32" i="15" s="1"/>
  <c r="I32" i="15"/>
  <c r="M32" i="15"/>
  <c r="N32" i="15"/>
  <c r="Q32" i="15"/>
  <c r="AC24" i="15"/>
  <c r="AD24" i="15"/>
  <c r="I23" i="15"/>
  <c r="M23" i="15"/>
  <c r="N23" i="15"/>
  <c r="Q23" i="15"/>
  <c r="H23" i="15"/>
  <c r="J23" i="15" s="1"/>
  <c r="H22" i="15"/>
  <c r="J22" i="15" s="1"/>
  <c r="I22" i="15"/>
  <c r="M22" i="15"/>
  <c r="N22" i="15"/>
  <c r="Q22" i="15"/>
  <c r="AC20" i="15"/>
  <c r="AD20" i="15"/>
  <c r="H20" i="15"/>
  <c r="J20" i="15" s="1"/>
  <c r="I20" i="15"/>
  <c r="M20" i="15"/>
  <c r="N20" i="15"/>
  <c r="Q20" i="15"/>
  <c r="H17" i="15"/>
  <c r="J17" i="15" s="1"/>
  <c r="I17" i="15"/>
  <c r="M17" i="15"/>
  <c r="N17" i="15"/>
  <c r="Q17" i="15"/>
  <c r="AC15" i="15"/>
  <c r="AD15" i="15"/>
  <c r="H15" i="15"/>
  <c r="J15" i="15" s="1"/>
  <c r="I15" i="15"/>
  <c r="M15" i="15"/>
  <c r="N15" i="15"/>
  <c r="Q15" i="15"/>
  <c r="AC13" i="15"/>
  <c r="AD13" i="15"/>
  <c r="H13" i="15"/>
  <c r="J13" i="15" s="1"/>
  <c r="I13" i="15"/>
  <c r="M13" i="15"/>
  <c r="N13" i="15"/>
  <c r="Q13" i="15"/>
  <c r="H11" i="15"/>
  <c r="J11" i="15" s="1"/>
  <c r="I11" i="15"/>
  <c r="M11" i="15"/>
  <c r="N11" i="15"/>
  <c r="Q11" i="15"/>
  <c r="AC6" i="15"/>
  <c r="AD6" i="15"/>
  <c r="H6" i="15"/>
  <c r="I6" i="15"/>
  <c r="J6" i="15" s="1"/>
  <c r="M6" i="15"/>
  <c r="N6" i="15"/>
  <c r="AC4" i="15"/>
  <c r="AD4" i="15"/>
  <c r="I4" i="15"/>
  <c r="J4" i="15" s="1"/>
  <c r="M4" i="15"/>
  <c r="N4" i="15"/>
  <c r="C4" i="15"/>
  <c r="AJ5" i="15"/>
  <c r="AL5" i="15"/>
  <c r="AJ7" i="15"/>
  <c r="AL7" i="15"/>
  <c r="AJ12" i="15"/>
  <c r="AL12" i="15"/>
  <c r="AJ14" i="15"/>
  <c r="AL14" i="15"/>
  <c r="AM14" i="15"/>
  <c r="AO14" i="15"/>
  <c r="AL15" i="15"/>
  <c r="AJ6" i="15"/>
  <c r="AJ8" i="15"/>
  <c r="AL8" i="15"/>
  <c r="AJ10" i="15"/>
  <c r="AL10" i="15"/>
  <c r="AJ11" i="15"/>
  <c r="AL11" i="15"/>
  <c r="AM15" i="15"/>
  <c r="AO15" i="15"/>
  <c r="AJ4" i="15"/>
  <c r="AL4" i="15"/>
  <c r="AJ9" i="15"/>
  <c r="AL9" i="15"/>
  <c r="AJ13" i="15"/>
  <c r="AK13" i="15"/>
  <c r="AL13" i="15"/>
  <c r="AM13" i="15"/>
  <c r="AN13" i="15"/>
  <c r="AO13" i="15"/>
  <c r="AP13" i="15"/>
  <c r="AK15" i="15"/>
  <c r="AN15" i="15"/>
  <c r="AP15" i="15"/>
  <c r="AL6" i="15"/>
  <c r="AK14" i="15"/>
  <c r="AN14" i="15"/>
  <c r="AP14" i="15"/>
  <c r="AJ15" i="15"/>
  <c r="H63" i="14"/>
  <c r="J63" i="14" s="1"/>
  <c r="I63" i="14"/>
  <c r="M63" i="14"/>
  <c r="N63" i="14"/>
  <c r="Q63" i="14"/>
  <c r="H62" i="14"/>
  <c r="J62" i="14" s="1"/>
  <c r="I62" i="14"/>
  <c r="M62" i="14"/>
  <c r="N62" i="14"/>
  <c r="Q62" i="14"/>
  <c r="H61" i="14"/>
  <c r="J61" i="14" s="1"/>
  <c r="I61" i="14"/>
  <c r="N61" i="14"/>
  <c r="M61" i="14"/>
  <c r="Q61" i="14"/>
  <c r="H60" i="14"/>
  <c r="J60" i="14" s="1"/>
  <c r="I60" i="14"/>
  <c r="M60" i="14"/>
  <c r="N60" i="14"/>
  <c r="Q60" i="14"/>
  <c r="H57" i="14"/>
  <c r="J57" i="14" s="1"/>
  <c r="I57" i="14"/>
  <c r="M57" i="14"/>
  <c r="N57" i="14"/>
  <c r="Q57" i="14"/>
  <c r="H56" i="14"/>
  <c r="J56" i="14" s="1"/>
  <c r="I56" i="14"/>
  <c r="M56" i="14"/>
  <c r="N56" i="14"/>
  <c r="Q56" i="14"/>
  <c r="I55" i="14"/>
  <c r="N55" i="14"/>
  <c r="M55" i="14"/>
  <c r="Q55" i="14"/>
  <c r="H55" i="14"/>
  <c r="J55" i="14" s="1"/>
  <c r="H52" i="14"/>
  <c r="J52" i="14" s="1"/>
  <c r="M52" i="14"/>
  <c r="N52" i="14"/>
  <c r="Q52" i="14"/>
  <c r="I52" i="14"/>
  <c r="H50" i="14"/>
  <c r="J50" i="14" s="1"/>
  <c r="M50" i="14"/>
  <c r="N50" i="14"/>
  <c r="Q50" i="14"/>
  <c r="I50" i="14"/>
  <c r="H46" i="14"/>
  <c r="J46" i="14" s="1"/>
  <c r="I46" i="14"/>
  <c r="M46" i="14"/>
  <c r="N46" i="14"/>
  <c r="Q46" i="14"/>
  <c r="H43" i="14"/>
  <c r="J43" i="14" s="1"/>
  <c r="I43" i="14"/>
  <c r="M43" i="14"/>
  <c r="N43" i="14"/>
  <c r="Q43" i="14"/>
  <c r="H37" i="14"/>
  <c r="J37" i="14" s="1"/>
  <c r="I37" i="14"/>
  <c r="M37" i="14"/>
  <c r="Q37" i="14"/>
  <c r="N37" i="14"/>
  <c r="H43" i="13"/>
  <c r="J43" i="13" s="1"/>
  <c r="I43" i="13"/>
  <c r="M43" i="13"/>
  <c r="L43" i="13"/>
  <c r="P43" i="13"/>
  <c r="H40" i="13"/>
  <c r="J40" i="13" s="1"/>
  <c r="I40" i="13"/>
  <c r="M40" i="13"/>
  <c r="L40" i="13"/>
  <c r="P40" i="13"/>
  <c r="H39" i="13"/>
  <c r="J39" i="13" s="1"/>
  <c r="I39" i="13"/>
  <c r="L39" i="13"/>
  <c r="M39" i="13"/>
  <c r="P39" i="13"/>
  <c r="H36" i="13"/>
  <c r="J36" i="13" s="1"/>
  <c r="I36" i="13"/>
  <c r="L36" i="13"/>
  <c r="M36" i="13"/>
  <c r="P36" i="13"/>
  <c r="M35" i="13"/>
  <c r="P35" i="13"/>
  <c r="H35" i="13"/>
  <c r="J35" i="13" s="1"/>
  <c r="I35" i="13"/>
  <c r="L35" i="13"/>
  <c r="AB33" i="13"/>
  <c r="AC33" i="13"/>
  <c r="H33" i="13"/>
  <c r="J33" i="13" s="1"/>
  <c r="I33" i="13"/>
  <c r="L33" i="13"/>
  <c r="M33" i="13"/>
  <c r="P33" i="13"/>
  <c r="AB31" i="13"/>
  <c r="AC31" i="13"/>
  <c r="H29" i="13"/>
  <c r="J29" i="13" s="1"/>
  <c r="I29" i="13"/>
  <c r="L29" i="13"/>
  <c r="M29" i="13"/>
  <c r="P29" i="13"/>
  <c r="H26" i="13"/>
  <c r="J26" i="13" s="1"/>
  <c r="I26" i="13"/>
  <c r="L26" i="13"/>
  <c r="M26" i="13"/>
  <c r="P26" i="13"/>
  <c r="AB22" i="13"/>
  <c r="AC22" i="13"/>
  <c r="H22" i="13"/>
  <c r="J22" i="13" s="1"/>
  <c r="I22" i="13"/>
  <c r="L22" i="13"/>
  <c r="M22" i="13"/>
  <c r="P22" i="13"/>
  <c r="AB21" i="13"/>
  <c r="AC21" i="13"/>
  <c r="AB15" i="13"/>
  <c r="AC15" i="13"/>
  <c r="AB13" i="13"/>
  <c r="AC13" i="13"/>
  <c r="H13" i="13"/>
  <c r="J13" i="13" s="1"/>
  <c r="I13" i="13"/>
  <c r="L13" i="13"/>
  <c r="M13" i="13"/>
  <c r="P13" i="13"/>
  <c r="AB11" i="13"/>
  <c r="AC11" i="13"/>
  <c r="H11" i="13"/>
  <c r="J11" i="13" s="1"/>
  <c r="I11" i="13"/>
  <c r="L11" i="13"/>
  <c r="M11" i="13"/>
  <c r="P11" i="13"/>
  <c r="AB9" i="13"/>
  <c r="AC9" i="13"/>
  <c r="H9" i="13"/>
  <c r="I9" i="13"/>
  <c r="J9" i="13" s="1"/>
  <c r="L9" i="13"/>
  <c r="M9" i="13"/>
  <c r="AB7" i="13"/>
  <c r="AC7" i="13"/>
  <c r="H7" i="13"/>
  <c r="I7" i="13"/>
  <c r="J7" i="13" s="1"/>
  <c r="L7" i="13"/>
  <c r="M7" i="13"/>
  <c r="AB4" i="13"/>
  <c r="I4" i="13"/>
  <c r="J4" i="13" s="1"/>
  <c r="L4" i="13"/>
  <c r="M4" i="13"/>
  <c r="C4" i="13"/>
  <c r="AI4" i="13"/>
  <c r="AK4" i="13"/>
  <c r="AI6" i="13"/>
  <c r="AK6" i="13"/>
  <c r="AI8" i="13"/>
  <c r="AK8" i="13"/>
  <c r="AI10" i="13"/>
  <c r="AK10" i="13"/>
  <c r="AI12" i="13"/>
  <c r="AJ12" i="13"/>
  <c r="AK12" i="13"/>
  <c r="AL12" i="13"/>
  <c r="AM12" i="13"/>
  <c r="AN12" i="13"/>
  <c r="AO12" i="13"/>
  <c r="AJ14" i="13"/>
  <c r="AL14" i="13"/>
  <c r="AN14" i="13"/>
  <c r="AI15" i="13"/>
  <c r="AL15" i="13"/>
  <c r="AI5" i="13"/>
  <c r="AK5" i="13"/>
  <c r="AI7" i="13"/>
  <c r="AK7" i="13"/>
  <c r="AI9" i="13"/>
  <c r="AK9" i="13"/>
  <c r="AK11" i="13"/>
  <c r="AJ13" i="13"/>
  <c r="AL13" i="13"/>
  <c r="AN13" i="13"/>
  <c r="AK15" i="13"/>
  <c r="AN15" i="13"/>
  <c r="AI11" i="13"/>
  <c r="AI13" i="13"/>
  <c r="AK13" i="13"/>
  <c r="AM13" i="13"/>
  <c r="AO13" i="13"/>
  <c r="AI14" i="13"/>
  <c r="AK14" i="13"/>
  <c r="AM14" i="13"/>
  <c r="AO14" i="13"/>
  <c r="AJ15" i="13"/>
  <c r="AM15" i="13"/>
  <c r="AO15" i="13"/>
  <c r="H63" i="12"/>
  <c r="J63" i="12" s="1"/>
  <c r="I63" i="12"/>
  <c r="L63" i="12"/>
  <c r="M63" i="12"/>
  <c r="P63" i="12"/>
  <c r="H60" i="12"/>
  <c r="J60" i="12" s="1"/>
  <c r="I60" i="12"/>
  <c r="L60" i="12"/>
  <c r="M60" i="12"/>
  <c r="P60" i="12"/>
  <c r="H59" i="12"/>
  <c r="J59" i="12" s="1"/>
  <c r="I59" i="12"/>
  <c r="L59" i="12"/>
  <c r="M59" i="12"/>
  <c r="P59" i="12"/>
  <c r="H57" i="12"/>
  <c r="J57" i="12" s="1"/>
  <c r="I57" i="12"/>
  <c r="L57" i="12"/>
  <c r="M57" i="12"/>
  <c r="P57" i="12"/>
  <c r="L55" i="12"/>
  <c r="M55" i="12"/>
  <c r="P55" i="12"/>
  <c r="H55" i="12"/>
  <c r="J55" i="12" s="1"/>
  <c r="I55" i="12"/>
  <c r="H54" i="12"/>
  <c r="J54" i="12" s="1"/>
  <c r="I54" i="12"/>
  <c r="L54" i="12"/>
  <c r="M54" i="12"/>
  <c r="P54" i="12"/>
  <c r="I52" i="12"/>
  <c r="L52" i="12"/>
  <c r="M52" i="12"/>
  <c r="P52" i="12"/>
  <c r="H52" i="12"/>
  <c r="J52" i="12" s="1"/>
  <c r="H51" i="12"/>
  <c r="J51" i="12" s="1"/>
  <c r="I51" i="12"/>
  <c r="L51" i="12"/>
  <c r="M51" i="12"/>
  <c r="P51" i="12"/>
  <c r="H48" i="12"/>
  <c r="J48" i="12" s="1"/>
  <c r="I48" i="12"/>
  <c r="L48" i="12"/>
  <c r="M48" i="12"/>
  <c r="P48" i="12"/>
  <c r="H45" i="12"/>
  <c r="J45" i="12" s="1"/>
  <c r="I45" i="12"/>
  <c r="L45" i="12"/>
  <c r="M45" i="12"/>
  <c r="P45" i="12"/>
  <c r="I43" i="12"/>
  <c r="L43" i="12"/>
  <c r="M43" i="12"/>
  <c r="H43" i="12"/>
  <c r="J43" i="12" s="1"/>
  <c r="P43" i="12"/>
  <c r="H42" i="12"/>
  <c r="J42" i="12" s="1"/>
  <c r="I42" i="12"/>
  <c r="L42" i="12"/>
  <c r="M42" i="12"/>
  <c r="P42" i="12"/>
  <c r="H40" i="12"/>
  <c r="J40" i="12" s="1"/>
  <c r="I40" i="12"/>
  <c r="L40" i="12"/>
  <c r="M40" i="12"/>
  <c r="P40" i="12"/>
  <c r="H38" i="12"/>
  <c r="J38" i="12" s="1"/>
  <c r="I38" i="12"/>
  <c r="L38" i="12"/>
  <c r="M38" i="12"/>
  <c r="P38" i="12"/>
  <c r="H36" i="12"/>
  <c r="J36" i="12" s="1"/>
  <c r="I36" i="12"/>
  <c r="L36" i="12"/>
  <c r="M36" i="12"/>
  <c r="P36" i="12"/>
  <c r="AB32" i="12"/>
  <c r="AC32" i="12"/>
  <c r="AB28" i="12"/>
  <c r="AC28" i="12"/>
  <c r="AB27" i="12"/>
  <c r="AC27" i="12"/>
  <c r="I26" i="12"/>
  <c r="L26" i="12"/>
  <c r="M26" i="12"/>
  <c r="H26" i="12"/>
  <c r="J26" i="12" s="1"/>
  <c r="P26" i="12"/>
  <c r="AB25" i="12"/>
  <c r="AC25" i="12"/>
  <c r="H25" i="12"/>
  <c r="J25" i="12" s="1"/>
  <c r="I25" i="12"/>
  <c r="L25" i="12"/>
  <c r="M25" i="12"/>
  <c r="P25" i="12"/>
  <c r="AB24" i="12"/>
  <c r="AC24" i="12"/>
  <c r="H24" i="12"/>
  <c r="J24" i="12" s="1"/>
  <c r="I24" i="12"/>
  <c r="L24" i="12"/>
  <c r="M24" i="12"/>
  <c r="P24" i="12"/>
  <c r="AB20" i="12"/>
  <c r="AC20" i="12"/>
  <c r="AB16" i="12"/>
  <c r="AC16" i="12"/>
  <c r="AB14" i="12"/>
  <c r="AC14" i="12"/>
  <c r="I14" i="12"/>
  <c r="L14" i="12"/>
  <c r="M14" i="12"/>
  <c r="L11" i="12"/>
  <c r="M11" i="12"/>
  <c r="AB9" i="12"/>
  <c r="AC9" i="12"/>
  <c r="I9" i="12"/>
  <c r="J9" i="12" s="1"/>
  <c r="L9" i="12"/>
  <c r="M9" i="12"/>
  <c r="AB7" i="12"/>
  <c r="AC7" i="12"/>
  <c r="L7" i="12"/>
  <c r="M7" i="12"/>
  <c r="H44" i="10"/>
  <c r="J44" i="10" s="1"/>
  <c r="M44" i="10"/>
  <c r="N44" i="10"/>
  <c r="Q44" i="10"/>
  <c r="I44" i="10"/>
  <c r="H43" i="10"/>
  <c r="J43" i="10" s="1"/>
  <c r="I43" i="10"/>
  <c r="M43" i="10"/>
  <c r="N43" i="10"/>
  <c r="Q43" i="10"/>
  <c r="H40" i="10"/>
  <c r="J40" i="10" s="1"/>
  <c r="I40" i="10"/>
  <c r="M40" i="10"/>
  <c r="N40" i="10"/>
  <c r="Q40" i="10"/>
  <c r="H38" i="10"/>
  <c r="J38" i="10" s="1"/>
  <c r="I38" i="10"/>
  <c r="M38" i="10"/>
  <c r="N38" i="10"/>
  <c r="Q38" i="10"/>
  <c r="AC32" i="10"/>
  <c r="AD32" i="10"/>
  <c r="AD16" i="10"/>
  <c r="AC16" i="10"/>
  <c r="AC7" i="10"/>
  <c r="AD7" i="10"/>
  <c r="H7" i="10"/>
  <c r="J7" i="10" s="1"/>
  <c r="I7" i="10"/>
  <c r="M7" i="10"/>
  <c r="N7" i="10"/>
  <c r="Q7" i="10"/>
  <c r="AC5" i="10"/>
  <c r="AD5" i="10"/>
  <c r="I5" i="10"/>
  <c r="M5" i="10"/>
  <c r="N5" i="10"/>
  <c r="I60" i="9"/>
  <c r="M60" i="9"/>
  <c r="N60" i="9"/>
  <c r="Q60" i="9"/>
  <c r="H60" i="9"/>
  <c r="J60" i="9" s="1"/>
  <c r="H58" i="9"/>
  <c r="J58" i="9" s="1"/>
  <c r="I58" i="9"/>
  <c r="M58" i="9"/>
  <c r="N58" i="9"/>
  <c r="Q58" i="9"/>
  <c r="H56" i="9"/>
  <c r="J56" i="9" s="1"/>
  <c r="I56" i="9"/>
  <c r="M56" i="9"/>
  <c r="N56" i="9"/>
  <c r="Q56" i="9"/>
  <c r="H55" i="9"/>
  <c r="J55" i="9" s="1"/>
  <c r="I55" i="9"/>
  <c r="M55" i="9"/>
  <c r="N55" i="9"/>
  <c r="Q55" i="9"/>
  <c r="H54" i="9"/>
  <c r="J54" i="9" s="1"/>
  <c r="I54" i="9"/>
  <c r="M54" i="9"/>
  <c r="N54" i="9"/>
  <c r="Q54" i="9"/>
  <c r="H53" i="9"/>
  <c r="J53" i="9" s="1"/>
  <c r="I53" i="9"/>
  <c r="M53" i="9"/>
  <c r="N53" i="9"/>
  <c r="Q53" i="9"/>
  <c r="H52" i="9"/>
  <c r="J52" i="9" s="1"/>
  <c r="I52" i="9"/>
  <c r="M52" i="9"/>
  <c r="N52" i="9"/>
  <c r="Q52" i="9"/>
  <c r="H51" i="9"/>
  <c r="J51" i="9" s="1"/>
  <c r="I51" i="9"/>
  <c r="N51" i="9"/>
  <c r="M51" i="9"/>
  <c r="Q51" i="9"/>
  <c r="H44" i="9"/>
  <c r="J44" i="9" s="1"/>
  <c r="I44" i="9"/>
  <c r="Q44" i="9"/>
  <c r="M44" i="9"/>
  <c r="N44" i="9"/>
  <c r="H41" i="9"/>
  <c r="J41" i="9" s="1"/>
  <c r="I41" i="9"/>
  <c r="M41" i="9"/>
  <c r="N41" i="9"/>
  <c r="Q41" i="9"/>
  <c r="I37" i="9"/>
  <c r="M37" i="9"/>
  <c r="N37" i="9"/>
  <c r="Q37" i="9"/>
  <c r="H37" i="9"/>
  <c r="J37" i="9" s="1"/>
  <c r="AC31" i="9"/>
  <c r="AD31" i="9"/>
  <c r="H31" i="9"/>
  <c r="J31" i="9" s="1"/>
  <c r="I31" i="9"/>
  <c r="M31" i="9"/>
  <c r="N31" i="9"/>
  <c r="Q31" i="9"/>
  <c r="AC23" i="9"/>
  <c r="AD23" i="9"/>
  <c r="H23" i="9"/>
  <c r="I23" i="9"/>
  <c r="J23" i="9" s="1"/>
  <c r="M23" i="9"/>
  <c r="N23" i="9"/>
  <c r="Q23" i="9"/>
  <c r="H21" i="9"/>
  <c r="N21" i="9"/>
  <c r="I21" i="9"/>
  <c r="J21" i="9" s="1"/>
  <c r="M21" i="9"/>
  <c r="Q21" i="9"/>
  <c r="AC20" i="9"/>
  <c r="AD20" i="9"/>
  <c r="I20" i="9"/>
  <c r="J20" i="9" s="1"/>
  <c r="H20" i="9"/>
  <c r="M20" i="9"/>
  <c r="N20" i="9"/>
  <c r="Q20" i="9"/>
  <c r="AC18" i="9"/>
  <c r="AD18" i="9"/>
  <c r="H18" i="9"/>
  <c r="M18" i="9"/>
  <c r="N18" i="9"/>
  <c r="Q18" i="9"/>
  <c r="I18" i="9"/>
  <c r="J18" i="9" s="1"/>
  <c r="AC17" i="9"/>
  <c r="AD17" i="9"/>
  <c r="H16" i="9"/>
  <c r="I16" i="9"/>
  <c r="J16" i="9" s="1"/>
  <c r="M16" i="9"/>
  <c r="N16" i="9"/>
  <c r="Q16" i="9"/>
  <c r="AC12" i="9"/>
  <c r="AD12" i="9"/>
  <c r="I12" i="9"/>
  <c r="J12" i="9" s="1"/>
  <c r="M12" i="9"/>
  <c r="N12" i="9"/>
  <c r="H22" i="7"/>
  <c r="J22" i="7" s="1"/>
  <c r="I22" i="7"/>
  <c r="M22" i="7"/>
  <c r="N22" i="7"/>
  <c r="Q22" i="7"/>
  <c r="H21" i="7"/>
  <c r="J21" i="7" s="1"/>
  <c r="M21" i="7"/>
  <c r="N21" i="7"/>
  <c r="Q21" i="7"/>
  <c r="I21" i="7"/>
  <c r="H20" i="7"/>
  <c r="J20" i="7" s="1"/>
  <c r="I20" i="7"/>
  <c r="M20" i="7"/>
  <c r="N20" i="7"/>
  <c r="Q20" i="7"/>
  <c r="AC19" i="7"/>
  <c r="AD19" i="7"/>
  <c r="H19" i="7"/>
  <c r="J19" i="7" s="1"/>
  <c r="I19" i="7"/>
  <c r="M19" i="7"/>
  <c r="N19" i="7"/>
  <c r="Q19" i="7"/>
  <c r="AC18" i="7"/>
  <c r="AD18" i="7"/>
  <c r="H16" i="7"/>
  <c r="J16" i="7" s="1"/>
  <c r="I16" i="7"/>
  <c r="M16" i="7"/>
  <c r="N16" i="7"/>
  <c r="Q16" i="7"/>
  <c r="AC12" i="7"/>
  <c r="AD12" i="7"/>
  <c r="H12" i="7"/>
  <c r="J12" i="7" s="1"/>
  <c r="I12" i="7"/>
  <c r="M12" i="7"/>
  <c r="N12" i="7"/>
  <c r="Q12" i="7"/>
  <c r="I7" i="7"/>
  <c r="M7" i="7"/>
  <c r="N7" i="7"/>
  <c r="AC6" i="7"/>
  <c r="AD6" i="7"/>
  <c r="I6" i="7"/>
  <c r="J6" i="7" s="1"/>
  <c r="M6" i="7"/>
  <c r="N6" i="7"/>
  <c r="M60" i="6"/>
  <c r="N60" i="6"/>
  <c r="Q60" i="6"/>
  <c r="H60" i="6"/>
  <c r="I60" i="6"/>
  <c r="J60" i="6" s="1"/>
  <c r="H59" i="6"/>
  <c r="I59" i="6"/>
  <c r="J59" i="6" s="1"/>
  <c r="M59" i="6"/>
  <c r="N59" i="6"/>
  <c r="Q59" i="6"/>
  <c r="H58" i="6"/>
  <c r="I58" i="6"/>
  <c r="J58" i="6" s="1"/>
  <c r="M58" i="6"/>
  <c r="N58" i="6"/>
  <c r="Q58" i="6"/>
  <c r="H56" i="6"/>
  <c r="I56" i="6"/>
  <c r="J56" i="6" s="1"/>
  <c r="M56" i="6"/>
  <c r="N56" i="6"/>
  <c r="Q56" i="6"/>
  <c r="H16" i="17"/>
  <c r="J16" i="17" s="1"/>
  <c r="I16" i="17"/>
  <c r="M16" i="17"/>
  <c r="N16" i="17"/>
  <c r="Q16" i="17"/>
  <c r="AC15" i="17"/>
  <c r="AD15" i="17"/>
  <c r="H15" i="17"/>
  <c r="J15" i="17" s="1"/>
  <c r="I15" i="17"/>
  <c r="M15" i="17"/>
  <c r="N15" i="17"/>
  <c r="Q15" i="17"/>
  <c r="AC14" i="17"/>
  <c r="AD14" i="17"/>
  <c r="H14" i="17"/>
  <c r="J14" i="17" s="1"/>
  <c r="I14" i="17"/>
  <c r="M14" i="17"/>
  <c r="N14" i="17"/>
  <c r="Q14" i="17"/>
  <c r="AC13" i="17"/>
  <c r="AD13" i="17"/>
  <c r="H13" i="17"/>
  <c r="J13" i="17" s="1"/>
  <c r="I13" i="17"/>
  <c r="M13" i="17"/>
  <c r="N13" i="17"/>
  <c r="Q13" i="17"/>
  <c r="AC12" i="17"/>
  <c r="AD12" i="17"/>
  <c r="H12" i="17"/>
  <c r="J12" i="17" s="1"/>
  <c r="I12" i="17"/>
  <c r="M12" i="17"/>
  <c r="N12" i="17"/>
  <c r="Q12" i="17"/>
  <c r="AC11" i="17"/>
  <c r="AD11" i="17"/>
  <c r="H11" i="17"/>
  <c r="J11" i="17" s="1"/>
  <c r="I11" i="17"/>
  <c r="M11" i="17"/>
  <c r="N11" i="17"/>
  <c r="Q11" i="17"/>
  <c r="AC10" i="17"/>
  <c r="AD10" i="17"/>
  <c r="H10" i="17"/>
  <c r="J10" i="17" s="1"/>
  <c r="I10" i="17"/>
  <c r="M10" i="17"/>
  <c r="N10" i="17"/>
  <c r="Q10" i="17"/>
  <c r="AC9" i="17"/>
  <c r="AD9" i="17"/>
  <c r="H9" i="17"/>
  <c r="J9" i="17" s="1"/>
  <c r="I9" i="17"/>
  <c r="M9" i="17"/>
  <c r="N9" i="17"/>
  <c r="Q9" i="17"/>
  <c r="AC8" i="17"/>
  <c r="AD8" i="17"/>
  <c r="H8" i="17"/>
  <c r="J8" i="17" s="1"/>
  <c r="I8" i="17"/>
  <c r="M8" i="17"/>
  <c r="N8" i="17"/>
  <c r="Q8" i="17"/>
  <c r="AC5" i="17"/>
  <c r="AD5" i="17"/>
  <c r="I5" i="17"/>
  <c r="J5" i="17" s="1"/>
  <c r="M5" i="17"/>
  <c r="N5" i="17"/>
  <c r="H55" i="15"/>
  <c r="J55" i="15" s="1"/>
  <c r="I55" i="15"/>
  <c r="N55" i="15"/>
  <c r="M55" i="15"/>
  <c r="Q55" i="15"/>
  <c r="AC30" i="15"/>
  <c r="AD30" i="15"/>
  <c r="H30" i="15"/>
  <c r="J30" i="15" s="1"/>
  <c r="I30" i="15"/>
  <c r="M30" i="15"/>
  <c r="N30" i="15"/>
  <c r="Q30" i="15"/>
  <c r="AC23" i="15"/>
  <c r="AD23" i="15"/>
  <c r="I18" i="15"/>
  <c r="N18" i="15"/>
  <c r="H18" i="15"/>
  <c r="J18" i="15" s="1"/>
  <c r="M18" i="15"/>
  <c r="Q18" i="15"/>
  <c r="AC7" i="15"/>
  <c r="AD7" i="15"/>
  <c r="H49" i="14"/>
  <c r="J49" i="14" s="1"/>
  <c r="I49" i="14"/>
  <c r="Q49" i="14"/>
  <c r="M49" i="14"/>
  <c r="N49" i="14"/>
  <c r="H34" i="14"/>
  <c r="J34" i="14" s="1"/>
  <c r="I34" i="14"/>
  <c r="N34" i="14"/>
  <c r="M34" i="14"/>
  <c r="Q34" i="14"/>
  <c r="AC33" i="14"/>
  <c r="AD33" i="14"/>
  <c r="AC26" i="13"/>
  <c r="AB26" i="13"/>
  <c r="AB24" i="13"/>
  <c r="AC24" i="13"/>
  <c r="AB10" i="13"/>
  <c r="AC10" i="13"/>
  <c r="H62" i="12"/>
  <c r="J62" i="12" s="1"/>
  <c r="I62" i="12"/>
  <c r="L62" i="12"/>
  <c r="M62" i="12"/>
  <c r="P62" i="12"/>
  <c r="H61" i="12"/>
  <c r="J61" i="12" s="1"/>
  <c r="I61" i="12"/>
  <c r="P61" i="12"/>
  <c r="L61" i="12"/>
  <c r="M61" i="12"/>
  <c r="H58" i="12"/>
  <c r="J58" i="12" s="1"/>
  <c r="I58" i="12"/>
  <c r="P58" i="12"/>
  <c r="L58" i="12"/>
  <c r="M58" i="12"/>
  <c r="H56" i="12"/>
  <c r="J56" i="12" s="1"/>
  <c r="I56" i="12"/>
  <c r="L56" i="12"/>
  <c r="M56" i="12"/>
  <c r="P56" i="12"/>
  <c r="H49" i="12"/>
  <c r="J49" i="12" s="1"/>
  <c r="I49" i="12"/>
  <c r="L49" i="12"/>
  <c r="M49" i="12"/>
  <c r="P49" i="12"/>
  <c r="H46" i="12"/>
  <c r="J46" i="12" s="1"/>
  <c r="I46" i="12"/>
  <c r="L46" i="12"/>
  <c r="M46" i="12"/>
  <c r="P46" i="12"/>
  <c r="P29" i="12"/>
  <c r="H29" i="12"/>
  <c r="J29" i="12" s="1"/>
  <c r="I29" i="12"/>
  <c r="L29" i="12"/>
  <c r="M29" i="12"/>
  <c r="AC23" i="12"/>
  <c r="AB23" i="12"/>
  <c r="L23" i="12"/>
  <c r="M23" i="12"/>
  <c r="P23" i="12"/>
  <c r="I23" i="12"/>
  <c r="H23" i="12"/>
  <c r="J23" i="12" s="1"/>
  <c r="P18" i="12"/>
  <c r="H18" i="12"/>
  <c r="J18" i="12" s="1"/>
  <c r="I18" i="12"/>
  <c r="L18" i="12"/>
  <c r="M18" i="12"/>
  <c r="AB10" i="12"/>
  <c r="AC10" i="12"/>
  <c r="H10" i="12"/>
  <c r="L10" i="12"/>
  <c r="M10" i="12"/>
  <c r="H24" i="10"/>
  <c r="J24" i="10" s="1"/>
  <c r="I24" i="10"/>
  <c r="N24" i="10"/>
  <c r="M24" i="10"/>
  <c r="Q24" i="10"/>
  <c r="H17" i="9"/>
  <c r="I17" i="9"/>
  <c r="J17" i="9" s="1"/>
  <c r="M17" i="9"/>
  <c r="N17" i="9"/>
  <c r="Q17" i="9"/>
  <c r="AC13" i="7"/>
  <c r="AD13" i="7"/>
  <c r="AC7" i="7"/>
  <c r="AD7" i="7" s="1"/>
  <c r="H54" i="6"/>
  <c r="I54" i="6"/>
  <c r="J54" i="6" s="1"/>
  <c r="M54" i="6"/>
  <c r="N54" i="6"/>
  <c r="Q54" i="6"/>
  <c r="H49" i="6"/>
  <c r="I49" i="6"/>
  <c r="J49" i="6" s="1"/>
  <c r="M49" i="6"/>
  <c r="N49" i="6"/>
  <c r="Q49" i="6"/>
  <c r="H48" i="6"/>
  <c r="I48" i="6"/>
  <c r="J48" i="6" s="1"/>
  <c r="M48" i="6"/>
  <c r="N48" i="6"/>
  <c r="Q48" i="6"/>
  <c r="H44" i="6"/>
  <c r="I44" i="6"/>
  <c r="J44" i="6" s="1"/>
  <c r="M44" i="6"/>
  <c r="N44" i="6"/>
  <c r="Q44" i="6"/>
  <c r="H41" i="6"/>
  <c r="N41" i="6"/>
  <c r="I41" i="6"/>
  <c r="J41" i="6" s="1"/>
  <c r="Q41" i="6"/>
  <c r="M41" i="6"/>
  <c r="AC33" i="6"/>
  <c r="AD33" i="6"/>
  <c r="I33" i="6"/>
  <c r="J33" i="6" s="1"/>
  <c r="M33" i="6"/>
  <c r="N33" i="6"/>
  <c r="Q33" i="6"/>
  <c r="H33" i="6"/>
  <c r="AC32" i="6"/>
  <c r="AD32" i="6"/>
  <c r="H30" i="6"/>
  <c r="I30" i="6"/>
  <c r="J30" i="6" s="1"/>
  <c r="M30" i="6"/>
  <c r="N30" i="6"/>
  <c r="Q30" i="6"/>
  <c r="N28" i="6"/>
  <c r="H28" i="6"/>
  <c r="I28" i="6"/>
  <c r="J28" i="6" s="1"/>
  <c r="M28" i="6"/>
  <c r="Q28" i="6"/>
  <c r="H26" i="6"/>
  <c r="I26" i="6"/>
  <c r="J26" i="6" s="1"/>
  <c r="M26" i="6"/>
  <c r="N26" i="6"/>
  <c r="Q26" i="6"/>
  <c r="H33" i="14"/>
  <c r="J33" i="14" s="1"/>
  <c r="I33" i="14"/>
  <c r="M33" i="14"/>
  <c r="N33" i="14"/>
  <c r="Q33" i="14"/>
  <c r="AC32" i="14"/>
  <c r="AD32" i="14"/>
  <c r="H32" i="14"/>
  <c r="J32" i="14" s="1"/>
  <c r="I32" i="14"/>
  <c r="M32" i="14"/>
  <c r="N32" i="14"/>
  <c r="Q32" i="14"/>
  <c r="AC31" i="14"/>
  <c r="AD31" i="14"/>
  <c r="H31" i="14"/>
  <c r="J31" i="14" s="1"/>
  <c r="I31" i="14"/>
  <c r="M31" i="14"/>
  <c r="N31" i="14"/>
  <c r="Q31" i="14"/>
  <c r="AC30" i="14"/>
  <c r="AD30" i="14"/>
  <c r="H30" i="14"/>
  <c r="J30" i="14" s="1"/>
  <c r="I30" i="14"/>
  <c r="M30" i="14"/>
  <c r="N30" i="14"/>
  <c r="Q30" i="14"/>
  <c r="AC29" i="14"/>
  <c r="AD29" i="14"/>
  <c r="H29" i="14"/>
  <c r="J29" i="14" s="1"/>
  <c r="I29" i="14"/>
  <c r="M29" i="14"/>
  <c r="N29" i="14"/>
  <c r="Q29" i="14"/>
  <c r="AC28" i="14"/>
  <c r="AD28" i="14"/>
  <c r="H28" i="14"/>
  <c r="J28" i="14" s="1"/>
  <c r="I28" i="14"/>
  <c r="M28" i="14"/>
  <c r="N28" i="14"/>
  <c r="Q28" i="14"/>
  <c r="AC27" i="14"/>
  <c r="AD27" i="14"/>
  <c r="H27" i="14"/>
  <c r="J27" i="14" s="1"/>
  <c r="I27" i="14"/>
  <c r="M27" i="14"/>
  <c r="N27" i="14"/>
  <c r="Q27" i="14"/>
  <c r="AC26" i="14"/>
  <c r="AD26" i="14"/>
  <c r="H26" i="14"/>
  <c r="J26" i="14" s="1"/>
  <c r="I26" i="14"/>
  <c r="M26" i="14"/>
  <c r="N26" i="14"/>
  <c r="Q26" i="14"/>
  <c r="AC25" i="14"/>
  <c r="AD25" i="14"/>
  <c r="H25" i="14"/>
  <c r="J25" i="14" s="1"/>
  <c r="I25" i="14"/>
  <c r="M25" i="14"/>
  <c r="N25" i="14"/>
  <c r="Q25" i="14"/>
  <c r="AC24" i="14"/>
  <c r="AD24" i="14"/>
  <c r="H24" i="14"/>
  <c r="J24" i="14" s="1"/>
  <c r="I24" i="14"/>
  <c r="M24" i="14"/>
  <c r="N24" i="14"/>
  <c r="Q24" i="14"/>
  <c r="AC23" i="14"/>
  <c r="AD23" i="14"/>
  <c r="H23" i="14"/>
  <c r="J23" i="14" s="1"/>
  <c r="I23" i="14"/>
  <c r="M23" i="14"/>
  <c r="N23" i="14"/>
  <c r="Q23" i="14"/>
  <c r="AC22" i="14"/>
  <c r="AD22" i="14"/>
  <c r="H22" i="14"/>
  <c r="J22" i="14" s="1"/>
  <c r="I22" i="14"/>
  <c r="M22" i="14"/>
  <c r="N22" i="14"/>
  <c r="Q22" i="14"/>
  <c r="AC21" i="14"/>
  <c r="AD21" i="14"/>
  <c r="H21" i="14"/>
  <c r="J21" i="14" s="1"/>
  <c r="I21" i="14"/>
  <c r="M21" i="14"/>
  <c r="N21" i="14"/>
  <c r="Q21" i="14"/>
  <c r="AC20" i="14"/>
  <c r="AD20" i="14"/>
  <c r="H20" i="14"/>
  <c r="J20" i="14" s="1"/>
  <c r="I20" i="14"/>
  <c r="M20" i="14"/>
  <c r="N20" i="14"/>
  <c r="Q20" i="14"/>
  <c r="AC19" i="14"/>
  <c r="AD19" i="14"/>
  <c r="H19" i="14"/>
  <c r="J19" i="14" s="1"/>
  <c r="I19" i="14"/>
  <c r="M19" i="14"/>
  <c r="N19" i="14"/>
  <c r="Q19" i="14"/>
  <c r="AC18" i="14"/>
  <c r="AD18" i="14"/>
  <c r="H18" i="14"/>
  <c r="J18" i="14" s="1"/>
  <c r="I18" i="14"/>
  <c r="M18" i="14"/>
  <c r="N18" i="14"/>
  <c r="Q18" i="14"/>
  <c r="AC17" i="14"/>
  <c r="AD17" i="14"/>
  <c r="H17" i="14"/>
  <c r="J17" i="14" s="1"/>
  <c r="I17" i="14"/>
  <c r="M17" i="14"/>
  <c r="N17" i="14"/>
  <c r="Q17" i="14"/>
  <c r="AC16" i="14"/>
  <c r="AD16" i="14"/>
  <c r="H16" i="14"/>
  <c r="J16" i="14" s="1"/>
  <c r="I16" i="14"/>
  <c r="M16" i="14"/>
  <c r="N16" i="14"/>
  <c r="Q16" i="14"/>
  <c r="AC15" i="14"/>
  <c r="AD15" i="14"/>
  <c r="H15" i="14"/>
  <c r="J15" i="14" s="1"/>
  <c r="I15" i="14"/>
  <c r="M15" i="14"/>
  <c r="N15" i="14"/>
  <c r="Q15" i="14"/>
  <c r="AC14" i="14"/>
  <c r="AD14" i="14"/>
  <c r="H14" i="14"/>
  <c r="J14" i="14" s="1"/>
  <c r="I14" i="14"/>
  <c r="M14" i="14"/>
  <c r="N14" i="14"/>
  <c r="Q14" i="14"/>
  <c r="AC13" i="14"/>
  <c r="AD13" i="14"/>
  <c r="H13" i="14"/>
  <c r="J13" i="14" s="1"/>
  <c r="I13" i="14"/>
  <c r="M13" i="14"/>
  <c r="N13" i="14"/>
  <c r="Q13" i="14"/>
  <c r="AC12" i="14"/>
  <c r="AD12" i="14"/>
  <c r="H12" i="14"/>
  <c r="J12" i="14" s="1"/>
  <c r="I12" i="14"/>
  <c r="M12" i="14"/>
  <c r="N12" i="14"/>
  <c r="Q12" i="14"/>
  <c r="AC11" i="14"/>
  <c r="AD11" i="14"/>
  <c r="H11" i="14"/>
  <c r="J11" i="14" s="1"/>
  <c r="I11" i="14"/>
  <c r="M11" i="14"/>
  <c r="N11" i="14"/>
  <c r="Q11" i="14"/>
  <c r="AC10" i="14"/>
  <c r="AD10" i="14"/>
  <c r="H10" i="14"/>
  <c r="J10" i="14" s="1"/>
  <c r="I10" i="14"/>
  <c r="M10" i="14"/>
  <c r="N10" i="14"/>
  <c r="Q10" i="14"/>
  <c r="AC9" i="14"/>
  <c r="AD9" i="14"/>
  <c r="I9" i="14"/>
  <c r="M9" i="14"/>
  <c r="N9" i="14"/>
  <c r="AC8" i="14"/>
  <c r="AD8" i="14"/>
  <c r="I8" i="14"/>
  <c r="M8" i="14"/>
  <c r="N8" i="14"/>
  <c r="AC7" i="14"/>
  <c r="AD7" i="14"/>
  <c r="I7" i="14"/>
  <c r="J7" i="14" s="1"/>
  <c r="M7" i="14"/>
  <c r="N7" i="14"/>
  <c r="AC6" i="14"/>
  <c r="AD6" i="14"/>
  <c r="I6" i="14"/>
  <c r="J6" i="14" s="1"/>
  <c r="M6" i="14"/>
  <c r="N6" i="14"/>
  <c r="H53" i="12"/>
  <c r="J53" i="12" s="1"/>
  <c r="I53" i="12"/>
  <c r="L53" i="12"/>
  <c r="M53" i="12"/>
  <c r="P53" i="12"/>
  <c r="H50" i="12"/>
  <c r="J50" i="12" s="1"/>
  <c r="I50" i="12"/>
  <c r="L50" i="12"/>
  <c r="M50" i="12"/>
  <c r="P50" i="12"/>
  <c r="H47" i="12"/>
  <c r="J47" i="12" s="1"/>
  <c r="I47" i="12"/>
  <c r="L47" i="12"/>
  <c r="M47" i="12"/>
  <c r="P47" i="12"/>
  <c r="H44" i="12"/>
  <c r="J44" i="12" s="1"/>
  <c r="I44" i="12"/>
  <c r="L44" i="12"/>
  <c r="M44" i="12"/>
  <c r="P44" i="12"/>
  <c r="H39" i="12"/>
  <c r="J39" i="12" s="1"/>
  <c r="I39" i="12"/>
  <c r="L39" i="12"/>
  <c r="M39" i="12"/>
  <c r="P39" i="12"/>
  <c r="I37" i="12"/>
  <c r="H37" i="12"/>
  <c r="J37" i="12" s="1"/>
  <c r="P37" i="12"/>
  <c r="L37" i="12"/>
  <c r="M37" i="12"/>
  <c r="H34" i="12"/>
  <c r="J34" i="12" s="1"/>
  <c r="I34" i="12"/>
  <c r="L34" i="12"/>
  <c r="M34" i="12"/>
  <c r="P34" i="12"/>
  <c r="AB33" i="12"/>
  <c r="AC33" i="12"/>
  <c r="H33" i="12"/>
  <c r="J33" i="12" s="1"/>
  <c r="I33" i="12"/>
  <c r="L33" i="12"/>
  <c r="M33" i="12"/>
  <c r="P33" i="12"/>
  <c r="AB31" i="12"/>
  <c r="AC31" i="12"/>
  <c r="H28" i="12"/>
  <c r="J28" i="12" s="1"/>
  <c r="I28" i="12"/>
  <c r="L28" i="12"/>
  <c r="M28" i="12"/>
  <c r="P28" i="12"/>
  <c r="I27" i="12"/>
  <c r="L27" i="12"/>
  <c r="H27" i="12"/>
  <c r="J27" i="12" s="1"/>
  <c r="M27" i="12"/>
  <c r="P27" i="12"/>
  <c r="AB26" i="12"/>
  <c r="AC26" i="12"/>
  <c r="AB22" i="12"/>
  <c r="AC22" i="12"/>
  <c r="H22" i="12"/>
  <c r="J22" i="12" s="1"/>
  <c r="I22" i="12"/>
  <c r="L22" i="12"/>
  <c r="M22" i="12"/>
  <c r="P22" i="12"/>
  <c r="AB21" i="12"/>
  <c r="AC21" i="12"/>
  <c r="AB19" i="12"/>
  <c r="AC19" i="12"/>
  <c r="AB12" i="12"/>
  <c r="AC12" i="12"/>
  <c r="I12" i="12"/>
  <c r="J12" i="12" s="1"/>
  <c r="L12" i="12"/>
  <c r="M12" i="12"/>
  <c r="AB8" i="12"/>
  <c r="AC8" i="12"/>
  <c r="I8" i="12"/>
  <c r="J8" i="12" s="1"/>
  <c r="L8" i="12"/>
  <c r="M8" i="12"/>
  <c r="AB5" i="12"/>
  <c r="AC5" i="12"/>
  <c r="L5" i="12"/>
  <c r="M5" i="12"/>
  <c r="P5" i="12"/>
  <c r="H58" i="11"/>
  <c r="I58" i="11"/>
  <c r="J58" i="11" s="1"/>
  <c r="M58" i="11"/>
  <c r="N58" i="11"/>
  <c r="Q58" i="11"/>
  <c r="H56" i="11"/>
  <c r="I56" i="11"/>
  <c r="J56" i="11" s="1"/>
  <c r="M56" i="11"/>
  <c r="N56" i="11"/>
  <c r="Q56" i="11"/>
  <c r="H54" i="11"/>
  <c r="I54" i="11"/>
  <c r="J54" i="11" s="1"/>
  <c r="M54" i="11"/>
  <c r="N54" i="11"/>
  <c r="Q54" i="11"/>
  <c r="H53" i="11"/>
  <c r="I53" i="11"/>
  <c r="J53" i="11" s="1"/>
  <c r="M53" i="11"/>
  <c r="N53" i="11"/>
  <c r="Q53" i="11"/>
  <c r="H52" i="11"/>
  <c r="I52" i="11"/>
  <c r="J52" i="11" s="1"/>
  <c r="M52" i="11"/>
  <c r="N52" i="11"/>
  <c r="Q52" i="11"/>
  <c r="H51" i="11"/>
  <c r="I51" i="11"/>
  <c r="J51" i="11" s="1"/>
  <c r="M51" i="11"/>
  <c r="N51" i="11"/>
  <c r="Q51" i="11"/>
  <c r="H41" i="10"/>
  <c r="J41" i="10" s="1"/>
  <c r="I41" i="10"/>
  <c r="M41" i="10"/>
  <c r="N41" i="10"/>
  <c r="Q41" i="10"/>
  <c r="H35" i="10"/>
  <c r="J35" i="10" s="1"/>
  <c r="I35" i="10"/>
  <c r="M35" i="10"/>
  <c r="N35" i="10"/>
  <c r="Q35" i="10"/>
  <c r="H34" i="10"/>
  <c r="J34" i="10" s="1"/>
  <c r="N34" i="10"/>
  <c r="Q34" i="10"/>
  <c r="M34" i="10"/>
  <c r="I34" i="10"/>
  <c r="H33" i="10"/>
  <c r="J33" i="10" s="1"/>
  <c r="I33" i="10"/>
  <c r="M33" i="10"/>
  <c r="N33" i="10"/>
  <c r="Q33" i="10"/>
  <c r="AD31" i="10"/>
  <c r="AC31" i="10"/>
  <c r="I31" i="10"/>
  <c r="H31" i="10"/>
  <c r="J31" i="10" s="1"/>
  <c r="M31" i="10"/>
  <c r="N31" i="10"/>
  <c r="Q31" i="10"/>
  <c r="AC30" i="10"/>
  <c r="AD30" i="10"/>
  <c r="AC29" i="10"/>
  <c r="AD29" i="10"/>
  <c r="H28" i="10"/>
  <c r="J28" i="10" s="1"/>
  <c r="I28" i="10"/>
  <c r="M28" i="10"/>
  <c r="N28" i="10"/>
  <c r="Q28" i="10"/>
  <c r="H27" i="10"/>
  <c r="J27" i="10" s="1"/>
  <c r="I27" i="10"/>
  <c r="M27" i="10"/>
  <c r="N27" i="10"/>
  <c r="Q27" i="10"/>
  <c r="H26" i="10"/>
  <c r="J26" i="10" s="1"/>
  <c r="I26" i="10"/>
  <c r="M26" i="10"/>
  <c r="N26" i="10"/>
  <c r="Q26" i="10"/>
  <c r="AC25" i="10"/>
  <c r="AD25" i="10"/>
  <c r="H20" i="10"/>
  <c r="J20" i="10" s="1"/>
  <c r="I20" i="10"/>
  <c r="M20" i="10"/>
  <c r="N20" i="10"/>
  <c r="Q20" i="10"/>
  <c r="H17" i="10"/>
  <c r="J17" i="10" s="1"/>
  <c r="I17" i="10"/>
  <c r="M17" i="10"/>
  <c r="N17" i="10"/>
  <c r="Q17" i="10"/>
  <c r="AC13" i="10"/>
  <c r="AD13" i="10"/>
  <c r="H13" i="10"/>
  <c r="J13" i="10" s="1"/>
  <c r="I13" i="10"/>
  <c r="M13" i="10"/>
  <c r="N13" i="10"/>
  <c r="Q13" i="10"/>
  <c r="AC11" i="10"/>
  <c r="AD11" i="10"/>
  <c r="H11" i="10"/>
  <c r="J11" i="10" s="1"/>
  <c r="I11" i="10"/>
  <c r="M11" i="10"/>
  <c r="N11" i="10"/>
  <c r="Q11" i="10"/>
  <c r="AC8" i="10"/>
  <c r="AD8" i="10"/>
  <c r="H8" i="10"/>
  <c r="J8" i="10" s="1"/>
  <c r="I8" i="10"/>
  <c r="M8" i="10"/>
  <c r="N8" i="10"/>
  <c r="Q8" i="10"/>
  <c r="AC6" i="10"/>
  <c r="AD6" i="10"/>
  <c r="I6" i="10"/>
  <c r="J6" i="10" s="1"/>
  <c r="M6" i="10"/>
  <c r="N6" i="10"/>
  <c r="H46" i="9"/>
  <c r="J46" i="9" s="1"/>
  <c r="I46" i="9"/>
  <c r="M46" i="9"/>
  <c r="N46" i="9"/>
  <c r="Q46" i="9"/>
  <c r="H42" i="9"/>
  <c r="J42" i="9" s="1"/>
  <c r="I42" i="9"/>
  <c r="M42" i="9"/>
  <c r="N42" i="9"/>
  <c r="Q42" i="9"/>
  <c r="H35" i="9"/>
  <c r="J35" i="9" s="1"/>
  <c r="I35" i="9"/>
  <c r="M35" i="9"/>
  <c r="N35" i="9"/>
  <c r="Q35" i="9"/>
  <c r="M34" i="9"/>
  <c r="N34" i="9"/>
  <c r="Q34" i="9"/>
  <c r="H34" i="9"/>
  <c r="J34" i="9" s="1"/>
  <c r="I34" i="9"/>
  <c r="AC32" i="9"/>
  <c r="AD32" i="9"/>
  <c r="H32" i="9"/>
  <c r="J32" i="9" s="1"/>
  <c r="I32" i="9"/>
  <c r="M32" i="9"/>
  <c r="N32" i="9"/>
  <c r="Q32" i="9"/>
  <c r="AC28" i="9"/>
  <c r="AD28" i="9"/>
  <c r="H28" i="9"/>
  <c r="I28" i="9"/>
  <c r="J28" i="9" s="1"/>
  <c r="M28" i="9"/>
  <c r="N28" i="9"/>
  <c r="Q28" i="9"/>
  <c r="AC25" i="9"/>
  <c r="AD25" i="9"/>
  <c r="AC22" i="9"/>
  <c r="AD22" i="9"/>
  <c r="H22" i="9"/>
  <c r="I22" i="9"/>
  <c r="J22" i="9" s="1"/>
  <c r="M22" i="9"/>
  <c r="N22" i="9"/>
  <c r="Q22" i="9"/>
  <c r="AC10" i="9"/>
  <c r="AD10" i="9"/>
  <c r="H23" i="7"/>
  <c r="J23" i="7" s="1"/>
  <c r="I23" i="7"/>
  <c r="M23" i="7"/>
  <c r="N23" i="7"/>
  <c r="Q23" i="7"/>
  <c r="AC21" i="7"/>
  <c r="AD21" i="7"/>
  <c r="I18" i="7"/>
  <c r="M18" i="7"/>
  <c r="N18" i="7"/>
  <c r="Q18" i="7"/>
  <c r="H18" i="7"/>
  <c r="J18" i="7" s="1"/>
  <c r="H15" i="7"/>
  <c r="J15" i="7" s="1"/>
  <c r="I15" i="7"/>
  <c r="M15" i="7"/>
  <c r="Q15" i="7"/>
  <c r="N15" i="7"/>
  <c r="I13" i="7"/>
  <c r="M13" i="7"/>
  <c r="N13" i="7"/>
  <c r="Q13" i="7"/>
  <c r="H13" i="7"/>
  <c r="J13" i="7" s="1"/>
  <c r="AC11" i="7"/>
  <c r="AD11" i="7"/>
  <c r="I11" i="7"/>
  <c r="M11" i="7"/>
  <c r="N11" i="7"/>
  <c r="Q11" i="7"/>
  <c r="H11" i="7"/>
  <c r="J11" i="7" s="1"/>
  <c r="AC8" i="7"/>
  <c r="AD8" i="7"/>
  <c r="H8" i="7"/>
  <c r="J8" i="7" s="1"/>
  <c r="I8" i="7"/>
  <c r="M8" i="7"/>
  <c r="N8" i="7"/>
  <c r="Q8" i="7"/>
  <c r="AC4" i="7"/>
  <c r="AD4" i="7" s="1"/>
  <c r="I4" i="7"/>
  <c r="M4" i="7"/>
  <c r="N4" i="7"/>
  <c r="C4" i="7"/>
  <c r="AJ7" i="7"/>
  <c r="AL7" i="7"/>
  <c r="AL10" i="7"/>
  <c r="AK12" i="7"/>
  <c r="AL12" i="7"/>
  <c r="AM12" i="7"/>
  <c r="AO12" i="7"/>
  <c r="AP12" i="7"/>
  <c r="AJ14" i="7"/>
  <c r="AK14" i="7"/>
  <c r="AM14" i="7"/>
  <c r="AN14" i="7"/>
  <c r="AO14" i="7"/>
  <c r="AP14" i="7"/>
  <c r="AJ15" i="7"/>
  <c r="AL15" i="7"/>
  <c r="AO15" i="7"/>
  <c r="AJ10" i="7"/>
  <c r="AJ12" i="7"/>
  <c r="AN12" i="7"/>
  <c r="AJ5" i="7"/>
  <c r="AL5" i="7"/>
  <c r="AJ6" i="7"/>
  <c r="AL6" i="7"/>
  <c r="AJ11" i="7"/>
  <c r="AL11" i="7"/>
  <c r="AK15" i="7"/>
  <c r="AM15" i="7"/>
  <c r="AP15" i="7"/>
  <c r="AJ4" i="7"/>
  <c r="AL4" i="7"/>
  <c r="AJ8" i="7"/>
  <c r="AL8" i="7"/>
  <c r="AJ9" i="7"/>
  <c r="AL9" i="7"/>
  <c r="AJ13" i="7"/>
  <c r="AK13" i="7"/>
  <c r="AL13" i="7"/>
  <c r="AM13" i="7"/>
  <c r="AN13" i="7"/>
  <c r="AO13" i="7"/>
  <c r="AP13" i="7"/>
  <c r="AL14" i="7"/>
  <c r="AN15" i="7"/>
  <c r="H63" i="6"/>
  <c r="I63" i="6"/>
  <c r="J63" i="6" s="1"/>
  <c r="M63" i="6"/>
  <c r="N63" i="6"/>
  <c r="Q63" i="6"/>
  <c r="H62" i="6"/>
  <c r="I62" i="6"/>
  <c r="J62" i="6" s="1"/>
  <c r="M62" i="6"/>
  <c r="N62" i="6"/>
  <c r="Q62" i="6"/>
  <c r="H61" i="6"/>
  <c r="I61" i="6"/>
  <c r="J61" i="6" s="1"/>
  <c r="M61" i="6"/>
  <c r="N61" i="6"/>
  <c r="Q61" i="6"/>
  <c r="H57" i="6"/>
  <c r="I57" i="6"/>
  <c r="J57" i="6" s="1"/>
  <c r="M57" i="6"/>
  <c r="N57" i="6"/>
  <c r="Q57" i="6"/>
  <c r="H55" i="6"/>
  <c r="I55" i="6"/>
  <c r="J55" i="6" s="1"/>
  <c r="M55" i="6"/>
  <c r="N55" i="6"/>
  <c r="Q55" i="6"/>
  <c r="H53" i="6"/>
  <c r="I53" i="6"/>
  <c r="J53" i="6" s="1"/>
  <c r="M53" i="6"/>
  <c r="N53" i="6"/>
  <c r="Q53" i="6"/>
  <c r="H51" i="6"/>
  <c r="I51" i="6"/>
  <c r="J51" i="6" s="1"/>
  <c r="M51" i="6"/>
  <c r="N51" i="6"/>
  <c r="Q51" i="6"/>
  <c r="H50" i="6"/>
  <c r="I50" i="6"/>
  <c r="J50" i="6" s="1"/>
  <c r="M50" i="6"/>
  <c r="N50" i="6"/>
  <c r="Q50" i="6"/>
  <c r="H47" i="6"/>
  <c r="I47" i="6"/>
  <c r="J47" i="6" s="1"/>
  <c r="M47" i="6"/>
  <c r="N47" i="6"/>
  <c r="Q47" i="6"/>
  <c r="H42" i="6"/>
  <c r="I42" i="6"/>
  <c r="J42" i="6" s="1"/>
  <c r="M42" i="6"/>
  <c r="N42" i="6"/>
  <c r="Q42" i="6"/>
  <c r="M40" i="6"/>
  <c r="N40" i="6"/>
  <c r="Q40" i="6"/>
  <c r="H40" i="6"/>
  <c r="I40" i="6"/>
  <c r="J40" i="6" s="1"/>
  <c r="H39" i="6"/>
  <c r="I39" i="6"/>
  <c r="J39" i="6" s="1"/>
  <c r="M39" i="6"/>
  <c r="N39" i="6"/>
  <c r="Q39" i="6"/>
  <c r="H38" i="6"/>
  <c r="I38" i="6"/>
  <c r="J38" i="6" s="1"/>
  <c r="M38" i="6"/>
  <c r="N38" i="6"/>
  <c r="Q38" i="6"/>
  <c r="AC30" i="6"/>
  <c r="AD30" i="6"/>
  <c r="AC28" i="6"/>
  <c r="AD28" i="6"/>
  <c r="AC27" i="6"/>
  <c r="AD27" i="6"/>
  <c r="AC24" i="6"/>
  <c r="AD24" i="6"/>
  <c r="H50" i="11"/>
  <c r="I50" i="11"/>
  <c r="J50" i="11" s="1"/>
  <c r="M50" i="11"/>
  <c r="N50" i="11"/>
  <c r="Q50" i="11"/>
  <c r="H49" i="11"/>
  <c r="I49" i="11"/>
  <c r="J49" i="11" s="1"/>
  <c r="M49" i="11"/>
  <c r="N49" i="11"/>
  <c r="Q49" i="11"/>
  <c r="H48" i="11"/>
  <c r="I48" i="11"/>
  <c r="J48" i="11" s="1"/>
  <c r="M48" i="11"/>
  <c r="N48" i="11"/>
  <c r="Q48" i="11"/>
  <c r="H47" i="11"/>
  <c r="I47" i="11"/>
  <c r="J47" i="11" s="1"/>
  <c r="M47" i="11"/>
  <c r="N47" i="11"/>
  <c r="Q47" i="11"/>
  <c r="H46" i="11"/>
  <c r="I46" i="11"/>
  <c r="J46" i="11" s="1"/>
  <c r="M46" i="11"/>
  <c r="N46" i="11"/>
  <c r="Q46" i="11"/>
  <c r="H45" i="11"/>
  <c r="I45" i="11"/>
  <c r="J45" i="11" s="1"/>
  <c r="M45" i="11"/>
  <c r="N45" i="11"/>
  <c r="Q45" i="11"/>
  <c r="H44" i="11"/>
  <c r="I44" i="11"/>
  <c r="J44" i="11" s="1"/>
  <c r="M44" i="11"/>
  <c r="N44" i="11"/>
  <c r="Q44" i="11"/>
  <c r="H43" i="11"/>
  <c r="I43" i="11"/>
  <c r="J43" i="11" s="1"/>
  <c r="M43" i="11"/>
  <c r="N43" i="11"/>
  <c r="Q43" i="11"/>
  <c r="H42" i="11"/>
  <c r="I42" i="11"/>
  <c r="J42" i="11" s="1"/>
  <c r="M42" i="11"/>
  <c r="N42" i="11"/>
  <c r="Q42" i="11"/>
  <c r="H41" i="11"/>
  <c r="I41" i="11"/>
  <c r="J41" i="11" s="1"/>
  <c r="M41" i="11"/>
  <c r="N41" i="11"/>
  <c r="Q41" i="11"/>
  <c r="H40" i="11"/>
  <c r="I40" i="11"/>
  <c r="J40" i="11" s="1"/>
  <c r="M40" i="11"/>
  <c r="N40" i="11"/>
  <c r="Q40" i="11"/>
  <c r="H39" i="11"/>
  <c r="I39" i="11"/>
  <c r="J39" i="11" s="1"/>
  <c r="M39" i="11"/>
  <c r="N39" i="11"/>
  <c r="Q39" i="11"/>
  <c r="H38" i="11"/>
  <c r="I38" i="11"/>
  <c r="J38" i="11" s="1"/>
  <c r="M38" i="11"/>
  <c r="N38" i="11"/>
  <c r="Q38" i="11"/>
  <c r="H37" i="11"/>
  <c r="I37" i="11"/>
  <c r="J37" i="11" s="1"/>
  <c r="M37" i="11"/>
  <c r="N37" i="11"/>
  <c r="Q37" i="11"/>
  <c r="H36" i="11"/>
  <c r="I36" i="11"/>
  <c r="J36" i="11" s="1"/>
  <c r="M36" i="11"/>
  <c r="N36" i="11"/>
  <c r="Q36" i="11"/>
  <c r="H35" i="11"/>
  <c r="I35" i="11"/>
  <c r="J35" i="11" s="1"/>
  <c r="M35" i="11"/>
  <c r="N35" i="11"/>
  <c r="Q35" i="11"/>
  <c r="H34" i="11"/>
  <c r="I34" i="11"/>
  <c r="J34" i="11" s="1"/>
  <c r="M34" i="11"/>
  <c r="N34" i="11"/>
  <c r="Q34" i="11"/>
  <c r="AC33" i="11"/>
  <c r="AD33" i="11"/>
  <c r="H33" i="11"/>
  <c r="I33" i="11"/>
  <c r="J33" i="11" s="1"/>
  <c r="M33" i="11"/>
  <c r="N33" i="11"/>
  <c r="Q33" i="11"/>
  <c r="AC32" i="11"/>
  <c r="AD32" i="11"/>
  <c r="H32" i="11"/>
  <c r="I32" i="11"/>
  <c r="J32" i="11" s="1"/>
  <c r="M32" i="11"/>
  <c r="N32" i="11"/>
  <c r="Q32" i="11"/>
  <c r="AC31" i="11"/>
  <c r="AD31" i="11"/>
  <c r="H31" i="11"/>
  <c r="I31" i="11"/>
  <c r="J31" i="11" s="1"/>
  <c r="M31" i="11"/>
  <c r="N31" i="11"/>
  <c r="Q31" i="11"/>
  <c r="AC30" i="11"/>
  <c r="AD30" i="11"/>
  <c r="H30" i="11"/>
  <c r="I30" i="11"/>
  <c r="J30" i="11" s="1"/>
  <c r="M30" i="11"/>
  <c r="N30" i="11"/>
  <c r="Q30" i="11"/>
  <c r="AC29" i="11"/>
  <c r="AD29" i="11"/>
  <c r="H29" i="11"/>
  <c r="I29" i="11"/>
  <c r="J29" i="11" s="1"/>
  <c r="M29" i="11"/>
  <c r="N29" i="11"/>
  <c r="Q29" i="11"/>
  <c r="AC28" i="11"/>
  <c r="AD28" i="11"/>
  <c r="H28" i="11"/>
  <c r="I28" i="11"/>
  <c r="J28" i="11" s="1"/>
  <c r="M28" i="11"/>
  <c r="N28" i="11"/>
  <c r="Q28" i="11"/>
  <c r="AC27" i="11"/>
  <c r="AD27" i="11"/>
  <c r="H27" i="11"/>
  <c r="I27" i="11"/>
  <c r="J27" i="11" s="1"/>
  <c r="M27" i="11"/>
  <c r="N27" i="11"/>
  <c r="Q27" i="11"/>
  <c r="AC26" i="11"/>
  <c r="AD26" i="11"/>
  <c r="H26" i="11"/>
  <c r="I26" i="11"/>
  <c r="J26" i="11" s="1"/>
  <c r="M26" i="11"/>
  <c r="N26" i="11"/>
  <c r="Q26" i="11"/>
  <c r="AC25" i="11"/>
  <c r="AD25" i="11"/>
  <c r="H25" i="11"/>
  <c r="I25" i="11"/>
  <c r="J25" i="11" s="1"/>
  <c r="M25" i="11"/>
  <c r="N25" i="11"/>
  <c r="Q25" i="11"/>
  <c r="AC24" i="11"/>
  <c r="AD24" i="11"/>
  <c r="H24" i="11"/>
  <c r="I24" i="11"/>
  <c r="J24" i="11" s="1"/>
  <c r="M24" i="11"/>
  <c r="N24" i="11"/>
  <c r="Q24" i="11"/>
  <c r="AC23" i="11"/>
  <c r="AD23" i="11"/>
  <c r="H23" i="11"/>
  <c r="I23" i="11"/>
  <c r="J23" i="11" s="1"/>
  <c r="M23" i="11"/>
  <c r="N23" i="11"/>
  <c r="Q23" i="11"/>
  <c r="AC22" i="11"/>
  <c r="AD22" i="11"/>
  <c r="H22" i="11"/>
  <c r="I22" i="11"/>
  <c r="J22" i="11" s="1"/>
  <c r="M22" i="11"/>
  <c r="N22" i="11"/>
  <c r="Q22" i="11"/>
  <c r="AC21" i="11"/>
  <c r="AD21" i="11"/>
  <c r="H21" i="11"/>
  <c r="I21" i="11"/>
  <c r="J21" i="11" s="1"/>
  <c r="M21" i="11"/>
  <c r="N21" i="11"/>
  <c r="Q21" i="11"/>
  <c r="AC20" i="11"/>
  <c r="AD20" i="11"/>
  <c r="H20" i="11"/>
  <c r="I20" i="11"/>
  <c r="J20" i="11" s="1"/>
  <c r="M20" i="11"/>
  <c r="N20" i="11"/>
  <c r="Q20" i="11"/>
  <c r="AC19" i="11"/>
  <c r="AD19" i="11"/>
  <c r="H19" i="11"/>
  <c r="I19" i="11"/>
  <c r="J19" i="11" s="1"/>
  <c r="M19" i="11"/>
  <c r="N19" i="11"/>
  <c r="Q19" i="11"/>
  <c r="AC18" i="11"/>
  <c r="AD18" i="11"/>
  <c r="H18" i="11"/>
  <c r="I18" i="11"/>
  <c r="J18" i="11" s="1"/>
  <c r="M18" i="11"/>
  <c r="N18" i="11"/>
  <c r="Q18" i="11"/>
  <c r="AC17" i="11"/>
  <c r="AD17" i="11"/>
  <c r="H17" i="11"/>
  <c r="I17" i="11"/>
  <c r="J17" i="11" s="1"/>
  <c r="M17" i="11"/>
  <c r="N17" i="11"/>
  <c r="Q17" i="11"/>
  <c r="AC16" i="11"/>
  <c r="AD16" i="11"/>
  <c r="H16" i="11"/>
  <c r="I16" i="11"/>
  <c r="J16" i="11" s="1"/>
  <c r="M16" i="11"/>
  <c r="N16" i="11"/>
  <c r="Q16" i="11"/>
  <c r="AC15" i="11"/>
  <c r="AD15" i="11"/>
  <c r="H15" i="11"/>
  <c r="I15" i="11"/>
  <c r="J15" i="11" s="1"/>
  <c r="M15" i="11"/>
  <c r="N15" i="11"/>
  <c r="Q15" i="11"/>
  <c r="AC14" i="11"/>
  <c r="AD14" i="11"/>
  <c r="H14" i="11"/>
  <c r="I14" i="11"/>
  <c r="J14" i="11" s="1"/>
  <c r="M14" i="11"/>
  <c r="N14" i="11"/>
  <c r="Q14" i="11"/>
  <c r="AC13" i="11"/>
  <c r="AD13" i="11"/>
  <c r="H13" i="11"/>
  <c r="I13" i="11"/>
  <c r="J13" i="11" s="1"/>
  <c r="M13" i="11"/>
  <c r="N13" i="11"/>
  <c r="Q13" i="11"/>
  <c r="AC12" i="11"/>
  <c r="AD12" i="11"/>
  <c r="H12" i="11"/>
  <c r="I12" i="11"/>
  <c r="J12" i="11" s="1"/>
  <c r="M12" i="11"/>
  <c r="N12" i="11"/>
  <c r="Q12" i="11"/>
  <c r="AC11" i="11"/>
  <c r="AD11" i="11"/>
  <c r="I11" i="11"/>
  <c r="J11" i="11" s="1"/>
  <c r="M11" i="11"/>
  <c r="N11" i="11"/>
  <c r="AC10" i="11"/>
  <c r="AD10" i="11"/>
  <c r="I10" i="11"/>
  <c r="J10" i="11" s="1"/>
  <c r="M10" i="11"/>
  <c r="N10" i="11"/>
  <c r="AC9" i="11"/>
  <c r="AD9" i="11"/>
  <c r="I9" i="11"/>
  <c r="M9" i="11"/>
  <c r="AN11" i="11" s="1"/>
  <c r="N9" i="11"/>
  <c r="AM11" i="11" s="1"/>
  <c r="AC8" i="11"/>
  <c r="AD8" i="11"/>
  <c r="I8" i="11"/>
  <c r="J8" i="11" s="1"/>
  <c r="M8" i="11"/>
  <c r="N8" i="11"/>
  <c r="AC7" i="11"/>
  <c r="AD7" i="11"/>
  <c r="I7" i="11"/>
  <c r="M7" i="11"/>
  <c r="N7" i="11"/>
  <c r="AC6" i="11"/>
  <c r="AD6" i="11"/>
  <c r="M6" i="11"/>
  <c r="AN10" i="11" s="1"/>
  <c r="N6" i="11"/>
  <c r="AM10" i="11" s="1"/>
  <c r="AC5" i="11"/>
  <c r="AD5" i="11"/>
  <c r="N5" i="11"/>
  <c r="AM9" i="11" s="1"/>
  <c r="AC4" i="11"/>
  <c r="I4" i="11"/>
  <c r="J4" i="11" s="1"/>
  <c r="M4" i="11"/>
  <c r="N4" i="11"/>
  <c r="C4" i="11"/>
  <c r="AJ4" i="11"/>
  <c r="AL4" i="11"/>
  <c r="AM4" i="11"/>
  <c r="AJ5" i="11"/>
  <c r="AL5" i="11"/>
  <c r="AJ6" i="11"/>
  <c r="AL6" i="11"/>
  <c r="AJ7" i="11"/>
  <c r="AL7" i="11"/>
  <c r="AJ8" i="11"/>
  <c r="AL8" i="11"/>
  <c r="AJ9" i="11"/>
  <c r="AL9" i="11"/>
  <c r="AJ10" i="11"/>
  <c r="AL10" i="11"/>
  <c r="AJ11" i="11"/>
  <c r="AL11" i="11"/>
  <c r="AJ12" i="11"/>
  <c r="AK12" i="11"/>
  <c r="AL12" i="11"/>
  <c r="AM12" i="11"/>
  <c r="AN12" i="11"/>
  <c r="AO12" i="11"/>
  <c r="AP12" i="11"/>
  <c r="AJ13" i="11"/>
  <c r="AK13" i="11"/>
  <c r="AL13" i="11"/>
  <c r="AM13" i="11"/>
  <c r="AN13" i="11"/>
  <c r="AO13" i="11"/>
  <c r="AP13" i="11"/>
  <c r="AJ14" i="11"/>
  <c r="AK14" i="11"/>
  <c r="AL14" i="11"/>
  <c r="AM14" i="11"/>
  <c r="AN14" i="11"/>
  <c r="AO14" i="11"/>
  <c r="AP14" i="11"/>
  <c r="AJ15" i="11"/>
  <c r="AK15" i="11"/>
  <c r="AL15" i="11"/>
  <c r="AM15" i="11"/>
  <c r="AN15" i="11"/>
  <c r="AO15" i="11"/>
  <c r="AP15" i="11"/>
  <c r="H63" i="10"/>
  <c r="J63" i="10" s="1"/>
  <c r="I63" i="10"/>
  <c r="M63" i="10"/>
  <c r="N63" i="10"/>
  <c r="Q63" i="10"/>
  <c r="H62" i="10"/>
  <c r="J62" i="10" s="1"/>
  <c r="I62" i="10"/>
  <c r="M62" i="10"/>
  <c r="N62" i="10"/>
  <c r="Q62" i="10"/>
  <c r="H61" i="10"/>
  <c r="J61" i="10" s="1"/>
  <c r="I61" i="10"/>
  <c r="M61" i="10"/>
  <c r="N61" i="10"/>
  <c r="Q61" i="10"/>
  <c r="H60" i="10"/>
  <c r="J60" i="10" s="1"/>
  <c r="I60" i="10"/>
  <c r="M60" i="10"/>
  <c r="N60" i="10"/>
  <c r="Q60" i="10"/>
  <c r="H59" i="10"/>
  <c r="J59" i="10" s="1"/>
  <c r="I59" i="10"/>
  <c r="M59" i="10"/>
  <c r="N59" i="10"/>
  <c r="Q59" i="10"/>
  <c r="H58" i="10"/>
  <c r="J58" i="10" s="1"/>
  <c r="I58" i="10"/>
  <c r="M58" i="10"/>
  <c r="N58" i="10"/>
  <c r="Q58" i="10"/>
  <c r="H57" i="10"/>
  <c r="J57" i="10" s="1"/>
  <c r="I57" i="10"/>
  <c r="M57" i="10"/>
  <c r="N57" i="10"/>
  <c r="Q57" i="10"/>
  <c r="H56" i="10"/>
  <c r="J56" i="10" s="1"/>
  <c r="I56" i="10"/>
  <c r="M56" i="10"/>
  <c r="N56" i="10"/>
  <c r="Q56" i="10"/>
  <c r="H55" i="10"/>
  <c r="J55" i="10" s="1"/>
  <c r="I55" i="10"/>
  <c r="M55" i="10"/>
  <c r="N55" i="10"/>
  <c r="Q55" i="10"/>
  <c r="H54" i="10"/>
  <c r="J54" i="10" s="1"/>
  <c r="I54" i="10"/>
  <c r="M54" i="10"/>
  <c r="N54" i="10"/>
  <c r="Q54" i="10"/>
  <c r="H53" i="10"/>
  <c r="J53" i="10" s="1"/>
  <c r="I53" i="10"/>
  <c r="M53" i="10"/>
  <c r="N53" i="10"/>
  <c r="Q53" i="10"/>
  <c r="H52" i="10"/>
  <c r="J52" i="10" s="1"/>
  <c r="I52" i="10"/>
  <c r="M52" i="10"/>
  <c r="N52" i="10"/>
  <c r="Q52" i="10"/>
  <c r="H51" i="10"/>
  <c r="J51" i="10" s="1"/>
  <c r="I51" i="10"/>
  <c r="M51" i="10"/>
  <c r="N51" i="10"/>
  <c r="Q51" i="10"/>
  <c r="H50" i="10"/>
  <c r="J50" i="10" s="1"/>
  <c r="I50" i="10"/>
  <c r="M50" i="10"/>
  <c r="N50" i="10"/>
  <c r="Q50" i="10"/>
  <c r="H49" i="10"/>
  <c r="J49" i="10" s="1"/>
  <c r="I49" i="10"/>
  <c r="M49" i="10"/>
  <c r="N49" i="10"/>
  <c r="Q49" i="10"/>
  <c r="H48" i="10"/>
  <c r="J48" i="10" s="1"/>
  <c r="I48" i="10"/>
  <c r="M48" i="10"/>
  <c r="N48" i="10"/>
  <c r="Q48" i="10"/>
  <c r="H47" i="10"/>
  <c r="J47" i="10" s="1"/>
  <c r="I47" i="10"/>
  <c r="M47" i="10"/>
  <c r="N47" i="10"/>
  <c r="Q47" i="10"/>
  <c r="H46" i="10"/>
  <c r="J46" i="10" s="1"/>
  <c r="I46" i="10"/>
  <c r="M46" i="10"/>
  <c r="N46" i="10"/>
  <c r="Q46" i="10"/>
  <c r="AC33" i="10"/>
  <c r="AD33" i="10"/>
  <c r="H32" i="10"/>
  <c r="J32" i="10" s="1"/>
  <c r="I32" i="10"/>
  <c r="M32" i="10"/>
  <c r="N32" i="10"/>
  <c r="Q32" i="10"/>
  <c r="I30" i="10"/>
  <c r="M30" i="10"/>
  <c r="N30" i="10"/>
  <c r="Q30" i="10"/>
  <c r="H30" i="10"/>
  <c r="J30" i="10" s="1"/>
  <c r="AC27" i="10"/>
  <c r="AD27" i="10"/>
  <c r="I21" i="10"/>
  <c r="M21" i="10"/>
  <c r="Q21" i="10"/>
  <c r="N21" i="10"/>
  <c r="H21" i="10"/>
  <c r="J21" i="10" s="1"/>
  <c r="AD17" i="10"/>
  <c r="AC17" i="10"/>
  <c r="AC10" i="10"/>
  <c r="AD10" i="10"/>
  <c r="H10" i="10"/>
  <c r="J10" i="10" s="1"/>
  <c r="I10" i="10"/>
  <c r="M10" i="10"/>
  <c r="N10" i="10"/>
  <c r="Q10" i="10"/>
  <c r="M47" i="9"/>
  <c r="N47" i="9"/>
  <c r="Q47" i="9"/>
  <c r="H47" i="9"/>
  <c r="J47" i="9" s="1"/>
  <c r="I47" i="9"/>
  <c r="H39" i="9"/>
  <c r="J39" i="9" s="1"/>
  <c r="I39" i="9"/>
  <c r="N39" i="9"/>
  <c r="M39" i="9"/>
  <c r="Q39" i="9"/>
  <c r="AC29" i="9"/>
  <c r="AD29" i="9"/>
  <c r="Q29" i="9"/>
  <c r="H29" i="9"/>
  <c r="J29" i="9" s="1"/>
  <c r="I29" i="9"/>
  <c r="M29" i="9"/>
  <c r="N29" i="9"/>
  <c r="H25" i="9"/>
  <c r="I25" i="9"/>
  <c r="J25" i="9" s="1"/>
  <c r="M25" i="9"/>
  <c r="N25" i="9"/>
  <c r="Q25" i="9"/>
  <c r="AC21" i="9"/>
  <c r="AD21" i="9"/>
  <c r="AC15" i="9"/>
  <c r="AD15" i="9"/>
  <c r="I15" i="9"/>
  <c r="J15" i="9" s="1"/>
  <c r="H15" i="9"/>
  <c r="M15" i="9"/>
  <c r="N15" i="9"/>
  <c r="Q15" i="9"/>
  <c r="AC14" i="9"/>
  <c r="AD14" i="9"/>
  <c r="H14" i="9"/>
  <c r="I14" i="9"/>
  <c r="J14" i="9" s="1"/>
  <c r="M14" i="9"/>
  <c r="N14" i="9"/>
  <c r="AC15" i="7"/>
  <c r="AD15" i="7"/>
  <c r="Q35" i="6"/>
  <c r="M35" i="6"/>
  <c r="N35" i="6"/>
  <c r="H35" i="6"/>
  <c r="I35" i="6"/>
  <c r="J35" i="6" s="1"/>
  <c r="I31" i="6"/>
  <c r="J31" i="6" s="1"/>
  <c r="Q31" i="6"/>
  <c r="M31" i="6"/>
  <c r="N31" i="6"/>
  <c r="H31" i="6"/>
  <c r="AD29" i="6"/>
  <c r="AC29" i="6"/>
  <c r="AC26" i="6"/>
  <c r="AD26" i="6"/>
  <c r="I10" i="9"/>
  <c r="J10" i="9" s="1"/>
  <c r="M10" i="9"/>
  <c r="N10" i="9"/>
  <c r="AC9" i="9"/>
  <c r="AD9" i="9"/>
  <c r="I9" i="9"/>
  <c r="J9" i="9" s="1"/>
  <c r="M9" i="9"/>
  <c r="N9" i="9"/>
  <c r="AC8" i="9"/>
  <c r="AD8" i="9"/>
  <c r="I8" i="9"/>
  <c r="J8" i="9" s="1"/>
  <c r="M8" i="9"/>
  <c r="N8" i="9"/>
  <c r="AC7" i="9"/>
  <c r="AD7" i="9"/>
  <c r="M7" i="9"/>
  <c r="N7" i="9"/>
  <c r="AC6" i="9"/>
  <c r="AD6" i="9"/>
  <c r="M6" i="9"/>
  <c r="N6" i="9"/>
  <c r="AC5" i="9"/>
  <c r="AD5" i="9"/>
  <c r="I5" i="9"/>
  <c r="J5" i="9" s="1"/>
  <c r="M5" i="9"/>
  <c r="N5" i="9"/>
  <c r="AC4" i="9"/>
  <c r="AD4" i="9"/>
  <c r="I4" i="9"/>
  <c r="J4" i="9" s="1"/>
  <c r="M4" i="9"/>
  <c r="N4" i="9"/>
  <c r="C4" i="9"/>
  <c r="AJ4" i="9"/>
  <c r="AL4" i="9"/>
  <c r="AJ5" i="9"/>
  <c r="AL5" i="9"/>
  <c r="AJ6" i="9"/>
  <c r="AL6" i="9"/>
  <c r="AJ7" i="9"/>
  <c r="AL7" i="9"/>
  <c r="AJ8" i="9"/>
  <c r="AL8" i="9"/>
  <c r="AJ9" i="9"/>
  <c r="AL9" i="9"/>
  <c r="AJ13" i="9"/>
  <c r="AK13" i="9"/>
  <c r="AL13" i="9"/>
  <c r="AM13" i="9"/>
  <c r="AN13" i="9"/>
  <c r="AO13" i="9"/>
  <c r="AP13" i="9"/>
  <c r="AK14" i="9"/>
  <c r="AL15" i="9"/>
  <c r="AO15" i="9"/>
  <c r="AJ10" i="9"/>
  <c r="AL10" i="9"/>
  <c r="AM14" i="9"/>
  <c r="AP14" i="9"/>
  <c r="AJ11" i="9"/>
  <c r="AL11" i="9"/>
  <c r="AK15" i="9"/>
  <c r="AN15" i="9"/>
  <c r="AJ12" i="9"/>
  <c r="AL12" i="9"/>
  <c r="AJ14" i="9"/>
  <c r="AL14" i="9"/>
  <c r="AN14" i="9"/>
  <c r="AO14" i="9"/>
  <c r="AJ15" i="9"/>
  <c r="AM15" i="9"/>
  <c r="AP15" i="9"/>
  <c r="H63" i="8"/>
  <c r="I63" i="8"/>
  <c r="J63" i="8" s="1"/>
  <c r="M63" i="8"/>
  <c r="N63" i="8"/>
  <c r="Q63" i="8"/>
  <c r="H62" i="8"/>
  <c r="I62" i="8"/>
  <c r="J62" i="8" s="1"/>
  <c r="M62" i="8"/>
  <c r="N62" i="8"/>
  <c r="Q62" i="8"/>
  <c r="H61" i="8"/>
  <c r="I61" i="8"/>
  <c r="J61" i="8" s="1"/>
  <c r="M61" i="8"/>
  <c r="N61" i="8"/>
  <c r="Q61" i="8"/>
  <c r="H60" i="8"/>
  <c r="I60" i="8"/>
  <c r="J60" i="8" s="1"/>
  <c r="M60" i="8"/>
  <c r="N60" i="8"/>
  <c r="Q60" i="8"/>
  <c r="H59" i="8"/>
  <c r="I59" i="8"/>
  <c r="J59" i="8" s="1"/>
  <c r="M59" i="8"/>
  <c r="N59" i="8"/>
  <c r="Q59" i="8"/>
  <c r="H58" i="8"/>
  <c r="I58" i="8"/>
  <c r="J58" i="8" s="1"/>
  <c r="M58" i="8"/>
  <c r="N58" i="8"/>
  <c r="Q58" i="8"/>
  <c r="H57" i="8"/>
  <c r="I57" i="8"/>
  <c r="J57" i="8" s="1"/>
  <c r="M57" i="8"/>
  <c r="N57" i="8"/>
  <c r="Q57" i="8"/>
  <c r="H56" i="8"/>
  <c r="I56" i="8"/>
  <c r="J56" i="8" s="1"/>
  <c r="M56" i="8"/>
  <c r="N56" i="8"/>
  <c r="Q56" i="8"/>
  <c r="H55" i="8"/>
  <c r="I55" i="8"/>
  <c r="J55" i="8" s="1"/>
  <c r="M55" i="8"/>
  <c r="N55" i="8"/>
  <c r="Q55" i="8"/>
  <c r="H54" i="8"/>
  <c r="I54" i="8"/>
  <c r="J54" i="8" s="1"/>
  <c r="M54" i="8"/>
  <c r="N54" i="8"/>
  <c r="Q54" i="8"/>
  <c r="H53" i="8"/>
  <c r="I53" i="8"/>
  <c r="J53" i="8" s="1"/>
  <c r="M53" i="8"/>
  <c r="N53" i="8"/>
  <c r="Q53" i="8"/>
  <c r="H52" i="8"/>
  <c r="I52" i="8"/>
  <c r="J52" i="8" s="1"/>
  <c r="M52" i="8"/>
  <c r="N52" i="8"/>
  <c r="Q52" i="8"/>
  <c r="H51" i="8"/>
  <c r="I51" i="8"/>
  <c r="J51" i="8" s="1"/>
  <c r="M51" i="8"/>
  <c r="N51" i="8"/>
  <c r="Q51" i="8"/>
  <c r="H50" i="8"/>
  <c r="I50" i="8"/>
  <c r="J50" i="8" s="1"/>
  <c r="M50" i="8"/>
  <c r="N50" i="8"/>
  <c r="Q50" i="8"/>
  <c r="H49" i="8"/>
  <c r="I49" i="8"/>
  <c r="J49" i="8" s="1"/>
  <c r="M49" i="8"/>
  <c r="N49" i="8"/>
  <c r="Q49" i="8"/>
  <c r="H48" i="8"/>
  <c r="I48" i="8"/>
  <c r="J48" i="8" s="1"/>
  <c r="M48" i="8"/>
  <c r="N48" i="8"/>
  <c r="Q48" i="8"/>
  <c r="H47" i="8"/>
  <c r="I47" i="8"/>
  <c r="J47" i="8" s="1"/>
  <c r="M47" i="8"/>
  <c r="N47" i="8"/>
  <c r="Q47" i="8"/>
  <c r="H46" i="8"/>
  <c r="I46" i="8"/>
  <c r="J46" i="8" s="1"/>
  <c r="M46" i="8"/>
  <c r="N46" i="8"/>
  <c r="Q46" i="8"/>
  <c r="H45" i="8"/>
  <c r="I45" i="8"/>
  <c r="J45" i="8" s="1"/>
  <c r="M45" i="8"/>
  <c r="N45" i="8"/>
  <c r="Q45" i="8"/>
  <c r="H44" i="8"/>
  <c r="I44" i="8"/>
  <c r="J44" i="8" s="1"/>
  <c r="M44" i="8"/>
  <c r="N44" i="8"/>
  <c r="Q44" i="8"/>
  <c r="H43" i="8"/>
  <c r="I43" i="8"/>
  <c r="J43" i="8" s="1"/>
  <c r="M43" i="8"/>
  <c r="N43" i="8"/>
  <c r="Q43" i="8"/>
  <c r="H42" i="8"/>
  <c r="I42" i="8"/>
  <c r="J42" i="8" s="1"/>
  <c r="M42" i="8"/>
  <c r="N42" i="8"/>
  <c r="Q42" i="8"/>
  <c r="H41" i="8"/>
  <c r="I41" i="8"/>
  <c r="J41" i="8" s="1"/>
  <c r="M41" i="8"/>
  <c r="N41" i="8"/>
  <c r="Q41" i="8"/>
  <c r="H40" i="8"/>
  <c r="I40" i="8"/>
  <c r="J40" i="8" s="1"/>
  <c r="M40" i="8"/>
  <c r="N40" i="8"/>
  <c r="Q40" i="8"/>
  <c r="H39" i="8"/>
  <c r="I39" i="8"/>
  <c r="J39" i="8" s="1"/>
  <c r="M39" i="8"/>
  <c r="N39" i="8"/>
  <c r="Q39" i="8"/>
  <c r="H38" i="8"/>
  <c r="I38" i="8"/>
  <c r="J38" i="8" s="1"/>
  <c r="M38" i="8"/>
  <c r="N38" i="8"/>
  <c r="Q38" i="8"/>
  <c r="H37" i="8"/>
  <c r="I37" i="8"/>
  <c r="J37" i="8" s="1"/>
  <c r="M37" i="8"/>
  <c r="N37" i="8"/>
  <c r="Q37" i="8"/>
  <c r="H36" i="8"/>
  <c r="I36" i="8"/>
  <c r="J36" i="8" s="1"/>
  <c r="M36" i="8"/>
  <c r="N36" i="8"/>
  <c r="Q36" i="8"/>
  <c r="H35" i="8"/>
  <c r="I35" i="8"/>
  <c r="J35" i="8" s="1"/>
  <c r="M35" i="8"/>
  <c r="N35" i="8"/>
  <c r="Q35" i="8"/>
  <c r="H34" i="8"/>
  <c r="I34" i="8"/>
  <c r="J34" i="8" s="1"/>
  <c r="M34" i="8"/>
  <c r="N34" i="8"/>
  <c r="Q34" i="8"/>
  <c r="AC33" i="8"/>
  <c r="AD33" i="8"/>
  <c r="H33" i="8"/>
  <c r="I33" i="8"/>
  <c r="J33" i="8" s="1"/>
  <c r="M33" i="8"/>
  <c r="N33" i="8"/>
  <c r="Q33" i="8"/>
  <c r="AC32" i="8"/>
  <c r="AD32" i="8"/>
  <c r="H32" i="8"/>
  <c r="I32" i="8"/>
  <c r="J32" i="8" s="1"/>
  <c r="M32" i="8"/>
  <c r="N32" i="8"/>
  <c r="Q32" i="8"/>
  <c r="AC31" i="8"/>
  <c r="AD31" i="8"/>
  <c r="H31" i="8"/>
  <c r="I31" i="8"/>
  <c r="J31" i="8" s="1"/>
  <c r="M31" i="8"/>
  <c r="N31" i="8"/>
  <c r="Q31" i="8"/>
  <c r="AC30" i="8"/>
  <c r="AD30" i="8"/>
  <c r="H30" i="8"/>
  <c r="I30" i="8"/>
  <c r="J30" i="8" s="1"/>
  <c r="M30" i="8"/>
  <c r="N30" i="8"/>
  <c r="Q30" i="8"/>
  <c r="AC29" i="8"/>
  <c r="AD29" i="8"/>
  <c r="H29" i="8"/>
  <c r="I29" i="8"/>
  <c r="J29" i="8" s="1"/>
  <c r="M29" i="8"/>
  <c r="N29" i="8"/>
  <c r="Q29" i="8"/>
  <c r="AC28" i="8"/>
  <c r="AD28" i="8"/>
  <c r="H28" i="8"/>
  <c r="I28" i="8"/>
  <c r="J28" i="8" s="1"/>
  <c r="M28" i="8"/>
  <c r="N28" i="8"/>
  <c r="Q28" i="8"/>
  <c r="AC27" i="8"/>
  <c r="AD27" i="8"/>
  <c r="H27" i="8"/>
  <c r="I27" i="8"/>
  <c r="J27" i="8" s="1"/>
  <c r="M27" i="8"/>
  <c r="N27" i="8"/>
  <c r="Q27" i="8"/>
  <c r="AC26" i="8"/>
  <c r="AD26" i="8"/>
  <c r="H26" i="8"/>
  <c r="I26" i="8"/>
  <c r="J26" i="8" s="1"/>
  <c r="M26" i="8"/>
  <c r="N26" i="8"/>
  <c r="Q26" i="8"/>
  <c r="AC25" i="8"/>
  <c r="AD25" i="8"/>
  <c r="H25" i="8"/>
  <c r="I25" i="8"/>
  <c r="J25" i="8" s="1"/>
  <c r="M25" i="8"/>
  <c r="N25" i="8"/>
  <c r="Q25" i="8"/>
  <c r="AC24" i="8"/>
  <c r="AD24" i="8"/>
  <c r="H24" i="8"/>
  <c r="I24" i="8"/>
  <c r="J24" i="8" s="1"/>
  <c r="M24" i="8"/>
  <c r="N24" i="8"/>
  <c r="Q24" i="8"/>
  <c r="AC23" i="8"/>
  <c r="AD23" i="8"/>
  <c r="H23" i="8"/>
  <c r="I23" i="8"/>
  <c r="J23" i="8" s="1"/>
  <c r="M23" i="8"/>
  <c r="N23" i="8"/>
  <c r="Q23" i="8"/>
  <c r="AC22" i="8"/>
  <c r="AD22" i="8"/>
  <c r="H22" i="8"/>
  <c r="I22" i="8"/>
  <c r="J22" i="8" s="1"/>
  <c r="M22" i="8"/>
  <c r="N22" i="8"/>
  <c r="Q22" i="8"/>
  <c r="AC21" i="8"/>
  <c r="AD21" i="8"/>
  <c r="H21" i="8"/>
  <c r="I21" i="8"/>
  <c r="J21" i="8" s="1"/>
  <c r="M21" i="8"/>
  <c r="N21" i="8"/>
  <c r="Q21" i="8"/>
  <c r="AC20" i="8"/>
  <c r="AD20" i="8"/>
  <c r="H20" i="8"/>
  <c r="I20" i="8"/>
  <c r="J20" i="8" s="1"/>
  <c r="M20" i="8"/>
  <c r="N20" i="8"/>
  <c r="Q20" i="8"/>
  <c r="AC19" i="8"/>
  <c r="AD19" i="8"/>
  <c r="H19" i="8"/>
  <c r="I19" i="8"/>
  <c r="J19" i="8" s="1"/>
  <c r="M19" i="8"/>
  <c r="N19" i="8"/>
  <c r="Q19" i="8"/>
  <c r="AC18" i="8"/>
  <c r="AD18" i="8"/>
  <c r="H18" i="8"/>
  <c r="I18" i="8"/>
  <c r="J18" i="8" s="1"/>
  <c r="M18" i="8"/>
  <c r="N18" i="8"/>
  <c r="Q18" i="8"/>
  <c r="AC17" i="8"/>
  <c r="AD17" i="8"/>
  <c r="H17" i="8"/>
  <c r="I17" i="8"/>
  <c r="J17" i="8" s="1"/>
  <c r="M17" i="8"/>
  <c r="N17" i="8"/>
  <c r="Q17" i="8"/>
  <c r="AC16" i="8"/>
  <c r="AD16" i="8"/>
  <c r="H16" i="8"/>
  <c r="I16" i="8"/>
  <c r="J16" i="8" s="1"/>
  <c r="M16" i="8"/>
  <c r="N16" i="8"/>
  <c r="Q16" i="8"/>
  <c r="AC15" i="8"/>
  <c r="AD15" i="8"/>
  <c r="H15" i="8"/>
  <c r="I15" i="8"/>
  <c r="J15" i="8" s="1"/>
  <c r="M15" i="8"/>
  <c r="N15" i="8"/>
  <c r="Q15" i="8"/>
  <c r="AC14" i="8"/>
  <c r="AD14" i="8"/>
  <c r="H14" i="8"/>
  <c r="I14" i="8"/>
  <c r="J14" i="8" s="1"/>
  <c r="M14" i="8"/>
  <c r="N14" i="8"/>
  <c r="Q14" i="8"/>
  <c r="AC13" i="8"/>
  <c r="AD13" i="8"/>
  <c r="H13" i="8"/>
  <c r="I13" i="8"/>
  <c r="J13" i="8" s="1"/>
  <c r="M13" i="8"/>
  <c r="N13" i="8"/>
  <c r="Q13" i="8"/>
  <c r="AC12" i="8"/>
  <c r="AD12" i="8"/>
  <c r="H12" i="8"/>
  <c r="I12" i="8"/>
  <c r="J12" i="8" s="1"/>
  <c r="M12" i="8"/>
  <c r="N12" i="8"/>
  <c r="Q12" i="8"/>
  <c r="AC11" i="8"/>
  <c r="AD11" i="8"/>
  <c r="I11" i="8"/>
  <c r="J11" i="8" s="1"/>
  <c r="M11" i="8"/>
  <c r="N11" i="8"/>
  <c r="AC10" i="8"/>
  <c r="AD10" i="8"/>
  <c r="I10" i="8"/>
  <c r="M10" i="8"/>
  <c r="N10" i="8"/>
  <c r="AC9" i="8"/>
  <c r="AD9" i="8" s="1"/>
  <c r="I9" i="8"/>
  <c r="J9" i="8" s="1"/>
  <c r="M9" i="8"/>
  <c r="N9" i="8"/>
  <c r="AC8" i="8"/>
  <c r="AD8" i="8" s="1"/>
  <c r="I8" i="8"/>
  <c r="J8" i="8" s="1"/>
  <c r="M8" i="8"/>
  <c r="N8" i="8"/>
  <c r="AC7" i="8"/>
  <c r="I7" i="8"/>
  <c r="J7" i="8" s="1"/>
  <c r="M7" i="8"/>
  <c r="N7" i="8"/>
  <c r="AC6" i="8"/>
  <c r="I6" i="8"/>
  <c r="J6" i="8" s="1"/>
  <c r="M6" i="8"/>
  <c r="N6" i="8"/>
  <c r="AC5" i="8"/>
  <c r="I5" i="8"/>
  <c r="J5" i="8" s="1"/>
  <c r="M5" i="8"/>
  <c r="N5" i="8"/>
  <c r="AC4" i="8"/>
  <c r="I4" i="8"/>
  <c r="J4" i="8" s="1"/>
  <c r="M4" i="8"/>
  <c r="N4" i="8"/>
  <c r="C4" i="8"/>
  <c r="AJ4" i="8"/>
  <c r="AL4" i="8"/>
  <c r="AM4" i="8"/>
  <c r="AN4" i="8"/>
  <c r="AJ5" i="8"/>
  <c r="AL5" i="8"/>
  <c r="AM5" i="8"/>
  <c r="AN5" i="8"/>
  <c r="AJ6" i="8"/>
  <c r="AL6" i="8"/>
  <c r="AM6" i="8"/>
  <c r="AN6" i="8"/>
  <c r="AJ7" i="8"/>
  <c r="AK7" i="8"/>
  <c r="AL7" i="8"/>
  <c r="AM7" i="8"/>
  <c r="AN7" i="8"/>
  <c r="AJ8" i="8"/>
  <c r="AK8" i="8"/>
  <c r="AL8" i="8"/>
  <c r="AM8" i="8"/>
  <c r="AN8" i="8"/>
  <c r="AJ9" i="8"/>
  <c r="AK9" i="8"/>
  <c r="AL9" i="8"/>
  <c r="AM9" i="8"/>
  <c r="AN9" i="8"/>
  <c r="AJ10" i="8"/>
  <c r="AK10" i="8"/>
  <c r="AL10" i="8"/>
  <c r="AM10" i="8"/>
  <c r="AN10" i="8"/>
  <c r="AJ11" i="8"/>
  <c r="AK11" i="8"/>
  <c r="AL11" i="8"/>
  <c r="AM11" i="8"/>
  <c r="AN11" i="8"/>
  <c r="AJ12" i="8"/>
  <c r="AK12" i="8"/>
  <c r="AL12" i="8"/>
  <c r="AM12" i="8"/>
  <c r="AN12" i="8"/>
  <c r="AO12" i="8"/>
  <c r="AP12" i="8"/>
  <c r="AJ13" i="8"/>
  <c r="AK13" i="8"/>
  <c r="AL13" i="8"/>
  <c r="AM13" i="8"/>
  <c r="AN13" i="8"/>
  <c r="AO13" i="8"/>
  <c r="AP13" i="8"/>
  <c r="AJ14" i="8"/>
  <c r="AK14" i="8"/>
  <c r="AL14" i="8"/>
  <c r="AM14" i="8"/>
  <c r="AN14" i="8"/>
  <c r="AO14" i="8"/>
  <c r="AP14" i="8"/>
  <c r="AJ15" i="8"/>
  <c r="AK15" i="8"/>
  <c r="AL15" i="8"/>
  <c r="AM15" i="8"/>
  <c r="AN15" i="8"/>
  <c r="AO15" i="8"/>
  <c r="AP15" i="8"/>
  <c r="H63" i="7"/>
  <c r="J63" i="7" s="1"/>
  <c r="I63" i="7"/>
  <c r="M63" i="7"/>
  <c r="N63" i="7"/>
  <c r="Q63" i="7"/>
  <c r="H62" i="7"/>
  <c r="J62" i="7" s="1"/>
  <c r="I62" i="7"/>
  <c r="M62" i="7"/>
  <c r="N62" i="7"/>
  <c r="Q62" i="7"/>
  <c r="H61" i="7"/>
  <c r="J61" i="7" s="1"/>
  <c r="I61" i="7"/>
  <c r="M61" i="7"/>
  <c r="N61" i="7"/>
  <c r="Q61" i="7"/>
  <c r="H60" i="7"/>
  <c r="J60" i="7" s="1"/>
  <c r="I60" i="7"/>
  <c r="M60" i="7"/>
  <c r="N60" i="7"/>
  <c r="Q60" i="7"/>
  <c r="H59" i="7"/>
  <c r="J59" i="7" s="1"/>
  <c r="I59" i="7"/>
  <c r="M59" i="7"/>
  <c r="N59" i="7"/>
  <c r="Q59" i="7"/>
  <c r="H58" i="7"/>
  <c r="J58" i="7" s="1"/>
  <c r="I58" i="7"/>
  <c r="M58" i="7"/>
  <c r="N58" i="7"/>
  <c r="Q58" i="7"/>
  <c r="H57" i="7"/>
  <c r="J57" i="7" s="1"/>
  <c r="I57" i="7"/>
  <c r="M57" i="7"/>
  <c r="N57" i="7"/>
  <c r="Q57" i="7"/>
  <c r="H56" i="7"/>
  <c r="J56" i="7" s="1"/>
  <c r="I56" i="7"/>
  <c r="M56" i="7"/>
  <c r="N56" i="7"/>
  <c r="Q56" i="7"/>
  <c r="H55" i="7"/>
  <c r="J55" i="7" s="1"/>
  <c r="I55" i="7"/>
  <c r="M55" i="7"/>
  <c r="N55" i="7"/>
  <c r="Q55" i="7"/>
  <c r="H54" i="7"/>
  <c r="J54" i="7" s="1"/>
  <c r="I54" i="7"/>
  <c r="M54" i="7"/>
  <c r="N54" i="7"/>
  <c r="Q54" i="7"/>
  <c r="H53" i="7"/>
  <c r="J53" i="7" s="1"/>
  <c r="I53" i="7"/>
  <c r="M53" i="7"/>
  <c r="N53" i="7"/>
  <c r="Q53" i="7"/>
  <c r="H52" i="7"/>
  <c r="J52" i="7" s="1"/>
  <c r="I52" i="7"/>
  <c r="M52" i="7"/>
  <c r="N52" i="7"/>
  <c r="Q52" i="7"/>
  <c r="H51" i="7"/>
  <c r="J51" i="7" s="1"/>
  <c r="I51" i="7"/>
  <c r="M51" i="7"/>
  <c r="N51" i="7"/>
  <c r="Q51" i="7"/>
  <c r="H50" i="7"/>
  <c r="J50" i="7" s="1"/>
  <c r="I50" i="7"/>
  <c r="M50" i="7"/>
  <c r="N50" i="7"/>
  <c r="Q50" i="7"/>
  <c r="H49" i="7"/>
  <c r="J49" i="7" s="1"/>
  <c r="I49" i="7"/>
  <c r="M49" i="7"/>
  <c r="N49" i="7"/>
  <c r="Q49" i="7"/>
  <c r="H48" i="7"/>
  <c r="J48" i="7" s="1"/>
  <c r="I48" i="7"/>
  <c r="M48" i="7"/>
  <c r="N48" i="7"/>
  <c r="Q48" i="7"/>
  <c r="H47" i="7"/>
  <c r="J47" i="7" s="1"/>
  <c r="I47" i="7"/>
  <c r="M47" i="7"/>
  <c r="N47" i="7"/>
  <c r="Q47" i="7"/>
  <c r="H46" i="7"/>
  <c r="J46" i="7" s="1"/>
  <c r="I46" i="7"/>
  <c r="M46" i="7"/>
  <c r="N46" i="7"/>
  <c r="Q46" i="7"/>
  <c r="H45" i="7"/>
  <c r="J45" i="7" s="1"/>
  <c r="I45" i="7"/>
  <c r="M45" i="7"/>
  <c r="N45" i="7"/>
  <c r="Q45" i="7"/>
  <c r="H44" i="7"/>
  <c r="J44" i="7" s="1"/>
  <c r="I44" i="7"/>
  <c r="M44" i="7"/>
  <c r="N44" i="7"/>
  <c r="Q44" i="7"/>
  <c r="H43" i="7"/>
  <c r="J43" i="7" s="1"/>
  <c r="I43" i="7"/>
  <c r="M43" i="7"/>
  <c r="N43" i="7"/>
  <c r="Q43" i="7"/>
  <c r="H42" i="7"/>
  <c r="J42" i="7" s="1"/>
  <c r="I42" i="7"/>
  <c r="M42" i="7"/>
  <c r="N42" i="7"/>
  <c r="Q42" i="7"/>
  <c r="H41" i="7"/>
  <c r="J41" i="7" s="1"/>
  <c r="I41" i="7"/>
  <c r="M41" i="7"/>
  <c r="N41" i="7"/>
  <c r="Q41" i="7"/>
  <c r="H40" i="7"/>
  <c r="J40" i="7" s="1"/>
  <c r="I40" i="7"/>
  <c r="M40" i="7"/>
  <c r="N40" i="7"/>
  <c r="Q40" i="7"/>
  <c r="H39" i="7"/>
  <c r="J39" i="7" s="1"/>
  <c r="I39" i="7"/>
  <c r="M39" i="7"/>
  <c r="N39" i="7"/>
  <c r="Q39" i="7"/>
  <c r="H38" i="7"/>
  <c r="J38" i="7" s="1"/>
  <c r="I38" i="7"/>
  <c r="M38" i="7"/>
  <c r="N38" i="7"/>
  <c r="Q38" i="7"/>
  <c r="H37" i="7"/>
  <c r="J37" i="7" s="1"/>
  <c r="I37" i="7"/>
  <c r="M37" i="7"/>
  <c r="N37" i="7"/>
  <c r="Q37" i="7"/>
  <c r="H36" i="7"/>
  <c r="J36" i="7" s="1"/>
  <c r="I36" i="7"/>
  <c r="M36" i="7"/>
  <c r="N36" i="7"/>
  <c r="Q36" i="7"/>
  <c r="H35" i="7"/>
  <c r="J35" i="7" s="1"/>
  <c r="I35" i="7"/>
  <c r="M35" i="7"/>
  <c r="N35" i="7"/>
  <c r="Q35" i="7"/>
  <c r="H34" i="7"/>
  <c r="J34" i="7" s="1"/>
  <c r="I34" i="7"/>
  <c r="M34" i="7"/>
  <c r="N34" i="7"/>
  <c r="Q34" i="7"/>
  <c r="AC33" i="7"/>
  <c r="AD33" i="7"/>
  <c r="H33" i="7"/>
  <c r="J33" i="7" s="1"/>
  <c r="I33" i="7"/>
  <c r="M33" i="7"/>
  <c r="N33" i="7"/>
  <c r="Q33" i="7"/>
  <c r="AC32" i="7"/>
  <c r="AD32" i="7"/>
  <c r="H32" i="7"/>
  <c r="J32" i="7" s="1"/>
  <c r="I32" i="7"/>
  <c r="M32" i="7"/>
  <c r="N32" i="7"/>
  <c r="Q32" i="7"/>
  <c r="AC31" i="7"/>
  <c r="AD31" i="7"/>
  <c r="H31" i="7"/>
  <c r="J31" i="7" s="1"/>
  <c r="I31" i="7"/>
  <c r="M31" i="7"/>
  <c r="N31" i="7"/>
  <c r="Q31" i="7"/>
  <c r="AC30" i="7"/>
  <c r="AD30" i="7"/>
  <c r="H30" i="7"/>
  <c r="J30" i="7" s="1"/>
  <c r="I30" i="7"/>
  <c r="M30" i="7"/>
  <c r="N30" i="7"/>
  <c r="Q30" i="7"/>
  <c r="AC29" i="7"/>
  <c r="AD29" i="7"/>
  <c r="H29" i="7"/>
  <c r="J29" i="7" s="1"/>
  <c r="I29" i="7"/>
  <c r="M29" i="7"/>
  <c r="N29" i="7"/>
  <c r="Q29" i="7"/>
  <c r="AC28" i="7"/>
  <c r="AD28" i="7"/>
  <c r="H28" i="7"/>
  <c r="J28" i="7" s="1"/>
  <c r="I28" i="7"/>
  <c r="M28" i="7"/>
  <c r="N28" i="7"/>
  <c r="Q28" i="7"/>
  <c r="AC27" i="7"/>
  <c r="AD27" i="7"/>
  <c r="H27" i="7"/>
  <c r="J27" i="7" s="1"/>
  <c r="I27" i="7"/>
  <c r="M27" i="7"/>
  <c r="N27" i="7"/>
  <c r="Q27" i="7"/>
  <c r="AC26" i="7"/>
  <c r="AD26" i="7"/>
  <c r="H26" i="7"/>
  <c r="J26" i="7" s="1"/>
  <c r="I26" i="7"/>
  <c r="M26" i="7"/>
  <c r="N26" i="7"/>
  <c r="Q26" i="7"/>
  <c r="AC25" i="7"/>
  <c r="AD25" i="7"/>
  <c r="H25" i="7"/>
  <c r="J25" i="7" s="1"/>
  <c r="I25" i="7"/>
  <c r="M25" i="7"/>
  <c r="N25" i="7"/>
  <c r="Q25" i="7"/>
  <c r="AC24" i="7"/>
  <c r="AD24" i="7"/>
  <c r="H24" i="7"/>
  <c r="J24" i="7" s="1"/>
  <c r="I24" i="7"/>
  <c r="M24" i="7"/>
  <c r="N24" i="7"/>
  <c r="Q24" i="7"/>
  <c r="AC23" i="7"/>
  <c r="AD23" i="7"/>
  <c r="AC22" i="7"/>
  <c r="AD22" i="7"/>
  <c r="AC20" i="7"/>
  <c r="AD20" i="7"/>
  <c r="AC17" i="7"/>
  <c r="AD17" i="7"/>
  <c r="H17" i="7"/>
  <c r="J17" i="7" s="1"/>
  <c r="I17" i="7"/>
  <c r="Q17" i="7"/>
  <c r="M17" i="7"/>
  <c r="N17" i="7"/>
  <c r="AC16" i="7"/>
  <c r="AD16" i="7"/>
  <c r="AC10" i="7"/>
  <c r="AD10" i="7"/>
  <c r="H10" i="7"/>
  <c r="J10" i="7" s="1"/>
  <c r="I10" i="7"/>
  <c r="M10" i="7"/>
  <c r="N10" i="7"/>
  <c r="Q10" i="7"/>
  <c r="Q36" i="6"/>
  <c r="H36" i="6"/>
  <c r="I36" i="6"/>
  <c r="J36" i="6" s="1"/>
  <c r="M36" i="6"/>
  <c r="N36" i="6"/>
  <c r="H24" i="6"/>
  <c r="I24" i="6"/>
  <c r="J24" i="6" s="1"/>
  <c r="M24" i="6"/>
  <c r="N24" i="6"/>
  <c r="Q24" i="6"/>
  <c r="AC23" i="6"/>
  <c r="AD23" i="6"/>
  <c r="H23" i="6"/>
  <c r="I23" i="6"/>
  <c r="J23" i="6" s="1"/>
  <c r="M23" i="6"/>
  <c r="N23" i="6"/>
  <c r="Q23" i="6"/>
  <c r="AC22" i="6"/>
  <c r="AD22" i="6"/>
  <c r="H22" i="6"/>
  <c r="I22" i="6"/>
  <c r="J22" i="6" s="1"/>
  <c r="M22" i="6"/>
  <c r="N22" i="6"/>
  <c r="Q22" i="6"/>
  <c r="AC21" i="6"/>
  <c r="AD21" i="6"/>
  <c r="H21" i="6"/>
  <c r="I21" i="6"/>
  <c r="J21" i="6" s="1"/>
  <c r="M21" i="6"/>
  <c r="N21" i="6"/>
  <c r="Q21" i="6"/>
  <c r="AC20" i="6"/>
  <c r="AD20" i="6"/>
  <c r="H20" i="6"/>
  <c r="I20" i="6"/>
  <c r="J20" i="6" s="1"/>
  <c r="M20" i="6"/>
  <c r="N20" i="6"/>
  <c r="Q20" i="6"/>
  <c r="AC19" i="6"/>
  <c r="AD19" i="6"/>
  <c r="H19" i="6"/>
  <c r="I19" i="6"/>
  <c r="J19" i="6" s="1"/>
  <c r="M19" i="6"/>
  <c r="N19" i="6"/>
  <c r="Q19" i="6"/>
  <c r="AC18" i="6"/>
  <c r="AD18" i="6"/>
  <c r="H18" i="6"/>
  <c r="I18" i="6"/>
  <c r="J18" i="6" s="1"/>
  <c r="M18" i="6"/>
  <c r="N18" i="6"/>
  <c r="Q18" i="6"/>
  <c r="AC17" i="6"/>
  <c r="AD17" i="6"/>
  <c r="H17" i="6"/>
  <c r="I17" i="6"/>
  <c r="J17" i="6" s="1"/>
  <c r="M17" i="6"/>
  <c r="N17" i="6"/>
  <c r="Q17" i="6"/>
  <c r="AC16" i="6"/>
  <c r="AD16" i="6"/>
  <c r="H16" i="6"/>
  <c r="I16" i="6"/>
  <c r="J16" i="6" s="1"/>
  <c r="M16" i="6"/>
  <c r="N16" i="6"/>
  <c r="Q16" i="6"/>
  <c r="AC15" i="6"/>
  <c r="AD15" i="6"/>
  <c r="H15" i="6"/>
  <c r="I15" i="6"/>
  <c r="J15" i="6" s="1"/>
  <c r="M15" i="6"/>
  <c r="N15" i="6"/>
  <c r="AC14" i="6"/>
  <c r="AD14" i="6"/>
  <c r="H14" i="6"/>
  <c r="I14" i="6"/>
  <c r="J14" i="6" s="1"/>
  <c r="M14" i="6"/>
  <c r="N14" i="6"/>
  <c r="AC13" i="6"/>
  <c r="AD13" i="6"/>
  <c r="M13" i="6"/>
  <c r="N13" i="6"/>
  <c r="Q13" i="6"/>
  <c r="AC12" i="6"/>
  <c r="AD12" i="6"/>
  <c r="M12" i="6"/>
  <c r="N12" i="6"/>
  <c r="AC11" i="6"/>
  <c r="AD11" i="6"/>
  <c r="I11" i="6"/>
  <c r="J11" i="6" s="1"/>
  <c r="M11" i="6"/>
  <c r="N11" i="6"/>
  <c r="AC10" i="6"/>
  <c r="AD10" i="6"/>
  <c r="M10" i="6"/>
  <c r="N10" i="6"/>
  <c r="Q10" i="6"/>
  <c r="AC9" i="6"/>
  <c r="AD9" i="6"/>
  <c r="I9" i="6"/>
  <c r="J9" i="6" s="1"/>
  <c r="M9" i="6"/>
  <c r="N9" i="6"/>
  <c r="AC8" i="6"/>
  <c r="AD8" i="6"/>
  <c r="H8" i="6"/>
  <c r="M8" i="6"/>
  <c r="N8" i="6"/>
  <c r="Q8" i="6"/>
  <c r="AC7" i="6"/>
  <c r="AD7" i="6"/>
  <c r="M7" i="6"/>
  <c r="N7" i="6"/>
  <c r="Q7" i="6"/>
  <c r="AC6" i="6"/>
  <c r="AD6" i="6"/>
  <c r="I6" i="6"/>
  <c r="J6" i="6" s="1"/>
  <c r="M6" i="6"/>
  <c r="N6" i="6"/>
  <c r="AC5" i="6"/>
  <c r="AD5" i="6"/>
  <c r="H5" i="6"/>
  <c r="I5" i="6"/>
  <c r="J5" i="6" s="1"/>
  <c r="M5" i="6"/>
  <c r="N5" i="6"/>
  <c r="AC4" i="6"/>
  <c r="AD4" i="6"/>
  <c r="I4" i="6"/>
  <c r="J4" i="6" s="1"/>
  <c r="M4" i="6"/>
  <c r="N4" i="6"/>
  <c r="C4" i="6"/>
  <c r="AJ4" i="6"/>
  <c r="AL4" i="6"/>
  <c r="AM4" i="6"/>
  <c r="AN4" i="6"/>
  <c r="AJ5" i="6"/>
  <c r="AL5" i="6"/>
  <c r="AM5" i="6"/>
  <c r="AN5" i="6"/>
  <c r="AJ6" i="6"/>
  <c r="AL6" i="6"/>
  <c r="AM6" i="6"/>
  <c r="AN6" i="6"/>
  <c r="AJ7" i="6"/>
  <c r="AL7" i="6"/>
  <c r="AM7" i="6"/>
  <c r="AN7" i="6"/>
  <c r="AJ8" i="6"/>
  <c r="AL8" i="6"/>
  <c r="AM8" i="6"/>
  <c r="AN8" i="6"/>
  <c r="AJ9" i="6"/>
  <c r="AL9" i="6"/>
  <c r="AM9" i="6"/>
  <c r="AN9" i="6"/>
  <c r="AJ10" i="6"/>
  <c r="AL10" i="6"/>
  <c r="AM10" i="6"/>
  <c r="AN10" i="6"/>
  <c r="AJ11" i="6"/>
  <c r="AL11" i="6"/>
  <c r="AM11" i="6"/>
  <c r="AN11" i="6"/>
  <c r="AJ12" i="6"/>
  <c r="AK12" i="6"/>
  <c r="AL12" i="6"/>
  <c r="AM12" i="6"/>
  <c r="AN12" i="6"/>
  <c r="AO12" i="6"/>
  <c r="AJ13" i="6"/>
  <c r="AK13" i="6"/>
  <c r="AL13" i="6"/>
  <c r="AM13" i="6"/>
  <c r="AN13" i="6"/>
  <c r="AO13" i="6"/>
  <c r="AP13" i="6"/>
  <c r="AJ14" i="6"/>
  <c r="AK14" i="6"/>
  <c r="AL14" i="6"/>
  <c r="AM14" i="6"/>
  <c r="AN14" i="6"/>
  <c r="AO14" i="6"/>
  <c r="AP14" i="6"/>
  <c r="AJ15" i="6"/>
  <c r="AK15" i="6"/>
  <c r="AL15" i="6"/>
  <c r="AM15" i="6"/>
  <c r="AN15" i="6"/>
  <c r="AO15" i="6"/>
  <c r="AP15" i="6"/>
  <c r="H6" i="19"/>
  <c r="J6" i="19" s="1"/>
  <c r="I6" i="19"/>
  <c r="M6" i="19"/>
  <c r="N6" i="19"/>
  <c r="Q6" i="19"/>
  <c r="H52" i="18"/>
  <c r="J52" i="18" s="1"/>
  <c r="I52" i="18"/>
  <c r="N52" i="18"/>
  <c r="M52" i="18"/>
  <c r="Q52" i="18"/>
  <c r="H48" i="18"/>
  <c r="J48" i="18" s="1"/>
  <c r="N48" i="18"/>
  <c r="I48" i="18"/>
  <c r="Q48" i="18"/>
  <c r="M48" i="18"/>
  <c r="H36" i="18"/>
  <c r="J36" i="18" s="1"/>
  <c r="I36" i="18"/>
  <c r="M36" i="18"/>
  <c r="Q36" i="18"/>
  <c r="N36" i="18"/>
  <c r="H35" i="18"/>
  <c r="J35" i="18" s="1"/>
  <c r="I35" i="18"/>
  <c r="M35" i="18"/>
  <c r="Q35" i="18"/>
  <c r="N35" i="18"/>
  <c r="H34" i="18"/>
  <c r="J34" i="18" s="1"/>
  <c r="I34" i="18"/>
  <c r="M34" i="18"/>
  <c r="N34" i="18"/>
  <c r="Q34" i="18"/>
  <c r="AC31" i="18"/>
  <c r="AD31" i="18"/>
  <c r="AC30" i="18"/>
  <c r="AD30" i="18"/>
  <c r="AC28" i="18"/>
  <c r="AD28" i="18"/>
  <c r="AC27" i="18"/>
  <c r="AD27" i="18"/>
  <c r="AC25" i="18"/>
  <c r="AD25" i="18"/>
  <c r="H24" i="18"/>
  <c r="J24" i="18" s="1"/>
  <c r="I24" i="18"/>
  <c r="M24" i="18"/>
  <c r="N24" i="18"/>
  <c r="Q24" i="18"/>
  <c r="H23" i="18"/>
  <c r="J23" i="18" s="1"/>
  <c r="I23" i="18"/>
  <c r="N23" i="18"/>
  <c r="M23" i="18"/>
  <c r="Q23" i="18"/>
  <c r="H22" i="18"/>
  <c r="J22" i="18" s="1"/>
  <c r="I22" i="18"/>
  <c r="N22" i="18"/>
  <c r="Q22" i="18"/>
  <c r="M22" i="18"/>
  <c r="H21" i="18"/>
  <c r="J21" i="18" s="1"/>
  <c r="I21" i="18"/>
  <c r="M21" i="18"/>
  <c r="N21" i="18"/>
  <c r="Q21" i="18"/>
  <c r="H20" i="18"/>
  <c r="J20" i="18" s="1"/>
  <c r="M20" i="18"/>
  <c r="N20" i="18"/>
  <c r="Q20" i="18"/>
  <c r="AC17" i="18"/>
  <c r="AD17" i="18"/>
  <c r="H16" i="18"/>
  <c r="J16" i="18" s="1"/>
  <c r="I16" i="18"/>
  <c r="M16" i="18"/>
  <c r="Q16" i="18"/>
  <c r="N16" i="18"/>
  <c r="AC15" i="18"/>
  <c r="AD15" i="18"/>
  <c r="H15" i="18"/>
  <c r="J15" i="18" s="1"/>
  <c r="I15" i="18"/>
  <c r="M15" i="18"/>
  <c r="N15" i="18"/>
  <c r="Q15" i="18"/>
  <c r="H14" i="18"/>
  <c r="J14" i="18" s="1"/>
  <c r="I14" i="18"/>
  <c r="M14" i="18"/>
  <c r="N14" i="18"/>
  <c r="Q14" i="18"/>
  <c r="AC10" i="18"/>
  <c r="AD10" i="18"/>
  <c r="H10" i="18"/>
  <c r="J10" i="18" s="1"/>
  <c r="I10" i="18"/>
  <c r="M10" i="18"/>
  <c r="N10" i="18"/>
  <c r="Q10" i="18"/>
  <c r="AC8" i="18"/>
  <c r="AD8" i="18"/>
  <c r="H8" i="18"/>
  <c r="J8" i="18" s="1"/>
  <c r="I8" i="18"/>
  <c r="M8" i="18"/>
  <c r="N8" i="18"/>
  <c r="Q8" i="18"/>
  <c r="AC6" i="18"/>
  <c r="AD6" i="18"/>
  <c r="I6" i="18"/>
  <c r="J6" i="18" s="1"/>
  <c r="M6" i="18"/>
  <c r="N6" i="18"/>
  <c r="AC4" i="18"/>
  <c r="AD4" i="18"/>
  <c r="I4" i="18"/>
  <c r="J4" i="18" s="1"/>
  <c r="M4" i="18"/>
  <c r="N4" i="18"/>
  <c r="C4" i="18"/>
  <c r="AJ5" i="18"/>
  <c r="AL5" i="18"/>
  <c r="AJ7" i="18"/>
  <c r="AL7" i="18"/>
  <c r="AJ9" i="18"/>
  <c r="AL9" i="18"/>
  <c r="AJ13" i="18"/>
  <c r="AL13" i="18"/>
  <c r="AN13" i="18"/>
  <c r="AP13" i="18"/>
  <c r="AJ14" i="18"/>
  <c r="AK14" i="18"/>
  <c r="AL14" i="18"/>
  <c r="AM14" i="18"/>
  <c r="AN14" i="18"/>
  <c r="AO14" i="18"/>
  <c r="AP14" i="18"/>
  <c r="AJ15" i="18"/>
  <c r="AM15" i="18"/>
  <c r="AP15" i="18"/>
  <c r="AJ11" i="18"/>
  <c r="AL11" i="18"/>
  <c r="AK13" i="18"/>
  <c r="AM13" i="18"/>
  <c r="AO13" i="18"/>
  <c r="AK15" i="18"/>
  <c r="AN15" i="18"/>
  <c r="AJ4" i="18"/>
  <c r="AL4" i="18"/>
  <c r="AJ6" i="18"/>
  <c r="AL6" i="18"/>
  <c r="AJ8" i="18"/>
  <c r="AL8" i="18"/>
  <c r="AJ10" i="18"/>
  <c r="AL10" i="18"/>
  <c r="AJ12" i="18"/>
  <c r="AK12" i="18"/>
  <c r="AL12" i="18"/>
  <c r="AM12" i="18"/>
  <c r="AN12" i="18"/>
  <c r="AO12" i="18"/>
  <c r="AP12" i="18"/>
  <c r="AL15" i="18"/>
  <c r="AO15" i="18"/>
  <c r="H63" i="17"/>
  <c r="J63" i="17" s="1"/>
  <c r="I63" i="17"/>
  <c r="M63" i="17"/>
  <c r="N63" i="17"/>
  <c r="Q63" i="17"/>
  <c r="H62" i="17"/>
  <c r="J62" i="17" s="1"/>
  <c r="I62" i="17"/>
  <c r="M62" i="17"/>
  <c r="N62" i="17"/>
  <c r="Q62" i="17"/>
  <c r="H61" i="17"/>
  <c r="J61" i="17" s="1"/>
  <c r="I61" i="17"/>
  <c r="M61" i="17"/>
  <c r="N61" i="17"/>
  <c r="Q61" i="17"/>
  <c r="H59" i="17"/>
  <c r="J59" i="17" s="1"/>
  <c r="I59" i="17"/>
  <c r="M59" i="17"/>
  <c r="N59" i="17"/>
  <c r="Q59" i="17"/>
  <c r="H43" i="17"/>
  <c r="J43" i="17" s="1"/>
  <c r="I43" i="17"/>
  <c r="M43" i="17"/>
  <c r="N43" i="17"/>
  <c r="Q43" i="17"/>
  <c r="H36" i="17"/>
  <c r="J36" i="17" s="1"/>
  <c r="I36" i="17"/>
  <c r="M36" i="17"/>
  <c r="N36" i="17"/>
  <c r="Q36" i="17"/>
  <c r="H35" i="17"/>
  <c r="J35" i="17" s="1"/>
  <c r="I35" i="17"/>
  <c r="M35" i="17"/>
  <c r="N35" i="17"/>
  <c r="Q35" i="17"/>
  <c r="H33" i="17"/>
  <c r="J33" i="17" s="1"/>
  <c r="I33" i="17"/>
  <c r="M33" i="17"/>
  <c r="N33" i="17"/>
  <c r="Q33" i="17"/>
  <c r="AC28" i="17"/>
  <c r="AD28" i="17"/>
  <c r="AC24" i="17"/>
  <c r="AD24" i="17"/>
  <c r="AC22" i="17"/>
  <c r="AD22" i="17"/>
  <c r="AC21" i="17"/>
  <c r="AD21" i="17"/>
  <c r="AC19" i="17"/>
  <c r="AD19" i="17"/>
  <c r="AC7" i="17"/>
  <c r="AD7" i="17"/>
  <c r="H60" i="16"/>
  <c r="J60" i="16" s="1"/>
  <c r="I60" i="16"/>
  <c r="M60" i="16"/>
  <c r="N60" i="16"/>
  <c r="Q60" i="16"/>
  <c r="H41" i="16"/>
  <c r="J41" i="16" s="1"/>
  <c r="I41" i="16"/>
  <c r="Q41" i="16"/>
  <c r="M41" i="16"/>
  <c r="N41" i="16"/>
  <c r="H40" i="16"/>
  <c r="J40" i="16" s="1"/>
  <c r="I40" i="16"/>
  <c r="M40" i="16"/>
  <c r="N40" i="16"/>
  <c r="Q40" i="16"/>
  <c r="H39" i="16"/>
  <c r="J39" i="16" s="1"/>
  <c r="I39" i="16"/>
  <c r="M39" i="16"/>
  <c r="Q39" i="16"/>
  <c r="N39" i="16"/>
  <c r="AC33" i="16"/>
  <c r="AD33" i="16"/>
  <c r="AC31" i="16"/>
  <c r="AD31" i="16"/>
  <c r="N31" i="16"/>
  <c r="M31" i="16"/>
  <c r="Q31" i="16"/>
  <c r="H31" i="16"/>
  <c r="J31" i="16" s="1"/>
  <c r="I31" i="16"/>
  <c r="AC29" i="16"/>
  <c r="AD29" i="16"/>
  <c r="AC28" i="16"/>
  <c r="AD28" i="16"/>
  <c r="AC26" i="16"/>
  <c r="AD26" i="16"/>
  <c r="AC24" i="16"/>
  <c r="AD24" i="16"/>
  <c r="AC20" i="16"/>
  <c r="AD20" i="16"/>
  <c r="H20" i="16"/>
  <c r="J20" i="16" s="1"/>
  <c r="I20" i="16"/>
  <c r="M20" i="16"/>
  <c r="N20" i="16"/>
  <c r="Q20" i="16"/>
  <c r="H18" i="16"/>
  <c r="J18" i="16" s="1"/>
  <c r="I18" i="16"/>
  <c r="M18" i="16"/>
  <c r="N18" i="16"/>
  <c r="Q18" i="16"/>
  <c r="AC16" i="16"/>
  <c r="AD16" i="16"/>
  <c r="H16" i="16"/>
  <c r="J16" i="16" s="1"/>
  <c r="I16" i="16"/>
  <c r="M16" i="16"/>
  <c r="N16" i="16"/>
  <c r="Q16" i="16"/>
  <c r="AC14" i="16"/>
  <c r="AD14" i="16"/>
  <c r="H14" i="16"/>
  <c r="J14" i="16" s="1"/>
  <c r="I14" i="16"/>
  <c r="M14" i="16"/>
  <c r="N14" i="16"/>
  <c r="Q14" i="16"/>
  <c r="I11" i="16"/>
  <c r="M11" i="16"/>
  <c r="N11" i="16"/>
  <c r="AC9" i="16"/>
  <c r="AD9" i="16"/>
  <c r="H9" i="16"/>
  <c r="I9" i="16"/>
  <c r="J9" i="16" s="1"/>
  <c r="M9" i="16"/>
  <c r="N9" i="16"/>
  <c r="H59" i="15"/>
  <c r="J59" i="15" s="1"/>
  <c r="M59" i="15"/>
  <c r="N59" i="15"/>
  <c r="Q59" i="15"/>
  <c r="I59" i="15"/>
  <c r="M58" i="15"/>
  <c r="Q58" i="15"/>
  <c r="H58" i="15"/>
  <c r="J58" i="15" s="1"/>
  <c r="I58" i="15"/>
  <c r="N58" i="15"/>
  <c r="H52" i="15"/>
  <c r="J52" i="15" s="1"/>
  <c r="I52" i="15"/>
  <c r="M52" i="15"/>
  <c r="N52" i="15"/>
  <c r="Q52" i="15"/>
  <c r="H49" i="15"/>
  <c r="J49" i="15" s="1"/>
  <c r="I49" i="15"/>
  <c r="M49" i="15"/>
  <c r="N49" i="15"/>
  <c r="Q49" i="15"/>
  <c r="H46" i="15"/>
  <c r="J46" i="15" s="1"/>
  <c r="I46" i="15"/>
  <c r="M46" i="15"/>
  <c r="N46" i="15"/>
  <c r="Q46" i="15"/>
  <c r="H44" i="15"/>
  <c r="J44" i="15" s="1"/>
  <c r="I44" i="15"/>
  <c r="M44" i="15"/>
  <c r="N44" i="15"/>
  <c r="Q44" i="15"/>
  <c r="H42" i="15"/>
  <c r="J42" i="15" s="1"/>
  <c r="I42" i="15"/>
  <c r="M42" i="15"/>
  <c r="N42" i="15"/>
  <c r="Q42" i="15"/>
  <c r="H39" i="15"/>
  <c r="J39" i="15" s="1"/>
  <c r="I39" i="15"/>
  <c r="M39" i="15"/>
  <c r="N39" i="15"/>
  <c r="Q39" i="15"/>
  <c r="I38" i="15"/>
  <c r="M38" i="15"/>
  <c r="N38" i="15"/>
  <c r="Q38" i="15"/>
  <c r="H38" i="15"/>
  <c r="J38" i="15" s="1"/>
  <c r="H34" i="15"/>
  <c r="J34" i="15" s="1"/>
  <c r="M34" i="15"/>
  <c r="Q34" i="15"/>
  <c r="I34" i="15"/>
  <c r="N34" i="15"/>
  <c r="AC32" i="15"/>
  <c r="AD32" i="15"/>
  <c r="AD31" i="15"/>
  <c r="AC31" i="15"/>
  <c r="AC28" i="15"/>
  <c r="AD28" i="15"/>
  <c r="H28" i="15"/>
  <c r="J28" i="15" s="1"/>
  <c r="I28" i="15"/>
  <c r="M28" i="15"/>
  <c r="N28" i="15"/>
  <c r="Q28" i="15"/>
  <c r="AD26" i="15"/>
  <c r="AC26" i="15"/>
  <c r="H26" i="15"/>
  <c r="J26" i="15" s="1"/>
  <c r="I26" i="15"/>
  <c r="N26" i="15"/>
  <c r="M26" i="15"/>
  <c r="Q26" i="15"/>
  <c r="I24" i="15"/>
  <c r="M24" i="15"/>
  <c r="N24" i="15"/>
  <c r="Q24" i="15"/>
  <c r="H24" i="15"/>
  <c r="J24" i="15" s="1"/>
  <c r="AC22" i="15"/>
  <c r="AD22" i="15"/>
  <c r="AC19" i="15"/>
  <c r="AD19" i="15"/>
  <c r="H19" i="15"/>
  <c r="J19" i="15" s="1"/>
  <c r="I19" i="15"/>
  <c r="M19" i="15"/>
  <c r="N19" i="15"/>
  <c r="Q19" i="15"/>
  <c r="AC17" i="15"/>
  <c r="AD17" i="15"/>
  <c r="AC14" i="15"/>
  <c r="AD14" i="15"/>
  <c r="H14" i="15"/>
  <c r="J14" i="15" s="1"/>
  <c r="I14" i="15"/>
  <c r="M14" i="15"/>
  <c r="N14" i="15"/>
  <c r="Q14" i="15"/>
  <c r="AC10" i="15"/>
  <c r="AD10" i="15"/>
  <c r="H10" i="15"/>
  <c r="J10" i="15" s="1"/>
  <c r="I10" i="15"/>
  <c r="M10" i="15"/>
  <c r="N10" i="15"/>
  <c r="Q10" i="15"/>
  <c r="AC8" i="15"/>
  <c r="AD8" i="15"/>
  <c r="I8" i="15"/>
  <c r="M8" i="15"/>
  <c r="N8" i="15"/>
  <c r="AC5" i="15"/>
  <c r="AD5" i="15"/>
  <c r="H5" i="15"/>
  <c r="I5" i="15"/>
  <c r="J5" i="15" s="1"/>
  <c r="M5" i="15"/>
  <c r="N5" i="15"/>
  <c r="H59" i="14"/>
  <c r="J59" i="14" s="1"/>
  <c r="I59" i="14"/>
  <c r="M59" i="14"/>
  <c r="N59" i="14"/>
  <c r="Q59" i="14"/>
  <c r="H58" i="14"/>
  <c r="J58" i="14" s="1"/>
  <c r="I58" i="14"/>
  <c r="M58" i="14"/>
  <c r="N58" i="14"/>
  <c r="Q58" i="14"/>
  <c r="H53" i="14"/>
  <c r="J53" i="14" s="1"/>
  <c r="I53" i="14"/>
  <c r="M53" i="14"/>
  <c r="N53" i="14"/>
  <c r="Q53" i="14"/>
  <c r="H47" i="14"/>
  <c r="J47" i="14" s="1"/>
  <c r="I47" i="14"/>
  <c r="M47" i="14"/>
  <c r="N47" i="14"/>
  <c r="Q47" i="14"/>
  <c r="H44" i="14"/>
  <c r="J44" i="14" s="1"/>
  <c r="I44" i="14"/>
  <c r="M44" i="14"/>
  <c r="N44" i="14"/>
  <c r="Q44" i="14"/>
  <c r="H42" i="14"/>
  <c r="J42" i="14" s="1"/>
  <c r="I42" i="14"/>
  <c r="M42" i="14"/>
  <c r="Q42" i="14"/>
  <c r="N42" i="14"/>
  <c r="H41" i="14"/>
  <c r="J41" i="14" s="1"/>
  <c r="I41" i="14"/>
  <c r="M41" i="14"/>
  <c r="N41" i="14"/>
  <c r="Q41" i="14"/>
  <c r="H39" i="14"/>
  <c r="J39" i="14" s="1"/>
  <c r="I39" i="14"/>
  <c r="M39" i="14"/>
  <c r="N39" i="14"/>
  <c r="Q39" i="14"/>
  <c r="I35" i="14"/>
  <c r="H35" i="14"/>
  <c r="J35" i="14" s="1"/>
  <c r="M35" i="14"/>
  <c r="N35" i="14"/>
  <c r="Q35" i="14"/>
  <c r="H44" i="13"/>
  <c r="J44" i="13" s="1"/>
  <c r="I44" i="13"/>
  <c r="L44" i="13"/>
  <c r="M44" i="13"/>
  <c r="P44" i="13"/>
  <c r="H41" i="13"/>
  <c r="J41" i="13" s="1"/>
  <c r="I41" i="13"/>
  <c r="L41" i="13"/>
  <c r="M41" i="13"/>
  <c r="P41" i="13"/>
  <c r="H38" i="13"/>
  <c r="J38" i="13" s="1"/>
  <c r="I38" i="13"/>
  <c r="L38" i="13"/>
  <c r="M38" i="13"/>
  <c r="P38" i="13"/>
  <c r="AB32" i="13"/>
  <c r="AC32" i="13"/>
  <c r="AB29" i="13"/>
  <c r="AC29" i="13"/>
  <c r="AB28" i="13"/>
  <c r="AC28" i="13"/>
  <c r="AB25" i="13"/>
  <c r="AC25" i="13"/>
  <c r="H25" i="13"/>
  <c r="J25" i="13" s="1"/>
  <c r="I25" i="13"/>
  <c r="L25" i="13"/>
  <c r="P25" i="13"/>
  <c r="M25" i="13"/>
  <c r="AB19" i="13"/>
  <c r="AC19" i="13"/>
  <c r="AB18" i="13"/>
  <c r="AC18" i="13"/>
  <c r="AB17" i="13"/>
  <c r="AC17" i="13"/>
  <c r="H15" i="13"/>
  <c r="J15" i="13" s="1"/>
  <c r="I15" i="13"/>
  <c r="L15" i="13"/>
  <c r="M15" i="13"/>
  <c r="P15" i="13"/>
  <c r="H14" i="13"/>
  <c r="J14" i="13" s="1"/>
  <c r="I14" i="13"/>
  <c r="L14" i="13"/>
  <c r="M14" i="13"/>
  <c r="P14" i="13"/>
  <c r="I8" i="13"/>
  <c r="J8" i="13" s="1"/>
  <c r="L8" i="13"/>
  <c r="M8" i="13"/>
  <c r="H52" i="6"/>
  <c r="I52" i="6"/>
  <c r="J52" i="6" s="1"/>
  <c r="Q52" i="6"/>
  <c r="M52" i="6"/>
  <c r="N52" i="6"/>
  <c r="H45" i="6"/>
  <c r="Q45" i="6"/>
  <c r="I45" i="6"/>
  <c r="J45" i="6" s="1"/>
  <c r="M45" i="6"/>
  <c r="N45" i="6"/>
  <c r="AD31" i="6"/>
  <c r="AC31" i="6"/>
  <c r="AC6" i="19"/>
  <c r="AD6" i="19"/>
  <c r="AC4" i="19"/>
  <c r="AD4" i="19"/>
  <c r="I4" i="19"/>
  <c r="M4" i="19"/>
  <c r="N4" i="19"/>
  <c r="Q4" i="19"/>
  <c r="H63" i="18"/>
  <c r="J63" i="18" s="1"/>
  <c r="I63" i="18"/>
  <c r="M63" i="18"/>
  <c r="N63" i="18"/>
  <c r="Q63" i="18"/>
  <c r="H49" i="18"/>
  <c r="J49" i="18" s="1"/>
  <c r="I49" i="18"/>
  <c r="M49" i="18"/>
  <c r="N49" i="18"/>
  <c r="Q49" i="18"/>
  <c r="H47" i="18"/>
  <c r="J47" i="18" s="1"/>
  <c r="I47" i="18"/>
  <c r="M47" i="18"/>
  <c r="N47" i="18"/>
  <c r="Q47" i="18"/>
  <c r="H46" i="18"/>
  <c r="J46" i="18" s="1"/>
  <c r="I46" i="18"/>
  <c r="M46" i="18"/>
  <c r="N46" i="18"/>
  <c r="Q46" i="18"/>
  <c r="H33" i="18"/>
  <c r="J33" i="18" s="1"/>
  <c r="I33" i="18"/>
  <c r="M33" i="18"/>
  <c r="N33" i="18"/>
  <c r="Q33" i="18"/>
  <c r="H32" i="18"/>
  <c r="J32" i="18" s="1"/>
  <c r="I32" i="18"/>
  <c r="M32" i="18"/>
  <c r="N32" i="18"/>
  <c r="Q32" i="18"/>
  <c r="H31" i="18"/>
  <c r="J31" i="18" s="1"/>
  <c r="I31" i="18"/>
  <c r="N31" i="18"/>
  <c r="Q31" i="18"/>
  <c r="M31" i="18"/>
  <c r="H30" i="18"/>
  <c r="J30" i="18" s="1"/>
  <c r="I30" i="18"/>
  <c r="M30" i="18"/>
  <c r="N30" i="18"/>
  <c r="Q30" i="18"/>
  <c r="H29" i="18"/>
  <c r="J29" i="18" s="1"/>
  <c r="I29" i="18"/>
  <c r="M29" i="18"/>
  <c r="N29" i="18"/>
  <c r="Q29" i="18"/>
  <c r="H28" i="18"/>
  <c r="J28" i="18" s="1"/>
  <c r="I28" i="18"/>
  <c r="M28" i="18"/>
  <c r="Q28" i="18"/>
  <c r="N28" i="18"/>
  <c r="H27" i="18"/>
  <c r="J27" i="18" s="1"/>
  <c r="I27" i="18"/>
  <c r="M27" i="18"/>
  <c r="N27" i="18"/>
  <c r="Q27" i="18"/>
  <c r="H26" i="18"/>
  <c r="J26" i="18" s="1"/>
  <c r="I26" i="18"/>
  <c r="M26" i="18"/>
  <c r="Q26" i="18"/>
  <c r="N26" i="18"/>
  <c r="H25" i="18"/>
  <c r="J25" i="18" s="1"/>
  <c r="I25" i="18"/>
  <c r="M25" i="18"/>
  <c r="N25" i="18"/>
  <c r="Q25" i="18"/>
  <c r="AC23" i="18"/>
  <c r="AD23" i="18"/>
  <c r="AC22" i="18"/>
  <c r="AD22" i="18"/>
  <c r="AC21" i="18"/>
  <c r="AD21" i="18"/>
  <c r="AC19" i="18"/>
  <c r="AD19" i="18"/>
  <c r="AC18" i="18"/>
  <c r="AD18" i="18"/>
  <c r="AD16" i="18"/>
  <c r="AC16" i="18"/>
  <c r="AC13" i="18"/>
  <c r="AD13" i="18"/>
  <c r="H13" i="18"/>
  <c r="J13" i="18" s="1"/>
  <c r="I13" i="18"/>
  <c r="M13" i="18"/>
  <c r="N13" i="18"/>
  <c r="Q13" i="18"/>
  <c r="AC11" i="18"/>
  <c r="AD11" i="18"/>
  <c r="H11" i="18"/>
  <c r="J11" i="18" s="1"/>
  <c r="I11" i="18"/>
  <c r="M11" i="18"/>
  <c r="N11" i="18"/>
  <c r="Q11" i="18"/>
  <c r="AC9" i="18"/>
  <c r="AD9" i="18"/>
  <c r="H9" i="18"/>
  <c r="J9" i="18" s="1"/>
  <c r="I9" i="18"/>
  <c r="M9" i="18"/>
  <c r="N9" i="18"/>
  <c r="Q9" i="18"/>
  <c r="AC7" i="18"/>
  <c r="AD7" i="18"/>
  <c r="I7" i="18"/>
  <c r="M7" i="18"/>
  <c r="N7" i="18"/>
  <c r="AC5" i="18"/>
  <c r="AD5" i="18"/>
  <c r="I5" i="18"/>
  <c r="J5" i="18" s="1"/>
  <c r="M5" i="18"/>
  <c r="N5" i="18"/>
  <c r="H44" i="17"/>
  <c r="J44" i="17" s="1"/>
  <c r="I44" i="17"/>
  <c r="M44" i="17"/>
  <c r="N44" i="17"/>
  <c r="Q44" i="17"/>
  <c r="H42" i="17"/>
  <c r="J42" i="17" s="1"/>
  <c r="I42" i="17"/>
  <c r="M42" i="17"/>
  <c r="N42" i="17"/>
  <c r="Q42" i="17"/>
  <c r="H41" i="17"/>
  <c r="J41" i="17" s="1"/>
  <c r="I41" i="17"/>
  <c r="Q41" i="17"/>
  <c r="M41" i="17"/>
  <c r="N41" i="17"/>
  <c r="H38" i="17"/>
  <c r="J38" i="17" s="1"/>
  <c r="I38" i="17"/>
  <c r="Q38" i="17"/>
  <c r="N38" i="17"/>
  <c r="M38" i="17"/>
  <c r="AC33" i="17"/>
  <c r="AD33" i="17"/>
  <c r="H31" i="17"/>
  <c r="J31" i="17" s="1"/>
  <c r="I31" i="17"/>
  <c r="M31" i="17"/>
  <c r="N31" i="17"/>
  <c r="Q31" i="17"/>
  <c r="H30" i="17"/>
  <c r="J30" i="17" s="1"/>
  <c r="I30" i="17"/>
  <c r="M30" i="17"/>
  <c r="Q30" i="17"/>
  <c r="N30" i="17"/>
  <c r="H29" i="17"/>
  <c r="J29" i="17" s="1"/>
  <c r="I29" i="17"/>
  <c r="M29" i="17"/>
  <c r="N29" i="17"/>
  <c r="Q29" i="17"/>
  <c r="H28" i="17"/>
  <c r="J28" i="17" s="1"/>
  <c r="I28" i="17"/>
  <c r="M28" i="17"/>
  <c r="N28" i="17"/>
  <c r="Q28" i="17"/>
  <c r="H27" i="17"/>
  <c r="J27" i="17" s="1"/>
  <c r="I27" i="17"/>
  <c r="N27" i="17"/>
  <c r="M27" i="17"/>
  <c r="Q27" i="17"/>
  <c r="H26" i="17"/>
  <c r="J26" i="17" s="1"/>
  <c r="I26" i="17"/>
  <c r="N26" i="17"/>
  <c r="M26" i="17"/>
  <c r="Q26" i="17"/>
  <c r="H25" i="17"/>
  <c r="J25" i="17" s="1"/>
  <c r="I25" i="17"/>
  <c r="Q25" i="17"/>
  <c r="M25" i="17"/>
  <c r="N25" i="17"/>
  <c r="H24" i="17"/>
  <c r="J24" i="17" s="1"/>
  <c r="I24" i="17"/>
  <c r="M24" i="17"/>
  <c r="N24" i="17"/>
  <c r="Q24" i="17"/>
  <c r="H23" i="17"/>
  <c r="J23" i="17" s="1"/>
  <c r="I23" i="17"/>
  <c r="M23" i="17"/>
  <c r="Q23" i="17"/>
  <c r="N23" i="17"/>
  <c r="H22" i="17"/>
  <c r="J22" i="17" s="1"/>
  <c r="I22" i="17"/>
  <c r="M22" i="17"/>
  <c r="Q22" i="17"/>
  <c r="N22" i="17"/>
  <c r="H21" i="17"/>
  <c r="J21" i="17" s="1"/>
  <c r="I21" i="17"/>
  <c r="N21" i="17"/>
  <c r="Q21" i="17"/>
  <c r="M21" i="17"/>
  <c r="H20" i="17"/>
  <c r="J20" i="17" s="1"/>
  <c r="I20" i="17"/>
  <c r="M20" i="17"/>
  <c r="Q20" i="17"/>
  <c r="N20" i="17"/>
  <c r="H19" i="17"/>
  <c r="J19" i="17" s="1"/>
  <c r="I19" i="17"/>
  <c r="N19" i="17"/>
  <c r="M19" i="17"/>
  <c r="Q19" i="17"/>
  <c r="H18" i="17"/>
  <c r="J18" i="17" s="1"/>
  <c r="I18" i="17"/>
  <c r="M18" i="17"/>
  <c r="Q18" i="17"/>
  <c r="N18" i="17"/>
  <c r="H17" i="17"/>
  <c r="J17" i="17" s="1"/>
  <c r="I17" i="17"/>
  <c r="M17" i="17"/>
  <c r="N17" i="17"/>
  <c r="Q17" i="17"/>
  <c r="I7" i="17"/>
  <c r="M7" i="17"/>
  <c r="N7" i="17"/>
  <c r="H59" i="16"/>
  <c r="J59" i="16" s="1"/>
  <c r="I59" i="16"/>
  <c r="M59" i="16"/>
  <c r="N59" i="16"/>
  <c r="Q59" i="16"/>
  <c r="H58" i="16"/>
  <c r="J58" i="16" s="1"/>
  <c r="I58" i="16"/>
  <c r="N58" i="16"/>
  <c r="M58" i="16"/>
  <c r="Q58" i="16"/>
  <c r="H57" i="16"/>
  <c r="J57" i="16" s="1"/>
  <c r="I57" i="16"/>
  <c r="M57" i="16"/>
  <c r="Q57" i="16"/>
  <c r="N57" i="16"/>
  <c r="H56" i="16"/>
  <c r="J56" i="16" s="1"/>
  <c r="I56" i="16"/>
  <c r="N56" i="16"/>
  <c r="M56" i="16"/>
  <c r="Q56" i="16"/>
  <c r="H55" i="16"/>
  <c r="J55" i="16" s="1"/>
  <c r="I55" i="16"/>
  <c r="N55" i="16"/>
  <c r="M55" i="16"/>
  <c r="Q55" i="16"/>
  <c r="H54" i="16"/>
  <c r="J54" i="16" s="1"/>
  <c r="I54" i="16"/>
  <c r="M54" i="16"/>
  <c r="Q54" i="16"/>
  <c r="N54" i="16"/>
  <c r="H53" i="16"/>
  <c r="J53" i="16" s="1"/>
  <c r="I53" i="16"/>
  <c r="M53" i="16"/>
  <c r="N53" i="16"/>
  <c r="Q53" i="16"/>
  <c r="H52" i="16"/>
  <c r="J52" i="16" s="1"/>
  <c r="I52" i="16"/>
  <c r="M52" i="16"/>
  <c r="N52" i="16"/>
  <c r="Q52" i="16"/>
  <c r="H51" i="16"/>
  <c r="J51" i="16" s="1"/>
  <c r="I51" i="16"/>
  <c r="N51" i="16"/>
  <c r="Q51" i="16"/>
  <c r="M51" i="16"/>
  <c r="H50" i="16"/>
  <c r="J50" i="16" s="1"/>
  <c r="I50" i="16"/>
  <c r="N50" i="16"/>
  <c r="M50" i="16"/>
  <c r="Q50" i="16"/>
  <c r="H49" i="16"/>
  <c r="J49" i="16" s="1"/>
  <c r="I49" i="16"/>
  <c r="M49" i="16"/>
  <c r="N49" i="16"/>
  <c r="Q49" i="16"/>
  <c r="H48" i="16"/>
  <c r="J48" i="16" s="1"/>
  <c r="I48" i="16"/>
  <c r="N48" i="16"/>
  <c r="M48" i="16"/>
  <c r="Q48" i="16"/>
  <c r="H47" i="16"/>
  <c r="J47" i="16" s="1"/>
  <c r="I47" i="16"/>
  <c r="M47" i="16"/>
  <c r="N47" i="16"/>
  <c r="Q47" i="16"/>
  <c r="H46" i="16"/>
  <c r="J46" i="16" s="1"/>
  <c r="I46" i="16"/>
  <c r="M46" i="16"/>
  <c r="Q46" i="16"/>
  <c r="N46" i="16"/>
  <c r="H45" i="16"/>
  <c r="J45" i="16" s="1"/>
  <c r="I45" i="16"/>
  <c r="M45" i="16"/>
  <c r="Q45" i="16"/>
  <c r="N45" i="16"/>
  <c r="H44" i="16"/>
  <c r="J44" i="16" s="1"/>
  <c r="I44" i="16"/>
  <c r="M44" i="16"/>
  <c r="Q44" i="16"/>
  <c r="N44" i="16"/>
  <c r="H43" i="16"/>
  <c r="J43" i="16" s="1"/>
  <c r="I43" i="16"/>
  <c r="M43" i="16"/>
  <c r="N43" i="16"/>
  <c r="Q43" i="16"/>
  <c r="H35" i="16"/>
  <c r="J35" i="16" s="1"/>
  <c r="I35" i="16"/>
  <c r="N35" i="16"/>
  <c r="Q35" i="16"/>
  <c r="M35" i="16"/>
  <c r="I34" i="16"/>
  <c r="H34" i="16"/>
  <c r="J34" i="16" s="1"/>
  <c r="N34" i="16"/>
  <c r="M34" i="16"/>
  <c r="Q34" i="16"/>
  <c r="H33" i="16"/>
  <c r="J33" i="16" s="1"/>
  <c r="I33" i="16"/>
  <c r="M33" i="16"/>
  <c r="N33" i="16"/>
  <c r="Q33" i="16"/>
  <c r="H32" i="16"/>
  <c r="J32" i="16" s="1"/>
  <c r="I32" i="16"/>
  <c r="M32" i="16"/>
  <c r="N32" i="16"/>
  <c r="Q32" i="16"/>
  <c r="H30" i="16"/>
  <c r="J30" i="16" s="1"/>
  <c r="I30" i="16"/>
  <c r="M30" i="16"/>
  <c r="N30" i="16"/>
  <c r="Q30" i="16"/>
  <c r="AC27" i="16"/>
  <c r="AD27" i="16"/>
  <c r="AC25" i="16"/>
  <c r="AD25" i="16"/>
  <c r="AC23" i="16"/>
  <c r="AD23" i="16"/>
  <c r="AC22" i="16"/>
  <c r="AD22" i="16"/>
  <c r="AC21" i="16"/>
  <c r="AD21" i="16"/>
  <c r="H21" i="16"/>
  <c r="J21" i="16" s="1"/>
  <c r="I21" i="16"/>
  <c r="N21" i="16"/>
  <c r="Q21" i="16"/>
  <c r="M21" i="16"/>
  <c r="AC19" i="16"/>
  <c r="AD19" i="16"/>
  <c r="AC17" i="16"/>
  <c r="AD17" i="16"/>
  <c r="H17" i="16"/>
  <c r="J17" i="16" s="1"/>
  <c r="I17" i="16"/>
  <c r="M17" i="16"/>
  <c r="N17" i="16"/>
  <c r="Q17" i="16"/>
  <c r="AC12" i="16"/>
  <c r="AD12" i="16"/>
  <c r="I12" i="16"/>
  <c r="M12" i="16"/>
  <c r="N12" i="16"/>
  <c r="AC10" i="16"/>
  <c r="AD10" i="16"/>
  <c r="I10" i="16"/>
  <c r="M10" i="16"/>
  <c r="N10" i="16"/>
  <c r="AC7" i="16"/>
  <c r="AD7" i="16"/>
  <c r="M7" i="16"/>
  <c r="N7" i="16"/>
  <c r="AC5" i="16"/>
  <c r="AD5" i="16"/>
  <c r="M5" i="16"/>
  <c r="N5" i="16"/>
  <c r="I53" i="15"/>
  <c r="H53" i="15"/>
  <c r="J53" i="15" s="1"/>
  <c r="M53" i="15"/>
  <c r="N53" i="15"/>
  <c r="Q53" i="15"/>
  <c r="H51" i="15"/>
  <c r="J51" i="15" s="1"/>
  <c r="I51" i="15"/>
  <c r="M51" i="15"/>
  <c r="N51" i="15"/>
  <c r="Q51" i="15"/>
  <c r="H48" i="15"/>
  <c r="J48" i="15" s="1"/>
  <c r="I48" i="15"/>
  <c r="N48" i="15"/>
  <c r="M48" i="15"/>
  <c r="Q48" i="15"/>
  <c r="H45" i="15"/>
  <c r="J45" i="15" s="1"/>
  <c r="I45" i="15"/>
  <c r="N45" i="15"/>
  <c r="Q45" i="15"/>
  <c r="M45" i="15"/>
  <c r="H41" i="15"/>
  <c r="J41" i="15" s="1"/>
  <c r="I41" i="15"/>
  <c r="M41" i="15"/>
  <c r="N41" i="15"/>
  <c r="Q41" i="15"/>
  <c r="H31" i="15"/>
  <c r="J31" i="15" s="1"/>
  <c r="I31" i="15"/>
  <c r="M31" i="15"/>
  <c r="N31" i="15"/>
  <c r="Q31" i="15"/>
  <c r="AC29" i="15"/>
  <c r="AD29" i="15"/>
  <c r="M29" i="15"/>
  <c r="N29" i="15"/>
  <c r="Q29" i="15"/>
  <c r="H29" i="15"/>
  <c r="J29" i="15" s="1"/>
  <c r="I29" i="15"/>
  <c r="AC27" i="15"/>
  <c r="AD27" i="15"/>
  <c r="H27" i="15"/>
  <c r="J27" i="15" s="1"/>
  <c r="I27" i="15"/>
  <c r="M27" i="15"/>
  <c r="N27" i="15"/>
  <c r="Q27" i="15"/>
  <c r="AC25" i="15"/>
  <c r="AD25" i="15"/>
  <c r="H25" i="15"/>
  <c r="J25" i="15" s="1"/>
  <c r="I25" i="15"/>
  <c r="M25" i="15"/>
  <c r="N25" i="15"/>
  <c r="Q25" i="15"/>
  <c r="AC21" i="15"/>
  <c r="AD21" i="15"/>
  <c r="H21" i="15"/>
  <c r="J21" i="15" s="1"/>
  <c r="I21" i="15"/>
  <c r="M21" i="15"/>
  <c r="N21" i="15"/>
  <c r="Q21" i="15"/>
  <c r="AC18" i="15"/>
  <c r="AD18" i="15"/>
  <c r="AC16" i="15"/>
  <c r="AD16" i="15"/>
  <c r="H16" i="15"/>
  <c r="J16" i="15" s="1"/>
  <c r="I16" i="15"/>
  <c r="N16" i="15"/>
  <c r="M16" i="15"/>
  <c r="Q16" i="15"/>
  <c r="AC12" i="15"/>
  <c r="AD12" i="15"/>
  <c r="H12" i="15"/>
  <c r="J12" i="15" s="1"/>
  <c r="I12" i="15"/>
  <c r="M12" i="15"/>
  <c r="N12" i="15"/>
  <c r="Q12" i="15"/>
  <c r="AC11" i="15"/>
  <c r="AD11" i="15"/>
  <c r="AC9" i="15"/>
  <c r="AD9" i="15"/>
  <c r="H9" i="15"/>
  <c r="J9" i="15" s="1"/>
  <c r="I9" i="15"/>
  <c r="M9" i="15"/>
  <c r="N9" i="15"/>
  <c r="I7" i="15"/>
  <c r="M7" i="15"/>
  <c r="N7" i="15"/>
  <c r="H54" i="14"/>
  <c r="J54" i="14" s="1"/>
  <c r="I54" i="14"/>
  <c r="M54" i="14"/>
  <c r="N54" i="14"/>
  <c r="Q54" i="14"/>
  <c r="H51" i="14"/>
  <c r="J51" i="14" s="1"/>
  <c r="I51" i="14"/>
  <c r="M51" i="14"/>
  <c r="N51" i="14"/>
  <c r="Q51" i="14"/>
  <c r="H48" i="14"/>
  <c r="J48" i="14" s="1"/>
  <c r="I48" i="14"/>
  <c r="M48" i="14"/>
  <c r="N48" i="14"/>
  <c r="Q48" i="14"/>
  <c r="H45" i="14"/>
  <c r="J45" i="14" s="1"/>
  <c r="I45" i="14"/>
  <c r="M45" i="14"/>
  <c r="N45" i="14"/>
  <c r="Q45" i="14"/>
  <c r="H40" i="14"/>
  <c r="J40" i="14" s="1"/>
  <c r="I40" i="14"/>
  <c r="M40" i="14"/>
  <c r="N40" i="14"/>
  <c r="Q40" i="14"/>
  <c r="H38" i="14"/>
  <c r="J38" i="14" s="1"/>
  <c r="I38" i="14"/>
  <c r="M38" i="14"/>
  <c r="N38" i="14"/>
  <c r="Q38" i="14"/>
  <c r="H36" i="14"/>
  <c r="J36" i="14" s="1"/>
  <c r="I36" i="14"/>
  <c r="M36" i="14"/>
  <c r="N36" i="14"/>
  <c r="Q36" i="14"/>
  <c r="AC5" i="14"/>
  <c r="AD5" i="14"/>
  <c r="M5" i="14"/>
  <c r="N5" i="14"/>
  <c r="AC4" i="14"/>
  <c r="AD4" i="14"/>
  <c r="I4" i="14"/>
  <c r="J4" i="14" s="1"/>
  <c r="M4" i="14"/>
  <c r="N4" i="14"/>
  <c r="C4" i="14"/>
  <c r="AJ4" i="14"/>
  <c r="AL4" i="14"/>
  <c r="AJ5" i="14"/>
  <c r="AL5" i="14"/>
  <c r="AJ6" i="14"/>
  <c r="AL6" i="14"/>
  <c r="AJ7" i="14"/>
  <c r="AL7" i="14"/>
  <c r="AJ8" i="14"/>
  <c r="AL8" i="14"/>
  <c r="AJ9" i="14"/>
  <c r="AL9" i="14"/>
  <c r="AJ10" i="14"/>
  <c r="AL10" i="14"/>
  <c r="AJ11" i="14"/>
  <c r="AL11" i="14"/>
  <c r="AJ12" i="14"/>
  <c r="AK12" i="14"/>
  <c r="AL12" i="14"/>
  <c r="AM12" i="14"/>
  <c r="AN12" i="14"/>
  <c r="AO12" i="14"/>
  <c r="AP12" i="14"/>
  <c r="AJ13" i="14"/>
  <c r="AK13" i="14"/>
  <c r="AL13" i="14"/>
  <c r="AM13" i="14"/>
  <c r="AN13" i="14"/>
  <c r="AO13" i="14"/>
  <c r="AP13" i="14"/>
  <c r="AJ14" i="14"/>
  <c r="AK14" i="14"/>
  <c r="AL14" i="14"/>
  <c r="AM14" i="14"/>
  <c r="AN14" i="14"/>
  <c r="AO14" i="14"/>
  <c r="AP14" i="14"/>
  <c r="AJ15" i="14"/>
  <c r="AK15" i="14"/>
  <c r="AL15" i="14"/>
  <c r="AM15" i="14"/>
  <c r="AN15" i="14"/>
  <c r="AO15" i="14"/>
  <c r="AP15" i="14"/>
  <c r="H63" i="13"/>
  <c r="J63" i="13" s="1"/>
  <c r="I63" i="13"/>
  <c r="L63" i="13"/>
  <c r="M63" i="13"/>
  <c r="P63" i="13"/>
  <c r="H62" i="13"/>
  <c r="J62" i="13" s="1"/>
  <c r="I62" i="13"/>
  <c r="L62" i="13"/>
  <c r="M62" i="13"/>
  <c r="P62" i="13"/>
  <c r="H61" i="13"/>
  <c r="J61" i="13" s="1"/>
  <c r="I61" i="13"/>
  <c r="L61" i="13"/>
  <c r="M61" i="13"/>
  <c r="P61" i="13"/>
  <c r="H60" i="13"/>
  <c r="J60" i="13" s="1"/>
  <c r="I60" i="13"/>
  <c r="L60" i="13"/>
  <c r="M60" i="13"/>
  <c r="P60" i="13"/>
  <c r="H59" i="13"/>
  <c r="J59" i="13" s="1"/>
  <c r="I59" i="13"/>
  <c r="L59" i="13"/>
  <c r="M59" i="13"/>
  <c r="P59" i="13"/>
  <c r="H58" i="13"/>
  <c r="J58" i="13" s="1"/>
  <c r="I58" i="13"/>
  <c r="L58" i="13"/>
  <c r="M58" i="13"/>
  <c r="P58" i="13"/>
  <c r="H57" i="13"/>
  <c r="J57" i="13" s="1"/>
  <c r="I57" i="13"/>
  <c r="L57" i="13"/>
  <c r="P57" i="13"/>
  <c r="M57" i="13"/>
  <c r="H56" i="13"/>
  <c r="J56" i="13" s="1"/>
  <c r="I56" i="13"/>
  <c r="L56" i="13"/>
  <c r="M56" i="13"/>
  <c r="P56" i="13"/>
  <c r="H55" i="13"/>
  <c r="J55" i="13" s="1"/>
  <c r="I55" i="13"/>
  <c r="L55" i="13"/>
  <c r="M55" i="13"/>
  <c r="P55" i="13"/>
  <c r="H54" i="13"/>
  <c r="J54" i="13" s="1"/>
  <c r="I54" i="13"/>
  <c r="L54" i="13"/>
  <c r="M54" i="13"/>
  <c r="P54" i="13"/>
  <c r="H53" i="13"/>
  <c r="J53" i="13" s="1"/>
  <c r="I53" i="13"/>
  <c r="L53" i="13"/>
  <c r="M53" i="13"/>
  <c r="P53" i="13"/>
  <c r="H52" i="13"/>
  <c r="J52" i="13" s="1"/>
  <c r="I52" i="13"/>
  <c r="L52" i="13"/>
  <c r="M52" i="13"/>
  <c r="P52" i="13"/>
  <c r="H51" i="13"/>
  <c r="J51" i="13" s="1"/>
  <c r="I51" i="13"/>
  <c r="L51" i="13"/>
  <c r="M51" i="13"/>
  <c r="P51" i="13"/>
  <c r="H50" i="13"/>
  <c r="J50" i="13" s="1"/>
  <c r="I50" i="13"/>
  <c r="L50" i="13"/>
  <c r="M50" i="13"/>
  <c r="P50" i="13"/>
  <c r="H49" i="13"/>
  <c r="J49" i="13" s="1"/>
  <c r="I49" i="13"/>
  <c r="L49" i="13"/>
  <c r="M49" i="13"/>
  <c r="P49" i="13"/>
  <c r="H48" i="13"/>
  <c r="J48" i="13" s="1"/>
  <c r="I48" i="13"/>
  <c r="L48" i="13"/>
  <c r="M48" i="13"/>
  <c r="P48" i="13"/>
  <c r="H47" i="13"/>
  <c r="J47" i="13" s="1"/>
  <c r="I47" i="13"/>
  <c r="L47" i="13"/>
  <c r="M47" i="13"/>
  <c r="P47" i="13"/>
  <c r="H46" i="13"/>
  <c r="J46" i="13" s="1"/>
  <c r="I46" i="13"/>
  <c r="L46" i="13"/>
  <c r="M46" i="13"/>
  <c r="P46" i="13"/>
  <c r="H45" i="13"/>
  <c r="J45" i="13" s="1"/>
  <c r="L45" i="13"/>
  <c r="M45" i="13"/>
  <c r="P45" i="13"/>
  <c r="I45" i="13"/>
  <c r="L42" i="13"/>
  <c r="M42" i="13"/>
  <c r="P42" i="13"/>
  <c r="H42" i="13"/>
  <c r="J42" i="13" s="1"/>
  <c r="I42" i="13"/>
  <c r="H37" i="13"/>
  <c r="J37" i="13" s="1"/>
  <c r="I37" i="13"/>
  <c r="L37" i="13"/>
  <c r="M37" i="13"/>
  <c r="P37" i="13"/>
  <c r="H34" i="13"/>
  <c r="J34" i="13" s="1"/>
  <c r="I34" i="13"/>
  <c r="L34" i="13"/>
  <c r="M34" i="13"/>
  <c r="P34" i="13"/>
  <c r="H32" i="13"/>
  <c r="J32" i="13" s="1"/>
  <c r="I32" i="13"/>
  <c r="L32" i="13"/>
  <c r="M32" i="13"/>
  <c r="P32" i="13"/>
  <c r="H31" i="13"/>
  <c r="J31" i="13" s="1"/>
  <c r="I31" i="13"/>
  <c r="L31" i="13"/>
  <c r="M31" i="13"/>
  <c r="P31" i="13"/>
  <c r="AB30" i="13"/>
  <c r="AC30" i="13"/>
  <c r="H30" i="13"/>
  <c r="J30" i="13" s="1"/>
  <c r="I30" i="13"/>
  <c r="L30" i="13"/>
  <c r="M30" i="13"/>
  <c r="P30" i="13"/>
  <c r="H28" i="13"/>
  <c r="J28" i="13" s="1"/>
  <c r="I28" i="13"/>
  <c r="L28" i="13"/>
  <c r="M28" i="13"/>
  <c r="P28" i="13"/>
  <c r="AB27" i="13"/>
  <c r="AC27" i="13"/>
  <c r="H27" i="13"/>
  <c r="J27" i="13" s="1"/>
  <c r="I27" i="13"/>
  <c r="M27" i="13"/>
  <c r="L27" i="13"/>
  <c r="P27" i="13"/>
  <c r="H24" i="13"/>
  <c r="J24" i="13" s="1"/>
  <c r="I24" i="13"/>
  <c r="L24" i="13"/>
  <c r="M24" i="13"/>
  <c r="P24" i="13"/>
  <c r="AB23" i="13"/>
  <c r="AC23" i="13"/>
  <c r="I23" i="13"/>
  <c r="L23" i="13"/>
  <c r="M23" i="13"/>
  <c r="P23" i="13"/>
  <c r="H23" i="13"/>
  <c r="J23" i="13" s="1"/>
  <c r="H21" i="13"/>
  <c r="J21" i="13" s="1"/>
  <c r="L21" i="13"/>
  <c r="M21" i="13"/>
  <c r="P21" i="13"/>
  <c r="I21" i="13"/>
  <c r="AB20" i="13"/>
  <c r="AC20" i="13"/>
  <c r="H20" i="13"/>
  <c r="J20" i="13" s="1"/>
  <c r="I20" i="13"/>
  <c r="L20" i="13"/>
  <c r="M20" i="13"/>
  <c r="P20" i="13"/>
  <c r="H19" i="13"/>
  <c r="J19" i="13" s="1"/>
  <c r="I19" i="13"/>
  <c r="L19" i="13"/>
  <c r="M19" i="13"/>
  <c r="P19" i="13"/>
  <c r="H18" i="13"/>
  <c r="J18" i="13" s="1"/>
  <c r="I18" i="13"/>
  <c r="L18" i="13"/>
  <c r="M18" i="13"/>
  <c r="P18" i="13"/>
  <c r="H17" i="13"/>
  <c r="J17" i="13" s="1"/>
  <c r="I17" i="13"/>
  <c r="L17" i="13"/>
  <c r="M17" i="13"/>
  <c r="P17" i="13"/>
  <c r="AB16" i="13"/>
  <c r="AC16" i="13"/>
  <c r="H16" i="13"/>
  <c r="J16" i="13" s="1"/>
  <c r="I16" i="13"/>
  <c r="L16" i="13"/>
  <c r="P16" i="13"/>
  <c r="M16" i="13"/>
  <c r="AB14" i="13"/>
  <c r="AC14" i="13"/>
  <c r="AB12" i="13"/>
  <c r="AC12" i="13"/>
  <c r="H12" i="13"/>
  <c r="J12" i="13" s="1"/>
  <c r="I12" i="13"/>
  <c r="L12" i="13"/>
  <c r="M12" i="13"/>
  <c r="P12" i="13"/>
  <c r="H10" i="13"/>
  <c r="J10" i="13" s="1"/>
  <c r="I10" i="13"/>
  <c r="L10" i="13"/>
  <c r="M10" i="13"/>
  <c r="P10" i="13"/>
  <c r="AB8" i="13"/>
  <c r="AC8" i="13"/>
  <c r="AB6" i="13"/>
  <c r="AC6" i="13"/>
  <c r="I6" i="13"/>
  <c r="J6" i="13" s="1"/>
  <c r="L6" i="13"/>
  <c r="M6" i="13"/>
  <c r="AB5" i="13"/>
  <c r="AC5" i="13"/>
  <c r="L5" i="13"/>
  <c r="M5" i="13"/>
  <c r="H41" i="12"/>
  <c r="J41" i="12" s="1"/>
  <c r="I41" i="12"/>
  <c r="M41" i="12"/>
  <c r="P41" i="12"/>
  <c r="L41" i="12"/>
  <c r="H35" i="12"/>
  <c r="J35" i="12" s="1"/>
  <c r="I35" i="12"/>
  <c r="L35" i="12"/>
  <c r="M35" i="12"/>
  <c r="P35" i="12"/>
  <c r="I32" i="12"/>
  <c r="L32" i="12"/>
  <c r="H32" i="12"/>
  <c r="J32" i="12" s="1"/>
  <c r="M32" i="12"/>
  <c r="P32" i="12"/>
  <c r="H31" i="12"/>
  <c r="J31" i="12" s="1"/>
  <c r="I31" i="12"/>
  <c r="L31" i="12"/>
  <c r="M31" i="12"/>
  <c r="P31" i="12"/>
  <c r="AB30" i="12"/>
  <c r="AC30" i="12"/>
  <c r="H30" i="12"/>
  <c r="J30" i="12" s="1"/>
  <c r="I30" i="12"/>
  <c r="L30" i="12"/>
  <c r="M30" i="12"/>
  <c r="P30" i="12"/>
  <c r="AB29" i="12"/>
  <c r="AC29" i="12"/>
  <c r="H21" i="12"/>
  <c r="J21" i="12" s="1"/>
  <c r="L21" i="12"/>
  <c r="M21" i="12"/>
  <c r="P21" i="12"/>
  <c r="I21" i="12"/>
  <c r="I20" i="12"/>
  <c r="L20" i="12"/>
  <c r="P20" i="12"/>
  <c r="H20" i="12"/>
  <c r="J20" i="12" s="1"/>
  <c r="M20" i="12"/>
  <c r="I19" i="12"/>
  <c r="H19" i="12"/>
  <c r="J19" i="12" s="1"/>
  <c r="L19" i="12"/>
  <c r="M19" i="12"/>
  <c r="P19" i="12"/>
  <c r="AB18" i="12"/>
  <c r="AC18" i="12"/>
  <c r="AB17" i="12"/>
  <c r="AC17" i="12"/>
  <c r="I17" i="12"/>
  <c r="L17" i="12"/>
  <c r="M17" i="12"/>
  <c r="P17" i="12"/>
  <c r="H17" i="12"/>
  <c r="J17" i="12" s="1"/>
  <c r="L16" i="12"/>
  <c r="M16" i="12"/>
  <c r="H16" i="12"/>
  <c r="J16" i="12" s="1"/>
  <c r="I16" i="12"/>
  <c r="P16" i="12" s="1"/>
  <c r="AB15" i="12"/>
  <c r="AC15" i="12"/>
  <c r="I15" i="12"/>
  <c r="L15" i="12"/>
  <c r="M15" i="12"/>
  <c r="AB13" i="12"/>
  <c r="AC13" i="12"/>
  <c r="I13" i="12"/>
  <c r="L13" i="12"/>
  <c r="AB11" i="12"/>
  <c r="AC11" i="12"/>
  <c r="AB6" i="12"/>
  <c r="AC6" i="12"/>
  <c r="I6" i="12"/>
  <c r="J6" i="12" s="1"/>
  <c r="L6" i="12"/>
  <c r="M6" i="12"/>
  <c r="AB4" i="12"/>
  <c r="I4" i="12"/>
  <c r="J4" i="12" s="1"/>
  <c r="L4" i="12"/>
  <c r="M4" i="12"/>
  <c r="C4" i="12"/>
  <c r="AI5" i="12"/>
  <c r="AK5" i="12"/>
  <c r="AI12" i="12"/>
  <c r="AJ12" i="12"/>
  <c r="AK12" i="12"/>
  <c r="AL12" i="12"/>
  <c r="AM12" i="12"/>
  <c r="AJ14" i="12"/>
  <c r="AK14" i="12"/>
  <c r="AM14" i="12"/>
  <c r="AN14" i="12"/>
  <c r="AJ15" i="12"/>
  <c r="AM15" i="12"/>
  <c r="AI4" i="12"/>
  <c r="AK4" i="12"/>
  <c r="AI7" i="12"/>
  <c r="AK7" i="12"/>
  <c r="AI9" i="12"/>
  <c r="AK9" i="12"/>
  <c r="AI11" i="12"/>
  <c r="AK11" i="12"/>
  <c r="AL15" i="12"/>
  <c r="AO15" i="12"/>
  <c r="AI14" i="12"/>
  <c r="AL14" i="12"/>
  <c r="AO14" i="12"/>
  <c r="AI15" i="12"/>
  <c r="AI6" i="12"/>
  <c r="AK6" i="12"/>
  <c r="AI8" i="12"/>
  <c r="AK8" i="12"/>
  <c r="AI10" i="12"/>
  <c r="AK10" i="12"/>
  <c r="AI13" i="12"/>
  <c r="AJ13" i="12"/>
  <c r="AK13" i="12"/>
  <c r="AL13" i="12"/>
  <c r="AM13" i="12"/>
  <c r="AK15" i="12"/>
  <c r="AN15" i="12"/>
  <c r="H63" i="11"/>
  <c r="I63" i="11"/>
  <c r="J63" i="11" s="1"/>
  <c r="M63" i="11"/>
  <c r="N63" i="11"/>
  <c r="Q63" i="11"/>
  <c r="H62" i="11"/>
  <c r="I62" i="11"/>
  <c r="J62" i="11" s="1"/>
  <c r="M62" i="11"/>
  <c r="N62" i="11"/>
  <c r="Q62" i="11"/>
  <c r="H61" i="11"/>
  <c r="I61" i="11"/>
  <c r="J61" i="11" s="1"/>
  <c r="M61" i="11"/>
  <c r="N61" i="11"/>
  <c r="Q61" i="11"/>
  <c r="H60" i="11"/>
  <c r="I60" i="11"/>
  <c r="J60" i="11" s="1"/>
  <c r="M60" i="11"/>
  <c r="N60" i="11"/>
  <c r="Q60" i="11"/>
  <c r="H59" i="11"/>
  <c r="I59" i="11"/>
  <c r="J59" i="11" s="1"/>
  <c r="M59" i="11"/>
  <c r="N59" i="11"/>
  <c r="Q59" i="11"/>
  <c r="H57" i="11"/>
  <c r="I57" i="11"/>
  <c r="J57" i="11" s="1"/>
  <c r="M57" i="11"/>
  <c r="N57" i="11"/>
  <c r="Q57" i="11"/>
  <c r="H55" i="11"/>
  <c r="I55" i="11"/>
  <c r="J55" i="11" s="1"/>
  <c r="M55" i="11"/>
  <c r="N55" i="11"/>
  <c r="Q55" i="11"/>
  <c r="H45" i="10"/>
  <c r="J45" i="10" s="1"/>
  <c r="I45" i="10"/>
  <c r="M45" i="10"/>
  <c r="N45" i="10"/>
  <c r="Q45" i="10"/>
  <c r="H42" i="10"/>
  <c r="J42" i="10" s="1"/>
  <c r="I42" i="10"/>
  <c r="M42" i="10"/>
  <c r="Q42" i="10"/>
  <c r="N42" i="10"/>
  <c r="H39" i="10"/>
  <c r="J39" i="10" s="1"/>
  <c r="I39" i="10"/>
  <c r="M39" i="10"/>
  <c r="N39" i="10"/>
  <c r="Q39" i="10"/>
  <c r="H37" i="10"/>
  <c r="J37" i="10" s="1"/>
  <c r="I37" i="10"/>
  <c r="M37" i="10"/>
  <c r="N37" i="10"/>
  <c r="Q37" i="10"/>
  <c r="H36" i="10"/>
  <c r="J36" i="10" s="1"/>
  <c r="I36" i="10"/>
  <c r="M36" i="10"/>
  <c r="Q36" i="10"/>
  <c r="N36" i="10"/>
  <c r="M29" i="10"/>
  <c r="Q29" i="10"/>
  <c r="H29" i="10"/>
  <c r="J29" i="10" s="1"/>
  <c r="I29" i="10"/>
  <c r="N29" i="10"/>
  <c r="AC28" i="10"/>
  <c r="AD28" i="10"/>
  <c r="AC26" i="10"/>
  <c r="AD26" i="10"/>
  <c r="M25" i="10"/>
  <c r="N25" i="10"/>
  <c r="Q25" i="10"/>
  <c r="H25" i="10"/>
  <c r="J25" i="10" s="1"/>
  <c r="I25" i="10"/>
  <c r="AD24" i="10"/>
  <c r="AC24" i="10"/>
  <c r="AD23" i="10"/>
  <c r="AC23" i="10"/>
  <c r="I23" i="10"/>
  <c r="H23" i="10"/>
  <c r="J23" i="10" s="1"/>
  <c r="N23" i="10"/>
  <c r="M23" i="10"/>
  <c r="Q23" i="10"/>
  <c r="AD22" i="10"/>
  <c r="AC22" i="10"/>
  <c r="H22" i="10"/>
  <c r="J22" i="10" s="1"/>
  <c r="I22" i="10"/>
  <c r="N22" i="10"/>
  <c r="Q22" i="10"/>
  <c r="M22" i="10"/>
  <c r="AC21" i="10"/>
  <c r="AD21" i="10"/>
  <c r="AC20" i="10"/>
  <c r="AD20" i="10"/>
  <c r="AC19" i="10"/>
  <c r="AD19" i="10"/>
  <c r="H19" i="10"/>
  <c r="J19" i="10" s="1"/>
  <c r="I19" i="10"/>
  <c r="M19" i="10"/>
  <c r="N19" i="10"/>
  <c r="Q19" i="10"/>
  <c r="AC18" i="10"/>
  <c r="AD18" i="10"/>
  <c r="H18" i="10"/>
  <c r="J18" i="10" s="1"/>
  <c r="M18" i="10"/>
  <c r="N18" i="10"/>
  <c r="Q18" i="10"/>
  <c r="I18" i="10"/>
  <c r="H16" i="10"/>
  <c r="J16" i="10" s="1"/>
  <c r="I16" i="10"/>
  <c r="M16" i="10"/>
  <c r="Q16" i="10"/>
  <c r="AC15" i="10"/>
  <c r="AD15" i="10"/>
  <c r="H15" i="10"/>
  <c r="J15" i="10" s="1"/>
  <c r="I15" i="10"/>
  <c r="M15" i="10"/>
  <c r="N15" i="10"/>
  <c r="Q15" i="10"/>
  <c r="AC14" i="10"/>
  <c r="AD14" i="10"/>
  <c r="H14" i="10"/>
  <c r="J14" i="10" s="1"/>
  <c r="I14" i="10"/>
  <c r="M14" i="10"/>
  <c r="N14" i="10"/>
  <c r="Q14" i="10"/>
  <c r="AC12" i="10"/>
  <c r="AD12" i="10"/>
  <c r="H12" i="10"/>
  <c r="J12" i="10" s="1"/>
  <c r="I12" i="10"/>
  <c r="M12" i="10"/>
  <c r="N12" i="10"/>
  <c r="Q12" i="10"/>
  <c r="AC9" i="10"/>
  <c r="AD9" i="10"/>
  <c r="H9" i="10"/>
  <c r="J9" i="10" s="1"/>
  <c r="I9" i="10"/>
  <c r="M9" i="10"/>
  <c r="N9" i="10"/>
  <c r="Q9" i="10"/>
  <c r="AC4" i="10"/>
  <c r="AD4" i="10"/>
  <c r="I4" i="10"/>
  <c r="J4" i="10" s="1"/>
  <c r="M4" i="10"/>
  <c r="N4" i="10"/>
  <c r="C4" i="10"/>
  <c r="AJ8" i="10"/>
  <c r="AL8" i="10"/>
  <c r="AJ11" i="10"/>
  <c r="AL11" i="10"/>
  <c r="AJ13" i="10"/>
  <c r="AK13" i="10"/>
  <c r="AL13" i="10"/>
  <c r="AM13" i="10"/>
  <c r="AN13" i="10"/>
  <c r="AO13" i="10"/>
  <c r="AP13" i="10"/>
  <c r="AJ14" i="10"/>
  <c r="AL14" i="10"/>
  <c r="AN14" i="10"/>
  <c r="AK15" i="10"/>
  <c r="AN15" i="10"/>
  <c r="AJ5" i="10"/>
  <c r="AL5" i="10"/>
  <c r="AJ7" i="10"/>
  <c r="AL7" i="10"/>
  <c r="AJ10" i="10"/>
  <c r="AL10" i="10"/>
  <c r="AJ12" i="10"/>
  <c r="AL12" i="10"/>
  <c r="AK14" i="10"/>
  <c r="AM14" i="10"/>
  <c r="AO14" i="10"/>
  <c r="AP14" i="10"/>
  <c r="AJ15" i="10"/>
  <c r="AM15" i="10"/>
  <c r="AP15" i="10"/>
  <c r="AJ4" i="10"/>
  <c r="AL4" i="10"/>
  <c r="AJ6" i="10"/>
  <c r="AL6" i="10"/>
  <c r="AJ9" i="10"/>
  <c r="AL9" i="10"/>
  <c r="AL15" i="10"/>
  <c r="AO15" i="10"/>
  <c r="H63" i="9"/>
  <c r="J63" i="9" s="1"/>
  <c r="I63" i="9"/>
  <c r="M63" i="9"/>
  <c r="N63" i="9"/>
  <c r="Q63" i="9"/>
  <c r="H62" i="9"/>
  <c r="J62" i="9" s="1"/>
  <c r="I62" i="9"/>
  <c r="M62" i="9"/>
  <c r="N62" i="9"/>
  <c r="Q62" i="9"/>
  <c r="H61" i="9"/>
  <c r="J61" i="9" s="1"/>
  <c r="I61" i="9"/>
  <c r="M61" i="9"/>
  <c r="N61" i="9"/>
  <c r="Q61" i="9"/>
  <c r="H59" i="9"/>
  <c r="J59" i="9" s="1"/>
  <c r="I59" i="9"/>
  <c r="M59" i="9"/>
  <c r="N59" i="9"/>
  <c r="Q59" i="9"/>
  <c r="H57" i="9"/>
  <c r="J57" i="9" s="1"/>
  <c r="I57" i="9"/>
  <c r="M57" i="9"/>
  <c r="N57" i="9"/>
  <c r="Q57" i="9"/>
  <c r="H50" i="9"/>
  <c r="J50" i="9" s="1"/>
  <c r="I50" i="9"/>
  <c r="M50" i="9"/>
  <c r="N50" i="9"/>
  <c r="Q50" i="9"/>
  <c r="H49" i="9"/>
  <c r="J49" i="9" s="1"/>
  <c r="I49" i="9"/>
  <c r="M49" i="9"/>
  <c r="N49" i="9"/>
  <c r="Q49" i="9"/>
  <c r="H48" i="9"/>
  <c r="J48" i="9" s="1"/>
  <c r="I48" i="9"/>
  <c r="M48" i="9"/>
  <c r="Q48" i="9"/>
  <c r="N48" i="9"/>
  <c r="H45" i="9"/>
  <c r="J45" i="9" s="1"/>
  <c r="I45" i="9"/>
  <c r="M45" i="9"/>
  <c r="N45" i="9"/>
  <c r="Q45" i="9"/>
  <c r="H43" i="9"/>
  <c r="J43" i="9" s="1"/>
  <c r="I43" i="9"/>
  <c r="M43" i="9"/>
  <c r="N43" i="9"/>
  <c r="Q43" i="9"/>
  <c r="H40" i="9"/>
  <c r="J40" i="9" s="1"/>
  <c r="I40" i="9"/>
  <c r="M40" i="9"/>
  <c r="N40" i="9"/>
  <c r="Q40" i="9"/>
  <c r="H38" i="9"/>
  <c r="J38" i="9" s="1"/>
  <c r="I38" i="9"/>
  <c r="M38" i="9"/>
  <c r="Q38" i="9"/>
  <c r="N38" i="9"/>
  <c r="H36" i="9"/>
  <c r="J36" i="9" s="1"/>
  <c r="I36" i="9"/>
  <c r="Q36" i="9"/>
  <c r="M36" i="9"/>
  <c r="N36" i="9"/>
  <c r="AC33" i="9"/>
  <c r="AD33" i="9"/>
  <c r="H33" i="9"/>
  <c r="J33" i="9" s="1"/>
  <c r="I33" i="9"/>
  <c r="M33" i="9"/>
  <c r="N33" i="9"/>
  <c r="Q33" i="9"/>
  <c r="AC30" i="9"/>
  <c r="AD30" i="9"/>
  <c r="H30" i="9"/>
  <c r="J30" i="9" s="1"/>
  <c r="I30" i="9"/>
  <c r="M30" i="9"/>
  <c r="Q30" i="9"/>
  <c r="N30" i="9"/>
  <c r="AC27" i="9"/>
  <c r="AD27" i="9"/>
  <c r="H27" i="9"/>
  <c r="I27" i="9"/>
  <c r="J27" i="9" s="1"/>
  <c r="M27" i="9"/>
  <c r="N27" i="9"/>
  <c r="Q27" i="9"/>
  <c r="AC26" i="9"/>
  <c r="AD26" i="9"/>
  <c r="H26" i="9"/>
  <c r="M26" i="9"/>
  <c r="N26" i="9"/>
  <c r="Q26" i="9"/>
  <c r="I26" i="9"/>
  <c r="J26" i="9" s="1"/>
  <c r="AC24" i="9"/>
  <c r="AD24" i="9"/>
  <c r="H24" i="9"/>
  <c r="I24" i="9"/>
  <c r="J24" i="9" s="1"/>
  <c r="M24" i="9"/>
  <c r="N24" i="9"/>
  <c r="Q24" i="9"/>
  <c r="AC19" i="9"/>
  <c r="AD19" i="9"/>
  <c r="M19" i="9"/>
  <c r="N19" i="9"/>
  <c r="Q19" i="9"/>
  <c r="H19" i="9"/>
  <c r="I19" i="9"/>
  <c r="J19" i="9" s="1"/>
  <c r="AC16" i="9"/>
  <c r="AD16" i="9"/>
  <c r="AC13" i="9"/>
  <c r="AD13" i="9"/>
  <c r="I13" i="9"/>
  <c r="J13" i="9" s="1"/>
  <c r="M13" i="9"/>
  <c r="N13" i="9"/>
  <c r="AC11" i="9"/>
  <c r="AD11" i="9"/>
  <c r="I11" i="9"/>
  <c r="J11" i="9" s="1"/>
  <c r="M11" i="9"/>
  <c r="N11" i="9"/>
  <c r="AC14" i="7"/>
  <c r="AD14" i="7"/>
  <c r="H14" i="7"/>
  <c r="J14" i="7" s="1"/>
  <c r="I14" i="7"/>
  <c r="M14" i="7"/>
  <c r="N14" i="7"/>
  <c r="Q14" i="7"/>
  <c r="AC9" i="7"/>
  <c r="AD9" i="7"/>
  <c r="H9" i="7"/>
  <c r="J9" i="7" s="1"/>
  <c r="I9" i="7"/>
  <c r="M9" i="7"/>
  <c r="N9" i="7"/>
  <c r="Q9" i="7"/>
  <c r="AC5" i="7"/>
  <c r="I5" i="7"/>
  <c r="M5" i="7"/>
  <c r="N5" i="7"/>
  <c r="I46" i="6"/>
  <c r="J46" i="6" s="1"/>
  <c r="H46" i="6"/>
  <c r="M46" i="6"/>
  <c r="N46" i="6"/>
  <c r="Q46" i="6"/>
  <c r="H43" i="6"/>
  <c r="I43" i="6"/>
  <c r="J43" i="6" s="1"/>
  <c r="M43" i="6"/>
  <c r="N43" i="6"/>
  <c r="Q43" i="6"/>
  <c r="H37" i="6"/>
  <c r="I37" i="6"/>
  <c r="J37" i="6" s="1"/>
  <c r="N37" i="6"/>
  <c r="Q37" i="6"/>
  <c r="M37" i="6"/>
  <c r="H34" i="6"/>
  <c r="I34" i="6"/>
  <c r="J34" i="6" s="1"/>
  <c r="M34" i="6"/>
  <c r="N34" i="6"/>
  <c r="Q34" i="6"/>
  <c r="I32" i="6"/>
  <c r="J32" i="6" s="1"/>
  <c r="M32" i="6"/>
  <c r="Q32" i="6"/>
  <c r="N32" i="6"/>
  <c r="H32" i="6"/>
  <c r="H29" i="6"/>
  <c r="I29" i="6"/>
  <c r="J29" i="6" s="1"/>
  <c r="M29" i="6"/>
  <c r="N29" i="6"/>
  <c r="Q29" i="6"/>
  <c r="I27" i="6"/>
  <c r="J27" i="6" s="1"/>
  <c r="Q27" i="6"/>
  <c r="H27" i="6"/>
  <c r="M27" i="6"/>
  <c r="N27" i="6"/>
  <c r="AC25" i="6"/>
  <c r="AD25" i="6"/>
  <c r="H25" i="6"/>
  <c r="I25" i="6"/>
  <c r="J25" i="6" s="1"/>
  <c r="M25" i="6"/>
  <c r="N25" i="6"/>
  <c r="Q25" i="6"/>
  <c r="Y34" i="17"/>
  <c r="D104" i="3"/>
  <c r="D58" i="3"/>
  <c r="D48" i="3"/>
  <c r="D42" i="3"/>
  <c r="Y34" i="16"/>
  <c r="C5" i="14"/>
  <c r="U4" i="13"/>
  <c r="E198" i="3"/>
  <c r="C14" i="4" s="1"/>
  <c r="E90" i="3"/>
  <c r="C8" i="4" s="1"/>
  <c r="E36" i="3"/>
  <c r="C5" i="4" s="1"/>
  <c r="E180" i="3"/>
  <c r="C13" i="4" s="1"/>
  <c r="C9" i="11"/>
  <c r="C6" i="10"/>
  <c r="Y34" i="7"/>
  <c r="E126" i="3"/>
  <c r="C10" i="4" s="1"/>
  <c r="Y34" i="9"/>
  <c r="E144" i="3"/>
  <c r="C11" i="4" s="1"/>
  <c r="M22" i="2"/>
  <c r="M24" i="2" s="1"/>
  <c r="L22" i="2"/>
  <c r="L24" i="2" s="1"/>
  <c r="K22" i="2"/>
  <c r="K24" i="2" s="1"/>
  <c r="J22" i="2"/>
  <c r="J24" i="2" s="1"/>
  <c r="I22" i="2"/>
  <c r="I24" i="2" s="1"/>
  <c r="H22" i="2"/>
  <c r="H24" i="2" s="1"/>
  <c r="G22" i="2"/>
  <c r="G24" i="2" s="1"/>
  <c r="F22" i="2"/>
  <c r="F24" i="2" s="1"/>
  <c r="E22" i="2"/>
  <c r="E24" i="2" s="1"/>
  <c r="D22" i="2"/>
  <c r="D24" i="2" s="1"/>
  <c r="C22" i="2"/>
  <c r="C24" i="2" s="1"/>
  <c r="B22" i="2"/>
  <c r="Y34" i="18"/>
  <c r="Y34" i="14"/>
  <c r="C5" i="13"/>
  <c r="E162" i="3"/>
  <c r="C12" i="4" s="1"/>
  <c r="D97" i="3"/>
  <c r="D63" i="3"/>
  <c r="D50" i="3"/>
  <c r="D32" i="3"/>
  <c r="D15" i="3"/>
  <c r="D4" i="3"/>
  <c r="D119" i="3"/>
  <c r="C7" i="16"/>
  <c r="E54" i="3"/>
  <c r="C6" i="4" s="1"/>
  <c r="Y34" i="19"/>
  <c r="C11" i="12"/>
  <c r="X34" i="12"/>
  <c r="Y34" i="10"/>
  <c r="D116" i="3"/>
  <c r="D105" i="3"/>
  <c r="D47" i="3"/>
  <c r="D29" i="3"/>
  <c r="D8" i="3"/>
  <c r="E18" i="3"/>
  <c r="D156" i="3"/>
  <c r="D114" i="3"/>
  <c r="D94" i="3"/>
  <c r="D87" i="3"/>
  <c r="D51" i="3"/>
  <c r="D12" i="3"/>
  <c r="AN11" i="7" l="1"/>
  <c r="AM11" i="7"/>
  <c r="AM6" i="11"/>
  <c r="AM5" i="11"/>
  <c r="J7" i="7"/>
  <c r="AK11" i="7"/>
  <c r="Q15" i="6"/>
  <c r="Q14" i="6"/>
  <c r="AP12" i="6" s="1"/>
  <c r="AM8" i="11"/>
  <c r="AM7" i="11"/>
  <c r="J7" i="11"/>
  <c r="Q7" i="11" s="1"/>
  <c r="AK10" i="11"/>
  <c r="J12" i="6"/>
  <c r="AK4" i="6"/>
  <c r="AK11" i="6"/>
  <c r="AK10" i="6"/>
  <c r="AK9" i="6"/>
  <c r="AK8" i="6"/>
  <c r="AK7" i="6"/>
  <c r="AK6" i="6"/>
  <c r="AK5" i="6"/>
  <c r="Q12" i="6"/>
  <c r="AN13" i="12"/>
  <c r="AN12" i="12"/>
  <c r="P15" i="12"/>
  <c r="AN9" i="11"/>
  <c r="AN8" i="11"/>
  <c r="AN7" i="11"/>
  <c r="AN6" i="11"/>
  <c r="AN5" i="11"/>
  <c r="J5" i="11"/>
  <c r="Q5" i="11" s="1"/>
  <c r="AK9" i="11"/>
  <c r="AK8" i="11"/>
  <c r="AK7" i="11"/>
  <c r="AK6" i="11"/>
  <c r="AK5" i="11"/>
  <c r="Q12" i="16"/>
  <c r="Q7" i="17"/>
  <c r="J9" i="11"/>
  <c r="AK11" i="11"/>
  <c r="Q11" i="8"/>
  <c r="J10" i="8"/>
  <c r="Q10" i="8" s="1"/>
  <c r="P14" i="12"/>
  <c r="Q11" i="16"/>
  <c r="Q8" i="15"/>
  <c r="Q9" i="15"/>
  <c r="Q7" i="18"/>
  <c r="Q9" i="14"/>
  <c r="AN4" i="11"/>
  <c r="AK12" i="15"/>
  <c r="AM12" i="15"/>
  <c r="AN12" i="15"/>
  <c r="AO12" i="15"/>
  <c r="AP12" i="15"/>
  <c r="AO4" i="8"/>
  <c r="AK5" i="8"/>
  <c r="AO5" i="8"/>
  <c r="AK6" i="8"/>
  <c r="AC4" i="12"/>
  <c r="D15" i="4"/>
  <c r="H7" i="7"/>
  <c r="H8" i="14"/>
  <c r="J8" i="14" s="1"/>
  <c r="Q8" i="14" s="1"/>
  <c r="Q7" i="15"/>
  <c r="P9" i="13"/>
  <c r="Q6" i="18"/>
  <c r="H11" i="11"/>
  <c r="H9" i="8"/>
  <c r="AK12" i="9"/>
  <c r="AM12" i="9"/>
  <c r="AN12" i="9"/>
  <c r="AL6" i="13"/>
  <c r="AJ8" i="13"/>
  <c r="AL8" i="13"/>
  <c r="AM8" i="13"/>
  <c r="AJ10" i="13"/>
  <c r="AL10" i="13"/>
  <c r="AM10" i="13"/>
  <c r="AJ4" i="13"/>
  <c r="AL4" i="13"/>
  <c r="AJ9" i="13"/>
  <c r="AM9" i="13"/>
  <c r="AJ7" i="13"/>
  <c r="AL7" i="13"/>
  <c r="AM4" i="13"/>
  <c r="AM6" i="13"/>
  <c r="AJ5" i="13"/>
  <c r="AL5" i="13"/>
  <c r="AM5" i="13"/>
  <c r="AL9" i="13"/>
  <c r="AL11" i="13"/>
  <c r="AM7" i="13"/>
  <c r="AJ11" i="13"/>
  <c r="AM11" i="13"/>
  <c r="Q9" i="8"/>
  <c r="Q14" i="9"/>
  <c r="Q6" i="15"/>
  <c r="Q11" i="11"/>
  <c r="H10" i="16"/>
  <c r="J10" i="16" s="1"/>
  <c r="Q10" i="16" s="1"/>
  <c r="AD4" i="11"/>
  <c r="H6" i="17"/>
  <c r="H12" i="6"/>
  <c r="H11" i="6"/>
  <c r="H10" i="6"/>
  <c r="H9" i="6"/>
  <c r="H7" i="6"/>
  <c r="H6" i="6"/>
  <c r="H8" i="13"/>
  <c r="P8" i="13" s="1"/>
  <c r="Q6" i="17"/>
  <c r="AK10" i="18"/>
  <c r="AK4" i="18"/>
  <c r="AK6" i="18"/>
  <c r="AM5" i="18"/>
  <c r="AK7" i="18"/>
  <c r="AM9" i="18"/>
  <c r="AK11" i="18"/>
  <c r="AM11" i="18"/>
  <c r="AM4" i="18"/>
  <c r="AM10" i="18"/>
  <c r="AK9" i="18"/>
  <c r="AN9" i="18"/>
  <c r="AN11" i="18"/>
  <c r="AM6" i="18"/>
  <c r="AM8" i="18"/>
  <c r="AM7" i="18"/>
  <c r="AK8" i="18"/>
  <c r="AN5" i="18"/>
  <c r="AN7" i="18"/>
  <c r="AN4" i="18"/>
  <c r="AN6" i="18"/>
  <c r="AN8" i="18"/>
  <c r="AN10" i="18"/>
  <c r="H12" i="9"/>
  <c r="H7" i="14"/>
  <c r="H5" i="18"/>
  <c r="Q5" i="18" s="1"/>
  <c r="H13" i="9"/>
  <c r="AO12" i="9" s="1"/>
  <c r="D108" i="3"/>
  <c r="H13" i="12"/>
  <c r="J13" i="12" s="1"/>
  <c r="P13" i="12" s="1"/>
  <c r="Q4" i="7"/>
  <c r="AK4" i="8"/>
  <c r="AJ6" i="13"/>
  <c r="AD4" i="8"/>
  <c r="Q10" i="9"/>
  <c r="AD6" i="8"/>
  <c r="Q7" i="9"/>
  <c r="Q5" i="9"/>
  <c r="Q9" i="9"/>
  <c r="Q8" i="9"/>
  <c r="Q6" i="9"/>
  <c r="P7" i="13"/>
  <c r="AK5" i="18"/>
  <c r="AM12" i="10"/>
  <c r="AN12" i="10"/>
  <c r="Q5" i="17"/>
  <c r="AK12" i="10"/>
  <c r="P10" i="12"/>
  <c r="AK4" i="11"/>
  <c r="H6" i="7"/>
  <c r="Q6" i="7" s="1"/>
  <c r="H6" i="14"/>
  <c r="Q6" i="14" s="1"/>
  <c r="H12" i="12"/>
  <c r="P12" i="12" s="1"/>
  <c r="H8" i="12"/>
  <c r="H5" i="12"/>
  <c r="H10" i="11"/>
  <c r="H8" i="11"/>
  <c r="H6" i="11"/>
  <c r="H5" i="11"/>
  <c r="D180" i="3"/>
  <c r="D9" i="4"/>
  <c r="H7" i="11"/>
  <c r="D7" i="4"/>
  <c r="H8" i="8"/>
  <c r="H7" i="8"/>
  <c r="H6" i="8"/>
  <c r="H5" i="8"/>
  <c r="H11" i="9"/>
  <c r="H5" i="7"/>
  <c r="H5" i="16"/>
  <c r="Q5" i="16" s="1"/>
  <c r="H6" i="13"/>
  <c r="H6" i="12"/>
  <c r="D198" i="3"/>
  <c r="D144" i="3"/>
  <c r="AN8" i="7"/>
  <c r="AM9" i="7"/>
  <c r="AK9" i="7"/>
  <c r="AN9" i="7"/>
  <c r="Q9" i="16"/>
  <c r="AK7" i="16"/>
  <c r="AK4" i="16"/>
  <c r="AK9" i="16"/>
  <c r="AK11" i="16"/>
  <c r="AK6" i="16"/>
  <c r="AK8" i="16"/>
  <c r="AK10" i="16"/>
  <c r="Q9" i="6"/>
  <c r="Q11" i="6"/>
  <c r="Q6" i="6"/>
  <c r="Q4" i="6"/>
  <c r="Q5" i="6"/>
  <c r="Q8" i="16"/>
  <c r="AK5" i="16"/>
  <c r="H9" i="12"/>
  <c r="AK9" i="9"/>
  <c r="AM9" i="9"/>
  <c r="AN9" i="9"/>
  <c r="AK11" i="9"/>
  <c r="AM11" i="9"/>
  <c r="AN11" i="9"/>
  <c r="AK10" i="9"/>
  <c r="AM10" i="9"/>
  <c r="AN10" i="9"/>
  <c r="AK4" i="9"/>
  <c r="AM4" i="9"/>
  <c r="AN4" i="9"/>
  <c r="AK5" i="9"/>
  <c r="AM5" i="9"/>
  <c r="AN5" i="9"/>
  <c r="AK6" i="9"/>
  <c r="AM6" i="9"/>
  <c r="AN6" i="9"/>
  <c r="AK7" i="9"/>
  <c r="AM7" i="9"/>
  <c r="AN7" i="9"/>
  <c r="AK8" i="9"/>
  <c r="AM8" i="9"/>
  <c r="AN8" i="9"/>
  <c r="H7" i="12"/>
  <c r="Q6" i="11"/>
  <c r="D216" i="3"/>
  <c r="AD7" i="8"/>
  <c r="AD5" i="8"/>
  <c r="AC4" i="13"/>
  <c r="AD5" i="7"/>
  <c r="Q10" i="11"/>
  <c r="Q8" i="8"/>
  <c r="Q4" i="8"/>
  <c r="AM11" i="17"/>
  <c r="AN11" i="17"/>
  <c r="Q5" i="8"/>
  <c r="Q7" i="8"/>
  <c r="Q8" i="11"/>
  <c r="Q4" i="11"/>
  <c r="AK7" i="14"/>
  <c r="AM7" i="14"/>
  <c r="AN7" i="14"/>
  <c r="AK8" i="14"/>
  <c r="AM8" i="14"/>
  <c r="AN8" i="14"/>
  <c r="AK9" i="14"/>
  <c r="AM9" i="14"/>
  <c r="AN9" i="14"/>
  <c r="AK10" i="14"/>
  <c r="AM10" i="14"/>
  <c r="AN10" i="14"/>
  <c r="AK11" i="14"/>
  <c r="AM11" i="14"/>
  <c r="AN11" i="14"/>
  <c r="Q6" i="8"/>
  <c r="H5" i="10"/>
  <c r="AM10" i="7"/>
  <c r="AK8" i="7"/>
  <c r="AM8" i="7"/>
  <c r="AK4" i="14"/>
  <c r="AM4" i="14"/>
  <c r="AK5" i="14"/>
  <c r="AM5" i="14"/>
  <c r="AN5" i="14"/>
  <c r="AK6" i="14"/>
  <c r="AM6" i="14"/>
  <c r="AN6" i="14"/>
  <c r="AK6" i="10"/>
  <c r="AM6" i="10"/>
  <c r="AK8" i="10"/>
  <c r="AM8" i="10"/>
  <c r="AN8" i="10"/>
  <c r="AK11" i="10"/>
  <c r="AM11" i="10"/>
  <c r="AN11" i="10"/>
  <c r="AN5" i="10"/>
  <c r="AN9" i="10"/>
  <c r="AK5" i="10"/>
  <c r="AM5" i="10"/>
  <c r="AK7" i="10"/>
  <c r="AM7" i="10"/>
  <c r="AN7" i="10"/>
  <c r="AK10" i="10"/>
  <c r="AM10" i="10"/>
  <c r="AN10" i="10"/>
  <c r="AK4" i="10"/>
  <c r="AM4" i="10"/>
  <c r="AN4" i="10"/>
  <c r="AN6" i="10"/>
  <c r="AK9" i="10"/>
  <c r="AM9" i="10"/>
  <c r="AM5" i="16"/>
  <c r="AN5" i="16"/>
  <c r="AM7" i="16"/>
  <c r="AN7" i="16"/>
  <c r="AM8" i="16"/>
  <c r="AM4" i="16"/>
  <c r="AN4" i="16"/>
  <c r="AN6" i="16"/>
  <c r="AM9" i="16"/>
  <c r="AN9" i="16"/>
  <c r="AN11" i="16"/>
  <c r="AM6" i="16"/>
  <c r="AN8" i="16"/>
  <c r="AM10" i="16"/>
  <c r="AN10" i="16"/>
  <c r="AM11" i="16"/>
  <c r="AK10" i="7"/>
  <c r="AN10" i="7"/>
  <c r="AJ7" i="12"/>
  <c r="AJ9" i="12"/>
  <c r="AJ11" i="12"/>
  <c r="AJ4" i="12"/>
  <c r="AM4" i="12"/>
  <c r="AJ6" i="12"/>
  <c r="AL6" i="12"/>
  <c r="AM6" i="12"/>
  <c r="AJ8" i="12"/>
  <c r="AL8" i="12"/>
  <c r="AM8" i="12"/>
  <c r="AM10" i="12"/>
  <c r="D14" i="4"/>
  <c r="D8" i="4"/>
  <c r="D5" i="4"/>
  <c r="D13" i="4"/>
  <c r="D10" i="4"/>
  <c r="D11" i="4"/>
  <c r="B24" i="2"/>
  <c r="N22" i="2"/>
  <c r="N24" i="2" s="1"/>
  <c r="D12" i="4"/>
  <c r="D6" i="4"/>
  <c r="C4" i="4"/>
  <c r="R3" i="3"/>
  <c r="AJ16" i="19"/>
  <c r="AK16" i="19"/>
  <c r="AL16" i="19"/>
  <c r="AM16" i="19"/>
  <c r="AN16" i="19"/>
  <c r="AO16" i="19"/>
  <c r="AP16" i="19"/>
  <c r="H4" i="17"/>
  <c r="AK5" i="17"/>
  <c r="AM5" i="17"/>
  <c r="AJ16" i="17"/>
  <c r="AK4" i="17"/>
  <c r="AM4" i="17"/>
  <c r="AN4" i="17"/>
  <c r="AK6" i="17"/>
  <c r="AN6" i="17"/>
  <c r="AN5" i="17"/>
  <c r="AM6" i="17"/>
  <c r="AL16" i="17"/>
  <c r="AK7" i="17"/>
  <c r="AM7" i="17"/>
  <c r="AN7" i="17"/>
  <c r="AK8" i="17"/>
  <c r="AM8" i="17"/>
  <c r="AN8" i="17"/>
  <c r="AK9" i="17"/>
  <c r="AM9" i="17"/>
  <c r="AN9" i="17"/>
  <c r="AK10" i="17"/>
  <c r="AM10" i="17"/>
  <c r="AN10" i="17"/>
  <c r="AK11" i="17"/>
  <c r="AK5" i="15"/>
  <c r="AM10" i="15"/>
  <c r="AN6" i="15"/>
  <c r="AM8" i="15"/>
  <c r="AN8" i="15"/>
  <c r="AM11" i="15"/>
  <c r="AJ16" i="15"/>
  <c r="AM4" i="15"/>
  <c r="AN4" i="15"/>
  <c r="AK7" i="15"/>
  <c r="AK9" i="15"/>
  <c r="H4" i="13"/>
  <c r="AI16" i="13"/>
  <c r="H4" i="18"/>
  <c r="Q5" i="15"/>
  <c r="D72" i="3"/>
  <c r="D36" i="3"/>
  <c r="D126" i="3"/>
  <c r="D18" i="3"/>
  <c r="Q6" i="16"/>
  <c r="H4" i="16"/>
  <c r="AJ16" i="16"/>
  <c r="AL16" i="16"/>
  <c r="H4" i="15"/>
  <c r="AM5" i="15"/>
  <c r="AN5" i="15"/>
  <c r="AN7" i="15"/>
  <c r="AK10" i="15"/>
  <c r="AN10" i="15"/>
  <c r="AK6" i="15"/>
  <c r="AM6" i="15"/>
  <c r="AK8" i="15"/>
  <c r="AN11" i="15"/>
  <c r="AK4" i="15"/>
  <c r="AL16" i="15"/>
  <c r="AM7" i="15"/>
  <c r="AN9" i="15"/>
  <c r="AK11" i="15"/>
  <c r="AM9" i="15"/>
  <c r="AK16" i="13"/>
  <c r="H11" i="12"/>
  <c r="D90" i="3"/>
  <c r="D162" i="3"/>
  <c r="AK5" i="7"/>
  <c r="AN5" i="7"/>
  <c r="AJ16" i="7"/>
  <c r="AM4" i="7"/>
  <c r="AK7" i="7"/>
  <c r="AM7" i="7"/>
  <c r="H9" i="11"/>
  <c r="H4" i="11"/>
  <c r="AJ16" i="11"/>
  <c r="AL16" i="11"/>
  <c r="AJ16" i="10"/>
  <c r="D54" i="3"/>
  <c r="H6" i="10"/>
  <c r="H4" i="7"/>
  <c r="AN7" i="7"/>
  <c r="AM6" i="7"/>
  <c r="AM5" i="7"/>
  <c r="AK6" i="7"/>
  <c r="AL16" i="7"/>
  <c r="AK4" i="7"/>
  <c r="AN4" i="7"/>
  <c r="AN6" i="7"/>
  <c r="H4" i="9"/>
  <c r="AJ16" i="9"/>
  <c r="AL16" i="9"/>
  <c r="H4" i="8"/>
  <c r="AJ16" i="8"/>
  <c r="AL16" i="8"/>
  <c r="AM16" i="8"/>
  <c r="AN16" i="8"/>
  <c r="AL16" i="18"/>
  <c r="H4" i="10"/>
  <c r="AL16" i="10"/>
  <c r="H4" i="6"/>
  <c r="AJ16" i="6"/>
  <c r="AL16" i="6"/>
  <c r="AM16" i="6"/>
  <c r="AN16" i="6"/>
  <c r="AJ16" i="18"/>
  <c r="H4" i="19"/>
  <c r="J4" i="19" s="1"/>
  <c r="H7" i="16"/>
  <c r="H5" i="14"/>
  <c r="H4" i="14"/>
  <c r="AJ16" i="14"/>
  <c r="AL16" i="14"/>
  <c r="AN4" i="14"/>
  <c r="H5" i="13"/>
  <c r="H4" i="12"/>
  <c r="AJ5" i="12"/>
  <c r="AM5" i="12"/>
  <c r="AJ10" i="12"/>
  <c r="AL10" i="12"/>
  <c r="AI16" i="12"/>
  <c r="AK16" i="12"/>
  <c r="AL4" i="12"/>
  <c r="AL7" i="12"/>
  <c r="AM7" i="12"/>
  <c r="AL9" i="12"/>
  <c r="AM9" i="12"/>
  <c r="AL11" i="12"/>
  <c r="AM11" i="12"/>
  <c r="AL5" i="12"/>
  <c r="Q5" i="7"/>
  <c r="AM16" i="11" l="1"/>
  <c r="AO11" i="7"/>
  <c r="Q7" i="7"/>
  <c r="AK16" i="6"/>
  <c r="AN16" i="11"/>
  <c r="AO9" i="6"/>
  <c r="AO10" i="6"/>
  <c r="AO8" i="6"/>
  <c r="AO4" i="6"/>
  <c r="AP11" i="6"/>
  <c r="AO11" i="6"/>
  <c r="AO7" i="6"/>
  <c r="AO6" i="6"/>
  <c r="AO5" i="6"/>
  <c r="AO13" i="12"/>
  <c r="AO12" i="12"/>
  <c r="AO4" i="11"/>
  <c r="Q9" i="11"/>
  <c r="AP8" i="11" s="1"/>
  <c r="AO11" i="11"/>
  <c r="AO5" i="11"/>
  <c r="AO8" i="11"/>
  <c r="AO10" i="11"/>
  <c r="AO6" i="11"/>
  <c r="AO7" i="11"/>
  <c r="AO9" i="11"/>
  <c r="AO9" i="8"/>
  <c r="AO7" i="8"/>
  <c r="AO8" i="8"/>
  <c r="AO6" i="8"/>
  <c r="AO11" i="8"/>
  <c r="AO10" i="8"/>
  <c r="E15" i="4"/>
  <c r="AM16" i="13"/>
  <c r="AL16" i="13"/>
  <c r="Q7" i="14"/>
  <c r="Q13" i="9"/>
  <c r="AP12" i="9" s="1"/>
  <c r="AN16" i="18"/>
  <c r="Q12" i="9"/>
  <c r="AJ16" i="13"/>
  <c r="AM16" i="18"/>
  <c r="AK16" i="8"/>
  <c r="AO4" i="7"/>
  <c r="AO7" i="7"/>
  <c r="AK16" i="18"/>
  <c r="AO8" i="7"/>
  <c r="AK16" i="11"/>
  <c r="E7" i="4"/>
  <c r="AO10" i="9"/>
  <c r="AO8" i="9"/>
  <c r="Q11" i="9"/>
  <c r="AO5" i="7"/>
  <c r="AO6" i="7"/>
  <c r="AO9" i="7"/>
  <c r="E9" i="4"/>
  <c r="Q4" i="18"/>
  <c r="AO5" i="18"/>
  <c r="AO4" i="18"/>
  <c r="AO10" i="18"/>
  <c r="AO7" i="18"/>
  <c r="AO9" i="18"/>
  <c r="AO8" i="18"/>
  <c r="AO11" i="18"/>
  <c r="AO6" i="18"/>
  <c r="AO9" i="9"/>
  <c r="AO11" i="9"/>
  <c r="AO11" i="14"/>
  <c r="AO10" i="7"/>
  <c r="P6" i="12"/>
  <c r="AN9" i="13"/>
  <c r="AN11" i="13"/>
  <c r="AN10" i="13"/>
  <c r="AN8" i="13"/>
  <c r="P6" i="13"/>
  <c r="P8" i="12"/>
  <c r="E11" i="4"/>
  <c r="AP9" i="6"/>
  <c r="AP8" i="6"/>
  <c r="AP10" i="6"/>
  <c r="AP6" i="6"/>
  <c r="AP5" i="6"/>
  <c r="AP7" i="6"/>
  <c r="AK16" i="16"/>
  <c r="AP4" i="6"/>
  <c r="P9" i="12"/>
  <c r="P7" i="12"/>
  <c r="AK16" i="9"/>
  <c r="AM16" i="9"/>
  <c r="AN16" i="9"/>
  <c r="E8" i="4"/>
  <c r="E13" i="4"/>
  <c r="E10" i="4"/>
  <c r="E5" i="4"/>
  <c r="AP4" i="8"/>
  <c r="AP5" i="8"/>
  <c r="AP7" i="8"/>
  <c r="AP6" i="8"/>
  <c r="AP8" i="8"/>
  <c r="AP10" i="8"/>
  <c r="AP9" i="8"/>
  <c r="AP11" i="8"/>
  <c r="Q4" i="15"/>
  <c r="Q5" i="10"/>
  <c r="Q4" i="10"/>
  <c r="P4" i="13"/>
  <c r="AK16" i="10"/>
  <c r="AN16" i="10"/>
  <c r="AM16" i="10"/>
  <c r="AN16" i="14"/>
  <c r="AK16" i="14"/>
  <c r="AM16" i="14"/>
  <c r="AM16" i="16"/>
  <c r="AN16" i="16"/>
  <c r="AK16" i="15"/>
  <c r="AN5" i="12"/>
  <c r="D4" i="4"/>
  <c r="D17" i="4" s="1"/>
  <c r="C17" i="4"/>
  <c r="AO11" i="17"/>
  <c r="AO10" i="17"/>
  <c r="AO9" i="17"/>
  <c r="AO8" i="17"/>
  <c r="AO7" i="17"/>
  <c r="AO5" i="17"/>
  <c r="AO6" i="17"/>
  <c r="AO4" i="17"/>
  <c r="Q4" i="17"/>
  <c r="AN5" i="13"/>
  <c r="AN4" i="13"/>
  <c r="AN6" i="13"/>
  <c r="AO6" i="16"/>
  <c r="AO9" i="16"/>
  <c r="AO4" i="16"/>
  <c r="AO8" i="16"/>
  <c r="AO7" i="16"/>
  <c r="AO5" i="16"/>
  <c r="Q4" i="16"/>
  <c r="AO7" i="15"/>
  <c r="AO11" i="15"/>
  <c r="AO5" i="15"/>
  <c r="AO9" i="15"/>
  <c r="AO4" i="15"/>
  <c r="AO10" i="15"/>
  <c r="AO8" i="15"/>
  <c r="AO6" i="15"/>
  <c r="P11" i="12"/>
  <c r="AN8" i="12"/>
  <c r="AN6" i="12"/>
  <c r="AN9" i="12"/>
  <c r="AN11" i="12"/>
  <c r="AN7" i="12"/>
  <c r="AN10" i="12"/>
  <c r="AO7" i="10"/>
  <c r="AO11" i="10"/>
  <c r="AO9" i="10"/>
  <c r="AO10" i="10"/>
  <c r="AO12" i="10"/>
  <c r="AO8" i="10"/>
  <c r="Q6" i="10"/>
  <c r="AO7" i="9"/>
  <c r="AO6" i="9"/>
  <c r="AO5" i="9"/>
  <c r="AO4" i="9"/>
  <c r="Q4" i="9"/>
  <c r="AO6" i="10"/>
  <c r="AO5" i="10"/>
  <c r="AO4" i="10"/>
  <c r="Q7" i="16"/>
  <c r="AO11" i="16"/>
  <c r="AO10" i="16"/>
  <c r="AO10" i="14"/>
  <c r="Q5" i="14"/>
  <c r="AO9" i="14"/>
  <c r="AO8" i="14"/>
  <c r="AO7" i="14"/>
  <c r="AO6" i="14"/>
  <c r="AO5" i="14"/>
  <c r="AO4" i="14"/>
  <c r="Q4" i="14"/>
  <c r="AN7" i="13"/>
  <c r="P5" i="13"/>
  <c r="AN4" i="12"/>
  <c r="P4" i="12"/>
  <c r="E14" i="4"/>
  <c r="E12" i="4"/>
  <c r="E6" i="4"/>
  <c r="AK16" i="17"/>
  <c r="AM16" i="15"/>
  <c r="AN16" i="15"/>
  <c r="AM16" i="7"/>
  <c r="AK16" i="7"/>
  <c r="AN16" i="7"/>
  <c r="AM16" i="17"/>
  <c r="AJ16" i="12"/>
  <c r="AM16" i="12"/>
  <c r="AL16" i="12"/>
  <c r="AN16" i="17"/>
  <c r="AP11" i="7" l="1"/>
  <c r="AP8" i="7"/>
  <c r="AP10" i="7"/>
  <c r="AP4" i="7"/>
  <c r="AP9" i="7"/>
  <c r="AP5" i="7"/>
  <c r="AP6" i="7"/>
  <c r="AP7" i="7"/>
  <c r="AO16" i="6"/>
  <c r="AP7" i="11"/>
  <c r="AP6" i="11"/>
  <c r="AP4" i="11"/>
  <c r="AP10" i="11"/>
  <c r="AP5" i="11"/>
  <c r="AP11" i="11"/>
  <c r="AP9" i="11"/>
  <c r="AO16" i="11"/>
  <c r="AO16" i="8"/>
  <c r="AP11" i="14"/>
  <c r="AP10" i="14"/>
  <c r="AP8" i="9"/>
  <c r="AP9" i="9"/>
  <c r="AP10" i="9"/>
  <c r="AP11" i="9"/>
  <c r="AO7" i="13"/>
  <c r="AP5" i="18"/>
  <c r="AP9" i="18"/>
  <c r="AP8" i="18"/>
  <c r="AP7" i="18"/>
  <c r="AP11" i="18"/>
  <c r="AP6" i="18"/>
  <c r="AP4" i="18"/>
  <c r="AP10" i="18"/>
  <c r="AO16" i="18"/>
  <c r="AP16" i="6"/>
  <c r="AO16" i="7"/>
  <c r="AO11" i="13"/>
  <c r="AO9" i="13"/>
  <c r="AO10" i="13"/>
  <c r="AO8" i="13"/>
  <c r="AP9" i="15"/>
  <c r="AP8" i="15"/>
  <c r="AP7" i="15"/>
  <c r="AP6" i="15"/>
  <c r="AP4" i="15"/>
  <c r="AP11" i="15"/>
  <c r="AP5" i="15"/>
  <c r="AP16" i="8"/>
  <c r="AP10" i="15"/>
  <c r="E4" i="4"/>
  <c r="AO4" i="12"/>
  <c r="AO16" i="14"/>
  <c r="AO16" i="9"/>
  <c r="AP6" i="10"/>
  <c r="AP11" i="17"/>
  <c r="AP10" i="17"/>
  <c r="AP9" i="17"/>
  <c r="AP8" i="17"/>
  <c r="AP7" i="17"/>
  <c r="AP4" i="17"/>
  <c r="AP6" i="17"/>
  <c r="AP5" i="17"/>
  <c r="AP8" i="16"/>
  <c r="AP9" i="16"/>
  <c r="AP6" i="16"/>
  <c r="AP4" i="16"/>
  <c r="AP7" i="16"/>
  <c r="AP5" i="16"/>
  <c r="AO5" i="12"/>
  <c r="AO10" i="12"/>
  <c r="AO8" i="12"/>
  <c r="AO11" i="12"/>
  <c r="AO9" i="12"/>
  <c r="AP12" i="10"/>
  <c r="AP8" i="10"/>
  <c r="AP10" i="10"/>
  <c r="AP7" i="10"/>
  <c r="AP9" i="10"/>
  <c r="AP11" i="10"/>
  <c r="AP7" i="9"/>
  <c r="AP6" i="9"/>
  <c r="AP5" i="9"/>
  <c r="AP4" i="9"/>
  <c r="AP10" i="16"/>
  <c r="AP11" i="16"/>
  <c r="AP9" i="14"/>
  <c r="AP8" i="14"/>
  <c r="AP7" i="14"/>
  <c r="AP6" i="14"/>
  <c r="AP5" i="14"/>
  <c r="AP4" i="14"/>
  <c r="AN16" i="13"/>
  <c r="AO4" i="13"/>
  <c r="AO5" i="13"/>
  <c r="AO6" i="13"/>
  <c r="AO16" i="16"/>
  <c r="AO16" i="15"/>
  <c r="AO16" i="10"/>
  <c r="AP5" i="10"/>
  <c r="AP4" i="10"/>
  <c r="AO16" i="17"/>
  <c r="AO6" i="12"/>
  <c r="AO7" i="12"/>
  <c r="AN16" i="12"/>
  <c r="AP16" i="7" l="1"/>
  <c r="AP16" i="11"/>
  <c r="AP16" i="18"/>
  <c r="E17" i="4"/>
  <c r="AP16" i="14"/>
  <c r="AP16" i="15"/>
  <c r="AP16" i="17"/>
  <c r="AP16" i="16"/>
  <c r="AO16" i="12"/>
  <c r="AP16" i="9"/>
  <c r="AO16" i="13"/>
  <c r="AP16" i="10"/>
</calcChain>
</file>

<file path=xl/sharedStrings.xml><?xml version="1.0" encoding="utf-8"?>
<sst xmlns="http://schemas.openxmlformats.org/spreadsheetml/2006/main" count="1801" uniqueCount="387">
  <si>
    <t>PRENOTAZIONI  2026</t>
  </si>
  <si>
    <t>IN</t>
  </si>
  <si>
    <t>OUT</t>
  </si>
  <si>
    <t>Notti</t>
  </si>
  <si>
    <t>CASA</t>
  </si>
  <si>
    <t>Ospite</t>
  </si>
  <si>
    <t>N. Ospiti</t>
  </si>
  <si>
    <t>Canale</t>
  </si>
  <si>
    <t>Prezzo</t>
  </si>
  <si>
    <t>ADR</t>
  </si>
  <si>
    <t>Comm. OTA</t>
  </si>
  <si>
    <t>Pagamento</t>
  </si>
  <si>
    <t>City Tax</t>
  </si>
  <si>
    <t>% Matteo</t>
  </si>
  <si>
    <t>Costo Pulizia</t>
  </si>
  <si>
    <t>Chi Pulisce</t>
  </si>
  <si>
    <t>Kit+Lav.</t>
  </si>
  <si>
    <t>Rimborso</t>
  </si>
  <si>
    <t>NOTE</t>
  </si>
  <si>
    <t>#Sotto la Q</t>
  </si>
  <si>
    <t>LEGENDA</t>
  </si>
  <si>
    <t>#Casa Letiz</t>
  </si>
  <si>
    <t>#Casa nel B</t>
  </si>
  <si>
    <t>#Via San Ro</t>
  </si>
  <si>
    <t>#Via Cavour</t>
  </si>
  <si>
    <t>#Miramare</t>
  </si>
  <si>
    <t>#Agantonio</t>
  </si>
  <si>
    <t>#Casa Bella</t>
  </si>
  <si>
    <t>#Casa Verde</t>
  </si>
  <si>
    <t>#Casa Nicol</t>
  </si>
  <si>
    <t>#White Cott</t>
  </si>
  <si>
    <t>#Villa Nell</t>
  </si>
  <si>
    <t>Sotto la Quercia</t>
  </si>
  <si>
    <t>Matteo Locaputo</t>
  </si>
  <si>
    <t>2 ad</t>
  </si>
  <si>
    <t>booking.com</t>
  </si>
  <si>
    <t>VISA</t>
  </si>
  <si>
    <t>Matteo</t>
  </si>
  <si>
    <t>Booking.com</t>
  </si>
  <si>
    <t>Casa nel Borgo</t>
  </si>
  <si>
    <t>Filomena Adduocchio</t>
  </si>
  <si>
    <t>1 ad</t>
  </si>
  <si>
    <t>contanti</t>
  </si>
  <si>
    <t>DIANA</t>
  </si>
  <si>
    <t>Airbnb</t>
  </si>
  <si>
    <t>Villa Elena</t>
  </si>
  <si>
    <t xml:space="preserve">Giovanni Simone </t>
  </si>
  <si>
    <t>4 ad</t>
  </si>
  <si>
    <t>diretta</t>
  </si>
  <si>
    <t>MASTER</t>
  </si>
  <si>
    <t>Diretta</t>
  </si>
  <si>
    <t>Via San Rocco</t>
  </si>
  <si>
    <t>Maria Proietti</t>
  </si>
  <si>
    <t xml:space="preserve">2 ad </t>
  </si>
  <si>
    <t>Via San Rocco/Cavour</t>
  </si>
  <si>
    <t>NON RIMBORSABILE</t>
  </si>
  <si>
    <t>Monia Cardo</t>
  </si>
  <si>
    <t xml:space="preserve">Cornelia Bruckner </t>
  </si>
  <si>
    <t>DUSHA</t>
  </si>
  <si>
    <t>MATTEO</t>
  </si>
  <si>
    <t>Via Cavour</t>
  </si>
  <si>
    <t>Flavia di Campli</t>
  </si>
  <si>
    <t>Simeno Riccomob</t>
  </si>
  <si>
    <t>Casa Bella Gialla</t>
  </si>
  <si>
    <t>Domenico Martorella</t>
  </si>
  <si>
    <t>2 ad 1 b</t>
  </si>
  <si>
    <t>Tommaso Rossini</t>
  </si>
  <si>
    <t>BONIFICO</t>
  </si>
  <si>
    <t>JESSICA</t>
  </si>
  <si>
    <t>Agantonio</t>
  </si>
  <si>
    <t>Alessandro / Guido Peroni</t>
  </si>
  <si>
    <t>MARILENA</t>
  </si>
  <si>
    <t>Giada Bruni</t>
  </si>
  <si>
    <t>4 ad + 2 b</t>
  </si>
  <si>
    <t>RITA</t>
  </si>
  <si>
    <t>Sharon Ilaria Zangirolami</t>
  </si>
  <si>
    <t>Concetta D'Orsogna</t>
  </si>
  <si>
    <t>Luca D'Orsogna</t>
  </si>
  <si>
    <t>2 ad + 3 b</t>
  </si>
  <si>
    <t>Raffaele Guasco</t>
  </si>
  <si>
    <t>NESSUNO</t>
  </si>
  <si>
    <t>NON RIMBORSABILE - pagamento effettuato 30-01. NO SHOW</t>
  </si>
  <si>
    <t>Luca Ferrari</t>
  </si>
  <si>
    <t>3 ad</t>
  </si>
  <si>
    <t>Marina Alves</t>
  </si>
  <si>
    <t>Martina Pieri</t>
  </si>
  <si>
    <t>1 ad 2 b</t>
  </si>
  <si>
    <t>Karatina Svitekova</t>
  </si>
  <si>
    <t>preparare due matrimoniali + 1 singolo</t>
  </si>
  <si>
    <t xml:space="preserve">Korkrum kerri </t>
  </si>
  <si>
    <t>matteo</t>
  </si>
  <si>
    <t>Enrico Minante</t>
  </si>
  <si>
    <t>Mirella Bonomelli</t>
  </si>
  <si>
    <t>Casa Letizia</t>
  </si>
  <si>
    <t>Elisabetta Cappuccini</t>
  </si>
  <si>
    <t>2 ad + 2 b</t>
  </si>
  <si>
    <t>Miramare</t>
  </si>
  <si>
    <t>francesco Paradisi</t>
  </si>
  <si>
    <t>Villa Nella</t>
  </si>
  <si>
    <t>Adrian Motylewski</t>
  </si>
  <si>
    <t>Lugi Miscia</t>
  </si>
  <si>
    <t>CANE</t>
  </si>
  <si>
    <t>Ernesta Gargarella</t>
  </si>
  <si>
    <t>chiedere persone e prezzo</t>
  </si>
  <si>
    <t>Sara Gandossini</t>
  </si>
  <si>
    <t>Maria Teresa Jaravata Gabrillo</t>
  </si>
  <si>
    <t>8 ad</t>
  </si>
  <si>
    <t>Simona Chieli</t>
  </si>
  <si>
    <t>Lubini Nicoletta</t>
  </si>
  <si>
    <t>NON RIMBORSABILE - pagamento effettuato 11-05</t>
  </si>
  <si>
    <t>Emidio Colabrese</t>
  </si>
  <si>
    <t>Daniele Charreron</t>
  </si>
  <si>
    <t>Massimo Marfella</t>
  </si>
  <si>
    <t>2 ad + 1 n</t>
  </si>
  <si>
    <t>NON RIMBORSABILE - pagamento effettuato 30-01</t>
  </si>
  <si>
    <t>Casa Verde Oliva</t>
  </si>
  <si>
    <t>Angelo Città</t>
  </si>
  <si>
    <t>Andrea Tarozzi</t>
  </si>
  <si>
    <t>Loredana Benassi</t>
  </si>
  <si>
    <t>Martelli Sara</t>
  </si>
  <si>
    <t>Giovanna Di Matteo</t>
  </si>
  <si>
    <t>per conto di amici</t>
  </si>
  <si>
    <t>Gianni Barbetta</t>
  </si>
  <si>
    <t>5 ad + 1 n</t>
  </si>
  <si>
    <t>da prendere</t>
  </si>
  <si>
    <t>Nel Cuore di Lanciano</t>
  </si>
  <si>
    <t>Alessandro Brunetti</t>
  </si>
  <si>
    <t>Giulia Attenasio</t>
  </si>
  <si>
    <t>Margaret Aitken</t>
  </si>
  <si>
    <t>Alessandra Galli</t>
  </si>
  <si>
    <t>prenotazione booking 388,92 4 ad (no show)</t>
  </si>
  <si>
    <t>Daniele Lando</t>
  </si>
  <si>
    <t>2 cani</t>
  </si>
  <si>
    <t>TOTALI SPESE &amp; RICAVI  2026</t>
  </si>
  <si>
    <t>VOCE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</si>
  <si>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</si>
  <si>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</si>
  <si>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</si>
  <si>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</si>
  <si>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</si>
  <si>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</si>
  <si>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</si>
  <si>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</si>
  <si>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</si>
  <si>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</si>
  <si>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</si>
  <si>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</si>
  <si>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TOTALE</t>
  </si>
  <si>
    <t xml:space="preserve">  SPESE</t>
  </si>
  <si>
    <t>Commercialista</t>
  </si>
  <si>
    <t>Pulizie</t>
  </si>
  <si>
    <t>Findal - Kit</t>
  </si>
  <si>
    <t>Findal - Carta IG</t>
  </si>
  <si>
    <t>Hotelify</t>
  </si>
  <si>
    <t>Ridal</t>
  </si>
  <si>
    <t>Amenitiz</t>
  </si>
  <si>
    <t>Aruba</t>
  </si>
  <si>
    <t>Register.it</t>
  </si>
  <si>
    <t>TELEFONO</t>
  </si>
  <si>
    <t>Microsoft Office</t>
  </si>
  <si>
    <t>Transato POS HOBEX</t>
  </si>
  <si>
    <t>Prodotti Pulizie</t>
  </si>
  <si>
    <t>TOTALE SPESE</t>
  </si>
  <si>
    <t xml:space="preserve">  RICAVI</t>
  </si>
  <si>
    <t>Fatturato Matteo</t>
  </si>
  <si>
    <t>Tasse 2%</t>
  </si>
  <si>
    <t>Netto Matteo</t>
  </si>
  <si>
    <t>SALDO (Netto - Spese)</t>
  </si>
  <si>
    <t xml:space="preserve">  FATTURATO PER PROPRIETA</t>
  </si>
  <si>
    <t>PROPRIETA</t>
  </si>
  <si>
    <t>San Rocco/Cavour</t>
  </si>
  <si>
    <t>Casa Nicola</t>
  </si>
  <si>
    <t>White Cottage</t>
  </si>
  <si>
    <t>RIEPILOGO MENSILE  2026</t>
  </si>
  <si>
    <t>Gennaio</t>
  </si>
  <si>
    <t>MESE</t>
  </si>
  <si>
    <t>FATTURATO</t>
  </si>
  <si>
    <t>QUOTA PROP.</t>
  </si>
  <si>
    <t>QUOTA MATTEO</t>
  </si>
  <si>
    <t>N.NOTTI</t>
  </si>
  <si>
    <t>N.PREN.</t>
  </si>
  <si>
    <t>TOTALE MATTEO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</si>
  <si>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</si>
  <si>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</si>
  <si>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</si>
  <si>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</si>
  <si>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</si>
  <si>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</si>
  <si>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</si>
  <si>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</si>
  <si>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</si>
  <si>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</si>
  <si>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</si>
  <si>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GUADAGNI MATTEO  2026</t>
  </si>
  <si>
    <t>TASSE (2% sul 40%)</t>
  </si>
  <si>
    <t>NETTO MATTEO</t>
  </si>
  <si>
    <t>TOTALE ANNUALE</t>
  </si>
  <si>
    <t>Tasse = 2% sul 40% del fatturato lordo (regime forfettario)</t>
  </si>
  <si>
    <t>LISTINO KIT + BIANCHERIA  -  RIDAL</t>
  </si>
  <si>
    <t>ARTICOLO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</si>
  <si>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</si>
  <si>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</si>
  <si>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</si>
  <si>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</si>
  <si>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</si>
  <si>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</si>
  <si>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</si>
  <si>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</si>
  <si>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</si>
  <si>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CONFIGURAZIONE</t>
  </si>
  <si>
    <t>Federa</t>
  </si>
  <si>
    <t xml:space="preserve">1 pax matr </t>
  </si>
  <si>
    <t>Lenzuolo singolo</t>
  </si>
  <si>
    <t xml:space="preserve">2 pax matr      </t>
  </si>
  <si>
    <t>Lenzuolo matrimoniale</t>
  </si>
  <si>
    <t>2 pax matr + 1 sing</t>
  </si>
  <si>
    <t>Telo spugna</t>
  </si>
  <si>
    <t>2 pax 2 matr</t>
  </si>
  <si>
    <t>Asciugamano spugna</t>
  </si>
  <si>
    <t>2 pax 2 sing</t>
  </si>
  <si>
    <t>Ospite spugna</t>
  </si>
  <si>
    <t>3 pax 1 matr + 1 sing</t>
  </si>
  <si>
    <t>BORGO</t>
  </si>
  <si>
    <t>Sapone Vegetale gr20</t>
  </si>
  <si>
    <t>3 pax 2 matr</t>
  </si>
  <si>
    <t>Gel doccia flacone</t>
  </si>
  <si>
    <t>4 pax 1 matr + 2 sing</t>
  </si>
  <si>
    <t>Shampoo flacone</t>
  </si>
  <si>
    <t>4 pax 2 matr</t>
  </si>
  <si>
    <t>4 pax 2 matr + 2 sing</t>
  </si>
  <si>
    <t>5 pax 1 matr + 3 sing</t>
  </si>
  <si>
    <t>MIRAMARE</t>
  </si>
  <si>
    <t>5 pax 2 matr + 3 sing</t>
  </si>
  <si>
    <t>5 pax 3 matr + 2 sing</t>
  </si>
  <si>
    <t>6 pax 2 matri + 2 sing</t>
  </si>
  <si>
    <t>6 pax 2 matri + 3 sing</t>
  </si>
  <si>
    <t>6 pax 3 matr + 2 sing</t>
  </si>
  <si>
    <t>7 pax 2 matr + 3 Sing</t>
  </si>
  <si>
    <t>QUERCIA</t>
  </si>
  <si>
    <t>7 pax 3 matr + 1 Sing</t>
  </si>
  <si>
    <t>7 pax 3 matr + 2 sing</t>
  </si>
  <si>
    <t>8 pax 3 matr + 2 sing</t>
  </si>
  <si>
    <t>NELLA</t>
  </si>
  <si>
    <t>8 pax 2 matr + 4 sing</t>
  </si>
  <si>
    <t>9 pax 2 matr + 5 sing</t>
  </si>
  <si>
    <t>QUERCIA +</t>
  </si>
  <si>
    <t>PRENOTAZIONI  —  SOTTO LA QUERCIA</t>
  </si>
  <si>
    <t xml:space="preserve">  RIEPILOGO MENSILE 2026 — SOTTO LA QUERCIA</t>
  </si>
  <si>
    <t>N.Ospiti</t>
  </si>
  <si>
    <t>% OTA</t>
  </si>
  <si>
    <t>IVA 22%</t>
  </si>
  <si>
    <t>Ced.21%</t>
  </si>
  <si>
    <t>25% Matteo</t>
  </si>
  <si>
    <t>Spese</t>
  </si>
  <si>
    <t>Descrizione</t>
  </si>
  <si>
    <t>Netto Prop.</t>
  </si>
  <si>
    <t>Stato</t>
  </si>
  <si>
    <t>Stato Prop.</t>
  </si>
  <si>
    <t>N.PREN</t>
  </si>
  <si>
    <t>COMM.OTA</t>
  </si>
  <si>
    <t>CITY TAX</t>
  </si>
  <si>
    <t>25% MATT.</t>
  </si>
  <si>
    <t>NETTO PROP.</t>
  </si>
  <si>
    <t>Bonifico Effettuato 04/02 126,96€ : 80€ + 46,96€</t>
  </si>
  <si>
    <t>revisione caldaia</t>
  </si>
  <si>
    <t>Bonifico Effettuato 11/05 1115,59€ : 737,49€ + 378,11€</t>
  </si>
  <si>
    <t>PRENOTAZIONI  —  VILLA ELENA</t>
  </si>
  <si>
    <t xml:space="preserve">  RIEPILOGO MENSILE 2026 — VILLA ELENA</t>
  </si>
  <si>
    <t>Bonifico Effettuato 04/02 150€ : 108€ + 42€</t>
  </si>
  <si>
    <t>incassato</t>
  </si>
  <si>
    <t>pagato</t>
  </si>
  <si>
    <t>Bonifico Effettuato 04/02 225€ : 162€ + 63€</t>
  </si>
  <si>
    <t>PRENOTAZIONI  —  CASA NEL BORGO</t>
  </si>
  <si>
    <t xml:space="preserve">  RIEPILOGO MENSILE 2026 — CASA NEL BORGO</t>
  </si>
  <si>
    <t>Bonifico Effettuato il 19/3 219,40€</t>
  </si>
  <si>
    <t>Bonifico effettuato il 11/05 276 € : 195,54 € + 80,45€</t>
  </si>
  <si>
    <t>PRENOTAZIONI  —  AGANTONIO</t>
  </si>
  <si>
    <t xml:space="preserve">  RIEPILOGO MENSILE 2026 — AGANTONIO</t>
  </si>
  <si>
    <t>PRENOTAZIONI  —  CASA BELLA GIALLA</t>
  </si>
  <si>
    <t xml:space="preserve">  RIEPILOGO MENSILE 2026 — CASA BELLA GIALLA</t>
  </si>
  <si>
    <t xml:space="preserve"> </t>
  </si>
  <si>
    <t>PRENOTAZIONI  —  CASA LETIZIA</t>
  </si>
  <si>
    <t xml:space="preserve">  RIEPILOGO MENSILE 2026 — CASA LETIZIA</t>
  </si>
  <si>
    <t>PRENOTAZIONI  —  VIA SAN ROCCO</t>
  </si>
  <si>
    <t xml:space="preserve">  RIEPILOGO MENSILE 2026 — VIA SAN ROCCO</t>
  </si>
  <si>
    <t>10% Matteo</t>
  </si>
  <si>
    <t>Bonifico ricevuto il 18/3 per entrambe le strutture. 81€</t>
  </si>
  <si>
    <t>PRENOTAZIONI  —  VIA CAVOUR</t>
  </si>
  <si>
    <t xml:space="preserve">  RIEPILOGO MENSILE 2026 — VIA CAVOUR</t>
  </si>
  <si>
    <t>PRENOTAZIONI  —  VILLA NELLA</t>
  </si>
  <si>
    <t xml:space="preserve">  RIEPILOGO MENSILE 2026 — VILLA NELLA</t>
  </si>
  <si>
    <t>PRENOTAZIONI  —  NEL CUORE DI LANCIANO</t>
  </si>
  <si>
    <t xml:space="preserve">  RIEPILOGO MENSILE 2026 — NEL CUORE DI LANCIANO</t>
  </si>
  <si>
    <t>PRENOTAZIONI  —  MIRAMARE</t>
  </si>
  <si>
    <t xml:space="preserve">  RIEPILOGO MENSILE 2026 — MIRAMARE</t>
  </si>
  <si>
    <t>PRENOTAZIONI  —  CASA VERDE OLIVA</t>
  </si>
  <si>
    <t xml:space="preserve">  RIEPILOGO MENSILE 2026 — CASA VERDE OLIVA</t>
  </si>
  <si>
    <t>PRENOTAZIONI  —  CASA NICOLA</t>
  </si>
  <si>
    <t xml:space="preserve">  RIEPILOGO MENSILE 2026 — CASA NICOLA</t>
  </si>
  <si>
    <t>PRENOTAZIONI  —  WHITE COTTAGE</t>
  </si>
  <si>
    <t xml:space="preserve">  RIEPILOGO MENSILE 2026 — WHITE COTTAGE</t>
  </si>
  <si>
    <t>Silvia Beltramea</t>
  </si>
  <si>
    <t>Pascal Nucara</t>
  </si>
  <si>
    <t>Gennaro Pascale</t>
  </si>
  <si>
    <t>Colombara Fabio</t>
  </si>
  <si>
    <t xml:space="preserve">Napolitano Antonio </t>
  </si>
  <si>
    <t>casa nicola</t>
  </si>
  <si>
    <t>Michele Deponti</t>
  </si>
  <si>
    <t>Illia Tushin</t>
  </si>
  <si>
    <t>Orazio Di Nunzio</t>
  </si>
  <si>
    <t>NON RIMBORSABILE - pagamento effettuato con amentiz</t>
  </si>
  <si>
    <t>Valeria Rossi</t>
  </si>
  <si>
    <t>NON RIMBORSABILE - pagamento effettuato il 06-06</t>
  </si>
  <si>
    <t>Roberto Fontana</t>
  </si>
  <si>
    <t>Annamaria Cantadori</t>
  </si>
  <si>
    <t>Mariano Sambucari</t>
  </si>
  <si>
    <t>3 ad + 1 b</t>
  </si>
  <si>
    <t>Sara di Benedetto</t>
  </si>
  <si>
    <t>Maurizio Mercuri</t>
  </si>
  <si>
    <t>Eugenio Romor</t>
  </si>
  <si>
    <t>-</t>
  </si>
  <si>
    <t>pulizia per check-in amica 20€ + revisione estintori 10€</t>
  </si>
  <si>
    <t>Bonifico ricevuto il 22/5 per entrambe le strutture. 240€</t>
  </si>
  <si>
    <t>lavatrice</t>
  </si>
  <si>
    <t>estintore</t>
  </si>
  <si>
    <t>Barbara Maresti</t>
  </si>
  <si>
    <t>Salvatore Belsito</t>
  </si>
  <si>
    <t>Ahmad Alkhalil</t>
  </si>
  <si>
    <t xml:space="preserve">5 ad </t>
  </si>
  <si>
    <t>Alessandro De Ascaniis</t>
  </si>
  <si>
    <t>CANE - check in fatto con krissi 25€</t>
  </si>
  <si>
    <t>Vincenzo Patti</t>
  </si>
  <si>
    <t xml:space="preserve">Bonifico effettuato il 11/05 243€: 90€ + 153€ </t>
  </si>
  <si>
    <t>David Mesa</t>
  </si>
  <si>
    <t>1 ad 1 b</t>
  </si>
  <si>
    <t>Bonifico effettuato il 25/06 €1003,80 (1004€): €373,35 + €630,45</t>
  </si>
  <si>
    <t>estintori 208€ + 130€ pentole + 272€ lettini + 20€ scopa casa etc</t>
  </si>
  <si>
    <t>Giulio Querzoli</t>
  </si>
  <si>
    <t>Juanna Rosa</t>
  </si>
  <si>
    <t>Laura Capaldi</t>
  </si>
  <si>
    <t>Nicolle Bongers</t>
  </si>
  <si>
    <t>5 ad</t>
  </si>
  <si>
    <t>aggiunta alla prenotazione di booking</t>
  </si>
  <si>
    <t>pagato 265 con carta e resto in contanti</t>
  </si>
  <si>
    <t>Sindey Outtara</t>
  </si>
  <si>
    <t>Cane</t>
  </si>
  <si>
    <t>Monique Dempsey</t>
  </si>
  <si>
    <t>Mario Ucci</t>
  </si>
  <si>
    <t>Luigi Vinci</t>
  </si>
  <si>
    <t>Bonifico effettuato il 7/7 € 390,00: €280,80 + €109,20</t>
  </si>
  <si>
    <t>Bonifico Effettuato il 7/7 di €740: € 285,20 + €454,80</t>
  </si>
  <si>
    <t xml:space="preserve">  </t>
  </si>
  <si>
    <t>Bonifico effettuato il 7/7 di € 339,17 : €147,84 + €191,33</t>
  </si>
  <si>
    <t>Bonifico effetuato il 7/7 di €1202,19: €678,59 + €523,60</t>
  </si>
  <si>
    <t>Pierfrancesco Montecchi</t>
  </si>
  <si>
    <t>Giorgio Gangiulio</t>
  </si>
  <si>
    <t>Lara Olivieri</t>
  </si>
  <si>
    <t>Luigi Piovano</t>
  </si>
  <si>
    <t>Antonio Salzano</t>
  </si>
  <si>
    <t>Mario Palmeiro</t>
  </si>
  <si>
    <t>Baracca Pasquale</t>
  </si>
  <si>
    <t>Carolin Prusseit</t>
  </si>
  <si>
    <t>Donatella Chiodo</t>
  </si>
  <si>
    <t>Anna Pandolfi</t>
  </si>
  <si>
    <t>Erika Sciuttini</t>
  </si>
  <si>
    <t>Burko oleksi</t>
  </si>
  <si>
    <t>Luca. Maccarelli</t>
  </si>
  <si>
    <t>MASTER E CASH</t>
  </si>
  <si>
    <t>prolungato soggiorno</t>
  </si>
  <si>
    <t>ricarica internet 50€+ 55€ tosta pane, bollitore, filter coffe machine + 14€ rilevatore di monossido</t>
  </si>
  <si>
    <t>Paola Roana</t>
  </si>
  <si>
    <t>24€ rilevatore gas 14€ rilevatore monossido</t>
  </si>
  <si>
    <t>rilevatore monossido</t>
  </si>
  <si>
    <t>riparazione serranda 70€ + estintore 110€</t>
  </si>
  <si>
    <t>24€ rilevatore gas + 14€ rilevatore monossido + €110 estintore</t>
  </si>
  <si>
    <t>Bonifico effetuato il 5/8 di €4968,00</t>
  </si>
  <si>
    <t xml:space="preserve">Bonifico effettuato il 5/8 di € 2488,00 </t>
  </si>
  <si>
    <t>Bonifico Effettuato il 5/8 di € 3213,00</t>
  </si>
  <si>
    <t>Bonifico Effettuato il 5/8 di € 1514,00</t>
  </si>
  <si>
    <t>Bonifico effettuato il 5/8 di € 262,00</t>
  </si>
  <si>
    <t>Bruno Chiosi</t>
  </si>
  <si>
    <t>Bonifico effettuato 8/8 di 935,10€</t>
  </si>
  <si>
    <t>cash, master e bonifico</t>
  </si>
  <si>
    <t>contanti e master</t>
  </si>
  <si>
    <t>Silvia Marinelli</t>
  </si>
  <si>
    <t>Gianluca Mastrocola</t>
  </si>
  <si>
    <t>Sonia Bartolomeo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</si>
</sst>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.00;\(\€#,##0.00\);&quot;-&quot;"/>
    <numFmt numFmtId="165" formatCode="\€#,##0.00"/>
    <numFmt numFmtId="166" formatCode="dd/mm/yyyy"/>
    <numFmt numFmtId="167" formatCode="0;\-0;&quot;-&quot;"/>
    <numFmt numFmtId="168" formatCode="#,##0.00\ &quot;€&quot;"/>
  </numFmts>
  <fonts count="5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1F4E79"/>
      <name val="Arial"/>
      <family val="2"/>
    </font>
    <font>
      <sz val="11"/>
      <color rgb="FF7B0000"/>
      <name val="Arial"/>
      <family val="2"/>
    </font>
    <font>
      <sz val="11"/>
      <color rgb="FF1C4A1C"/>
      <name val="Arial"/>
      <family val="2"/>
    </font>
    <font>
      <sz val="11"/>
      <color rgb="FF7F6000"/>
      <name val="Arial"/>
      <family val="2"/>
    </font>
    <font>
      <sz val="11"/>
      <color rgb="FF9C0006"/>
      <name val="Arial"/>
      <family val="2"/>
    </font>
    <font>
      <b/>
      <sz val="12"/>
      <color rgb="FF375623"/>
      <name val="Arial"/>
      <family val="2"/>
    </font>
    <font>
      <sz val="9"/>
      <color rgb="FFCCCCCC"/>
      <name val="Arial"/>
      <family val="2"/>
    </font>
    <font>
      <sz val="11"/>
      <name val="Calibri"/>
      <family val="2"/>
    </font>
    <font>
      <sz val="12"/>
      <color rgb="FF375623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375623"/>
      <name val="Arial"/>
      <family val="2"/>
    </font>
    <font>
      <sz val="12"/>
      <color rgb="FF375623"/>
      <name val="Arial"/>
      <family val="2"/>
    </font>
    <font>
      <b/>
      <sz val="12"/>
      <color rgb="FFFF0000"/>
      <name val="Arial"/>
      <family val="2"/>
    </font>
    <font>
      <sz val="14"/>
      <color rgb="FF000000"/>
      <name val="Calibri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3"/>
      <color rgb="FF000000"/>
      <name val="Arial"/>
      <family val="2"/>
    </font>
    <font>
      <b/>
      <sz val="13"/>
      <color rgb="FFFFFFFF"/>
      <name val="Arial"/>
      <family val="2"/>
    </font>
    <font>
      <sz val="12"/>
      <color rgb="FF000000"/>
      <name val="Arial"/>
      <family val="2"/>
    </font>
    <font>
      <b/>
      <sz val="22"/>
      <color theme="6" tint="-0.249977111117893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C00000"/>
      <name val="Arial"/>
      <family val="2"/>
    </font>
    <font>
      <b/>
      <sz val="12"/>
      <color rgb="FF375623"/>
      <name val="Arial"/>
      <family val="2"/>
    </font>
    <font>
      <b/>
      <sz val="12"/>
      <color rgb="FFFFC0C0"/>
      <name val="Arial"/>
      <family val="2"/>
    </font>
    <font>
      <b/>
      <sz val="12"/>
      <color rgb="FF9FF3A4"/>
      <name val="Arial"/>
      <family val="2"/>
    </font>
    <font>
      <i/>
      <sz val="10"/>
      <color rgb="FF808080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DDFF5"/>
      </patternFill>
    </fill>
    <fill>
      <patternFill patternType="solid">
        <fgColor rgb="FFF2F2F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D0D0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theme="6" tint="0.59999389629810485"/>
        <bgColor indexed="65"/>
      </patternFill>
    </fill>
  </fills>
  <borders count="6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/>
      <right/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  <border>
      <left/>
      <right style="thin">
        <color rgb="FFBFBFBF"/>
      </right>
      <top/>
      <bottom style="medium">
        <color indexed="64"/>
      </bottom>
      <diagonal/>
    </border>
  </borders>
  <cellStyleXfs count="1">
    <xf numFmtId="0" fontId="0" fillId="0" borderId="3"/>
  </cellStyleXfs>
  <cellXfs count="286">
    <xf numFmtId="0" fontId="0" fillId="0" borderId="0" xfId="0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7" fillId="2" borderId="2" xfId="0" applyFont="1" applyFill="1" applyBorder="1" applyAlignment="1">
      <alignment horizontal="left" vertical="center"/>
    </xf>
    <xf numFmtId="0" fontId="6" fillId="0" borderId="0" xfId="0" applyFont="1" applyBorder="1"/>
    <xf numFmtId="0" fontId="8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164" fontId="3" fillId="9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64" fontId="4" fillId="10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3" fillId="12" borderId="2" xfId="0" applyFont="1" applyFill="1" applyBorder="1" applyAlignment="1">
      <alignment horizontal="left" vertical="center"/>
    </xf>
    <xf numFmtId="164" fontId="3" fillId="12" borderId="2" xfId="0" applyNumberFormat="1" applyFont="1" applyFill="1" applyBorder="1" applyAlignment="1">
      <alignment horizontal="right" vertical="center"/>
    </xf>
    <xf numFmtId="164" fontId="4" fillId="1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right" vertical="center"/>
    </xf>
    <xf numFmtId="165" fontId="3" fillId="9" borderId="2" xfId="0" applyNumberFormat="1" applyFont="1" applyFill="1" applyBorder="1" applyAlignment="1">
      <alignment horizontal="right" vertical="center"/>
    </xf>
    <xf numFmtId="0" fontId="14" fillId="0" borderId="0" xfId="0" applyFont="1" applyBorder="1"/>
    <xf numFmtId="166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/>
    </xf>
    <xf numFmtId="0" fontId="15" fillId="0" borderId="3" xfId="0" applyFont="1" applyAlignment="1">
      <alignment horizontal="left" vertical="center"/>
    </xf>
    <xf numFmtId="0" fontId="15" fillId="0" borderId="3" xfId="0" applyFont="1"/>
    <xf numFmtId="164" fontId="16" fillId="0" borderId="2" xfId="0" applyNumberFormat="1" applyFont="1" applyBorder="1" applyAlignment="1">
      <alignment horizontal="right" vertical="center"/>
    </xf>
    <xf numFmtId="164" fontId="13" fillId="0" borderId="2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7" fillId="0" borderId="2" xfId="0" applyNumberFormat="1" applyFont="1" applyBorder="1" applyAlignment="1">
      <alignment horizontal="left" vertical="center"/>
    </xf>
    <xf numFmtId="0" fontId="15" fillId="0" borderId="3" xfId="0" applyFont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6" fontId="3" fillId="0" borderId="6" xfId="0" applyNumberFormat="1" applyFont="1" applyBorder="1" applyAlignment="1">
      <alignment horizontal="center" vertical="center"/>
    </xf>
    <xf numFmtId="0" fontId="2" fillId="0" borderId="3" xfId="0" applyFont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164" fontId="16" fillId="0" borderId="6" xfId="0" applyNumberFormat="1" applyFont="1" applyBorder="1" applyAlignment="1">
      <alignment horizontal="right" vertical="center"/>
    </xf>
    <xf numFmtId="164" fontId="13" fillId="0" borderId="6" xfId="0" applyNumberFormat="1" applyFont="1" applyBorder="1" applyAlignment="1">
      <alignment horizontal="right" vertical="center"/>
    </xf>
    <xf numFmtId="0" fontId="2" fillId="0" borderId="3" xfId="0" applyFont="1" applyAlignment="1">
      <alignment horizontal="right" vertical="center"/>
    </xf>
    <xf numFmtId="164" fontId="2" fillId="0" borderId="3" xfId="0" applyNumberFormat="1" applyFont="1" applyAlignment="1">
      <alignment horizontal="right" vertical="center"/>
    </xf>
    <xf numFmtId="0" fontId="19" fillId="2" borderId="1" xfId="0" applyFont="1" applyFill="1" applyBorder="1"/>
    <xf numFmtId="0" fontId="20" fillId="3" borderId="1" xfId="0" applyFont="1" applyFill="1" applyBorder="1" applyAlignment="1">
      <alignment horizontal="center" vertical="center" wrapText="1"/>
    </xf>
    <xf numFmtId="164" fontId="21" fillId="0" borderId="2" xfId="0" applyNumberFormat="1" applyFont="1" applyBorder="1" applyAlignment="1">
      <alignment horizontal="right" vertical="center"/>
    </xf>
    <xf numFmtId="0" fontId="19" fillId="0" borderId="0" xfId="0" applyFont="1" applyBorder="1"/>
    <xf numFmtId="0" fontId="0" fillId="13" borderId="9" xfId="0" applyFill="1" applyBorder="1"/>
    <xf numFmtId="0" fontId="22" fillId="14" borderId="9" xfId="0" applyFont="1" applyFill="1" applyBorder="1" applyAlignment="1">
      <alignment horizontal="left" vertical="center"/>
    </xf>
    <xf numFmtId="0" fontId="0" fillId="14" borderId="9" xfId="0" applyFill="1" applyBorder="1"/>
    <xf numFmtId="0" fontId="23" fillId="13" borderId="9" xfId="0" applyFont="1" applyFill="1" applyBorder="1" applyAlignment="1">
      <alignment horizontal="center" vertical="center" wrapText="1"/>
    </xf>
    <xf numFmtId="0" fontId="0" fillId="15" borderId="10" xfId="0" applyFill="1" applyBorder="1"/>
    <xf numFmtId="0" fontId="24" fillId="15" borderId="10" xfId="0" applyFont="1" applyFill="1" applyBorder="1" applyAlignment="1">
      <alignment horizontal="left" vertical="center"/>
    </xf>
    <xf numFmtId="164" fontId="25" fillId="15" borderId="10" xfId="0" applyNumberFormat="1" applyFont="1" applyFill="1" applyBorder="1" applyAlignment="1">
      <alignment horizontal="right" vertical="center"/>
    </xf>
    <xf numFmtId="164" fontId="27" fillId="15" borderId="10" xfId="0" applyNumberFormat="1" applyFont="1" applyFill="1" applyBorder="1" applyAlignment="1">
      <alignment horizontal="right" vertical="center"/>
    </xf>
    <xf numFmtId="164" fontId="26" fillId="15" borderId="10" xfId="0" applyNumberFormat="1" applyFont="1" applyFill="1" applyBorder="1" applyAlignment="1">
      <alignment horizontal="right" vertical="center"/>
    </xf>
    <xf numFmtId="167" fontId="25" fillId="15" borderId="10" xfId="0" applyNumberFormat="1" applyFont="1" applyFill="1" applyBorder="1" applyAlignment="1">
      <alignment horizontal="center" vertical="center"/>
    </xf>
    <xf numFmtId="0" fontId="23" fillId="13" borderId="9" xfId="0" applyFont="1" applyFill="1" applyBorder="1" applyAlignment="1">
      <alignment horizontal="left" vertical="center"/>
    </xf>
    <xf numFmtId="164" fontId="23" fillId="13" borderId="9" xfId="0" applyNumberFormat="1" applyFont="1" applyFill="1" applyBorder="1" applyAlignment="1">
      <alignment horizontal="right" vertical="center"/>
    </xf>
    <xf numFmtId="167" fontId="23" fillId="13" borderId="9" xfId="0" applyNumberFormat="1" applyFont="1" applyFill="1" applyBorder="1" applyAlignment="1">
      <alignment horizontal="right" vertical="center"/>
    </xf>
    <xf numFmtId="0" fontId="28" fillId="0" borderId="2" xfId="0" applyFont="1" applyBorder="1" applyAlignment="1">
      <alignment horizontal="left" vertical="center" wrapText="1"/>
    </xf>
    <xf numFmtId="0" fontId="29" fillId="0" borderId="0" xfId="0" applyFont="1" applyBorder="1"/>
    <xf numFmtId="0" fontId="29" fillId="0" borderId="3" xfId="0" applyFont="1"/>
    <xf numFmtId="0" fontId="30" fillId="0" borderId="3" xfId="0" applyFont="1" applyAlignment="1">
      <alignment horizontal="center" vertical="center" wrapText="1"/>
    </xf>
    <xf numFmtId="166" fontId="31" fillId="0" borderId="2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30" fillId="0" borderId="3" xfId="0" applyFont="1" applyAlignment="1">
      <alignment horizontal="left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left" vertical="center"/>
    </xf>
    <xf numFmtId="164" fontId="33" fillId="0" borderId="12" xfId="0" applyNumberFormat="1" applyFont="1" applyBorder="1" applyAlignment="1">
      <alignment horizontal="right" vertical="center"/>
    </xf>
    <xf numFmtId="0" fontId="0" fillId="2" borderId="1" xfId="0" applyFill="1" applyBorder="1" applyAlignment="1">
      <alignment horizontal="center"/>
    </xf>
    <xf numFmtId="0" fontId="15" fillId="0" borderId="3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7" xfId="0" applyFill="1" applyBorder="1"/>
    <xf numFmtId="0" fontId="0" fillId="0" borderId="3" xfId="0"/>
    <xf numFmtId="166" fontId="3" fillId="0" borderId="13" xfId="0" applyNumberFormat="1" applyFont="1" applyBorder="1" applyAlignment="1">
      <alignment horizontal="center" vertical="center"/>
    </xf>
    <xf numFmtId="166" fontId="31" fillId="0" borderId="3" xfId="0" applyNumberFormat="1" applyFont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0" fontId="34" fillId="0" borderId="0" xfId="0" applyFont="1" applyBorder="1"/>
    <xf numFmtId="0" fontId="30" fillId="3" borderId="5" xfId="0" applyFont="1" applyFill="1" applyBorder="1" applyAlignment="1">
      <alignment horizontal="center" vertical="center" wrapText="1"/>
    </xf>
    <xf numFmtId="166" fontId="31" fillId="0" borderId="13" xfId="0" applyNumberFormat="1" applyFont="1" applyBorder="1" applyAlignment="1">
      <alignment horizontal="center" vertical="center"/>
    </xf>
    <xf numFmtId="0" fontId="2" fillId="0" borderId="3" xfId="0" applyFont="1" applyAlignment="1">
      <alignment horizontal="center" vertical="center" wrapText="1"/>
    </xf>
    <xf numFmtId="166" fontId="3" fillId="0" borderId="3" xfId="0" applyNumberFormat="1" applyFont="1" applyAlignment="1">
      <alignment horizontal="center" vertical="center"/>
    </xf>
    <xf numFmtId="166" fontId="4" fillId="0" borderId="3" xfId="0" applyNumberFormat="1" applyFont="1" applyAlignment="1">
      <alignment horizontal="center" vertical="center"/>
    </xf>
    <xf numFmtId="0" fontId="35" fillId="0" borderId="3" xfId="0" applyFont="1"/>
    <xf numFmtId="0" fontId="36" fillId="0" borderId="3" xfId="0" applyFont="1"/>
    <xf numFmtId="164" fontId="37" fillId="0" borderId="1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38" fillId="17" borderId="19" xfId="0" applyFont="1" applyFill="1" applyBorder="1" applyAlignment="1">
      <alignment horizontal="center" vertical="center" wrapText="1"/>
    </xf>
    <xf numFmtId="0" fontId="39" fillId="2" borderId="1" xfId="0" applyFont="1" applyFill="1" applyBorder="1"/>
    <xf numFmtId="0" fontId="39" fillId="16" borderId="11" xfId="0" applyFont="1" applyFill="1" applyBorder="1"/>
    <xf numFmtId="0" fontId="40" fillId="2" borderId="1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center" vertical="center" wrapText="1"/>
    </xf>
    <xf numFmtId="0" fontId="38" fillId="14" borderId="11" xfId="0" applyFont="1" applyFill="1" applyBorder="1" applyAlignment="1">
      <alignment horizontal="center" vertical="center" wrapText="1"/>
    </xf>
    <xf numFmtId="0" fontId="41" fillId="9" borderId="2" xfId="0" applyFont="1" applyFill="1" applyBorder="1" applyAlignment="1">
      <alignment horizontal="left" vertical="center"/>
    </xf>
    <xf numFmtId="167" fontId="41" fillId="9" borderId="2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left" vertical="center"/>
    </xf>
    <xf numFmtId="164" fontId="38" fillId="2" borderId="1" xfId="0" applyNumberFormat="1" applyFont="1" applyFill="1" applyBorder="1" applyAlignment="1">
      <alignment horizontal="right" vertical="center"/>
    </xf>
    <xf numFmtId="164" fontId="38" fillId="16" borderId="11" xfId="0" applyNumberFormat="1" applyFont="1" applyFill="1" applyBorder="1" applyAlignment="1">
      <alignment horizontal="right" vertical="center"/>
    </xf>
    <xf numFmtId="0" fontId="0" fillId="18" borderId="1" xfId="0" applyFill="1" applyBorder="1"/>
    <xf numFmtId="0" fontId="0" fillId="18" borderId="0" xfId="0" applyFill="1" applyBorder="1"/>
    <xf numFmtId="0" fontId="0" fillId="19" borderId="0" xfId="0" applyFill="1" applyBorder="1"/>
    <xf numFmtId="0" fontId="2" fillId="13" borderId="9" xfId="0" applyFont="1" applyFill="1" applyBorder="1" applyAlignment="1">
      <alignment horizontal="center" vertical="center" wrapText="1"/>
    </xf>
    <xf numFmtId="168" fontId="42" fillId="0" borderId="20" xfId="0" applyNumberFormat="1" applyFont="1" applyBorder="1"/>
    <xf numFmtId="0" fontId="0" fillId="20" borderId="21" xfId="0" applyFill="1" applyBorder="1"/>
    <xf numFmtId="0" fontId="43" fillId="20" borderId="21" xfId="0" applyFont="1" applyFill="1" applyBorder="1" applyAlignment="1">
      <alignment horizontal="left" vertical="center"/>
    </xf>
    <xf numFmtId="0" fontId="44" fillId="21" borderId="21" xfId="0" applyFont="1" applyFill="1" applyBorder="1" applyAlignment="1">
      <alignment horizontal="center" vertical="center" wrapText="1"/>
    </xf>
    <xf numFmtId="0" fontId="0" fillId="22" borderId="22" xfId="0" applyFill="1" applyBorder="1"/>
    <xf numFmtId="0" fontId="45" fillId="22" borderId="22" xfId="0" applyFont="1" applyFill="1" applyBorder="1" applyAlignment="1">
      <alignment horizontal="left" vertical="center"/>
    </xf>
    <xf numFmtId="164" fontId="46" fillId="22" borderId="22" xfId="0" applyNumberFormat="1" applyFont="1" applyFill="1" applyBorder="1" applyAlignment="1">
      <alignment horizontal="right" vertical="center"/>
    </xf>
    <xf numFmtId="164" fontId="47" fillId="22" borderId="22" xfId="0" applyNumberFormat="1" applyFont="1" applyFill="1" applyBorder="1" applyAlignment="1">
      <alignment horizontal="right" vertical="center"/>
    </xf>
    <xf numFmtId="164" fontId="48" fillId="22" borderId="22" xfId="0" applyNumberFormat="1" applyFont="1" applyFill="1" applyBorder="1" applyAlignment="1">
      <alignment horizontal="right" vertical="center"/>
    </xf>
    <xf numFmtId="0" fontId="44" fillId="20" borderId="21" xfId="0" applyFont="1" applyFill="1" applyBorder="1" applyAlignment="1">
      <alignment horizontal="left" vertical="center"/>
    </xf>
    <xf numFmtId="164" fontId="44" fillId="20" borderId="21" xfId="0" applyNumberFormat="1" applyFont="1" applyFill="1" applyBorder="1" applyAlignment="1">
      <alignment horizontal="right" vertical="center"/>
    </xf>
    <xf numFmtId="164" fontId="49" fillId="20" borderId="21" xfId="0" applyNumberFormat="1" applyFont="1" applyFill="1" applyBorder="1" applyAlignment="1">
      <alignment horizontal="right" vertical="center"/>
    </xf>
    <xf numFmtId="164" fontId="50" fillId="20" borderId="21" xfId="0" applyNumberFormat="1" applyFont="1" applyFill="1" applyBorder="1" applyAlignment="1">
      <alignment horizontal="right" vertical="center"/>
    </xf>
    <xf numFmtId="0" fontId="51" fillId="0" borderId="0" xfId="0" applyFont="1" applyBorder="1" applyAlignment="1">
      <alignment horizontal="left" vertical="center"/>
    </xf>
    <xf numFmtId="0" fontId="4" fillId="0" borderId="3" xfId="0" applyFont="1" applyAlignment="1">
      <alignment horizontal="left" vertical="center"/>
    </xf>
    <xf numFmtId="165" fontId="13" fillId="0" borderId="3" xfId="0" applyNumberFormat="1" applyFont="1" applyAlignment="1">
      <alignment horizontal="right" vertical="center"/>
    </xf>
    <xf numFmtId="0" fontId="3" fillId="0" borderId="3" xfId="0" applyFont="1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165" fontId="1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0" fillId="0" borderId="23" xfId="0" applyBorder="1"/>
    <xf numFmtId="0" fontId="52" fillId="0" borderId="23" xfId="0" applyFont="1" applyBorder="1"/>
    <xf numFmtId="0" fontId="53" fillId="23" borderId="25" xfId="0" applyFont="1" applyFill="1" applyBorder="1" applyAlignment="1">
      <alignment horizontal="center" vertical="center" wrapText="1"/>
    </xf>
    <xf numFmtId="164" fontId="54" fillId="0" borderId="26" xfId="0" applyNumberFormat="1" applyFont="1" applyBorder="1" applyAlignment="1">
      <alignment horizontal="right" vertical="center"/>
    </xf>
    <xf numFmtId="164" fontId="3" fillId="0" borderId="27" xfId="0" applyNumberFormat="1" applyFont="1" applyBorder="1" applyAlignment="1">
      <alignment horizontal="right" vertical="center"/>
    </xf>
    <xf numFmtId="0" fontId="0" fillId="23" borderId="25" xfId="0" applyFill="1" applyBorder="1"/>
    <xf numFmtId="164" fontId="46" fillId="0" borderId="26" xfId="0" applyNumberFormat="1" applyFont="1" applyBorder="1" applyAlignment="1">
      <alignment horizontal="right" vertical="center"/>
    </xf>
    <xf numFmtId="164" fontId="3" fillId="24" borderId="2" xfId="0" applyNumberFormat="1" applyFont="1" applyFill="1" applyBorder="1" applyAlignment="1">
      <alignment horizontal="right" vertical="center"/>
    </xf>
    <xf numFmtId="164" fontId="41" fillId="9" borderId="27" xfId="0" applyNumberFormat="1" applyFont="1" applyFill="1" applyBorder="1" applyAlignment="1">
      <alignment horizontal="right" vertical="center"/>
    </xf>
    <xf numFmtId="164" fontId="41" fillId="0" borderId="27" xfId="0" applyNumberFormat="1" applyFont="1" applyBorder="1" applyAlignment="1">
      <alignment horizontal="right" vertical="center"/>
    </xf>
    <xf numFmtId="164" fontId="41" fillId="15" borderId="27" xfId="0" applyNumberFormat="1" applyFont="1" applyFill="1" applyBorder="1" applyAlignment="1">
      <alignment horizontal="right" vertical="center"/>
    </xf>
    <xf numFmtId="164" fontId="3" fillId="24" borderId="8" xfId="0" applyNumberFormat="1" applyFont="1" applyFill="1" applyBorder="1" applyAlignment="1">
      <alignment horizontal="right" vertical="center"/>
    </xf>
    <xf numFmtId="0" fontId="53" fillId="23" borderId="6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right" vertical="center"/>
    </xf>
    <xf numFmtId="164" fontId="46" fillId="0" borderId="8" xfId="0" applyNumberFormat="1" applyFont="1" applyBorder="1" applyAlignment="1">
      <alignment horizontal="right" vertical="center"/>
    </xf>
    <xf numFmtId="164" fontId="17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66" fontId="3" fillId="0" borderId="29" xfId="0" applyNumberFormat="1" applyFont="1" applyBorder="1" applyAlignment="1">
      <alignment horizontal="center" vertical="center"/>
    </xf>
    <xf numFmtId="166" fontId="3" fillId="0" borderId="30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164" fontId="3" fillId="0" borderId="30" xfId="0" applyNumberFormat="1" applyFont="1" applyBorder="1" applyAlignment="1">
      <alignment horizontal="right" vertical="center"/>
    </xf>
    <xf numFmtId="164" fontId="46" fillId="0" borderId="30" xfId="0" applyNumberFormat="1" applyFont="1" applyBorder="1" applyAlignment="1">
      <alignment horizontal="right" vertical="center"/>
    </xf>
    <xf numFmtId="164" fontId="3" fillId="24" borderId="30" xfId="0" applyNumberFormat="1" applyFont="1" applyFill="1" applyBorder="1" applyAlignment="1">
      <alignment horizontal="right" vertical="center"/>
    </xf>
    <xf numFmtId="164" fontId="17" fillId="0" borderId="30" xfId="0" applyNumberFormat="1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166" fontId="31" fillId="0" borderId="8" xfId="0" applyNumberFormat="1" applyFont="1" applyBorder="1" applyAlignment="1">
      <alignment horizontal="center" vertical="center"/>
    </xf>
    <xf numFmtId="166" fontId="3" fillId="0" borderId="31" xfId="0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horizontal="center" vertical="center"/>
    </xf>
    <xf numFmtId="1" fontId="3" fillId="0" borderId="32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164" fontId="3" fillId="0" borderId="32" xfId="0" applyNumberFormat="1" applyFont="1" applyBorder="1" applyAlignment="1">
      <alignment horizontal="right" vertical="center"/>
    </xf>
    <xf numFmtId="164" fontId="46" fillId="0" borderId="32" xfId="0" applyNumberFormat="1" applyFont="1" applyBorder="1" applyAlignment="1">
      <alignment horizontal="right" vertical="center"/>
    </xf>
    <xf numFmtId="164" fontId="3" fillId="24" borderId="32" xfId="0" applyNumberFormat="1" applyFont="1" applyFill="1" applyBorder="1" applyAlignment="1">
      <alignment horizontal="right" vertical="center"/>
    </xf>
    <xf numFmtId="164" fontId="17" fillId="0" borderId="32" xfId="0" applyNumberFormat="1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166" fontId="3" fillId="0" borderId="33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164" fontId="46" fillId="0" borderId="27" xfId="0" applyNumberFormat="1" applyFont="1" applyBorder="1" applyAlignment="1">
      <alignment horizontal="right" vertical="center"/>
    </xf>
    <xf numFmtId="164" fontId="3" fillId="24" borderId="27" xfId="0" applyNumberFormat="1" applyFont="1" applyFill="1" applyBorder="1" applyAlignment="1">
      <alignment horizontal="right" vertical="center"/>
    </xf>
    <xf numFmtId="164" fontId="17" fillId="0" borderId="27" xfId="0" applyNumberFormat="1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166" fontId="3" fillId="0" borderId="34" xfId="0" applyNumberFormat="1" applyFont="1" applyBorder="1" applyAlignment="1">
      <alignment horizontal="center" vertical="center"/>
    </xf>
    <xf numFmtId="166" fontId="3" fillId="0" borderId="35" xfId="0" applyNumberFormat="1" applyFont="1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164" fontId="3" fillId="0" borderId="35" xfId="0" applyNumberFormat="1" applyFont="1" applyBorder="1" applyAlignment="1">
      <alignment horizontal="right" vertical="center"/>
    </xf>
    <xf numFmtId="164" fontId="46" fillId="0" borderId="35" xfId="0" applyNumberFormat="1" applyFont="1" applyBorder="1" applyAlignment="1">
      <alignment horizontal="right" vertical="center"/>
    </xf>
    <xf numFmtId="164" fontId="3" fillId="24" borderId="35" xfId="0" applyNumberFormat="1" applyFont="1" applyFill="1" applyBorder="1" applyAlignment="1">
      <alignment horizontal="right" vertical="center"/>
    </xf>
    <xf numFmtId="164" fontId="17" fillId="0" borderId="35" xfId="0" applyNumberFormat="1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2" fillId="16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33" fillId="0" borderId="8" xfId="0" applyNumberFormat="1" applyFont="1" applyBorder="1" applyAlignment="1">
      <alignment horizontal="right" vertical="center"/>
    </xf>
    <xf numFmtId="164" fontId="33" fillId="0" borderId="30" xfId="0" applyNumberFormat="1" applyFont="1" applyBorder="1" applyAlignment="1">
      <alignment horizontal="right" vertical="center"/>
    </xf>
    <xf numFmtId="166" fontId="21" fillId="0" borderId="36" xfId="0" applyNumberFormat="1" applyFont="1" applyBorder="1" applyAlignment="1">
      <alignment horizontal="center" vertical="center"/>
    </xf>
    <xf numFmtId="166" fontId="21" fillId="0" borderId="37" xfId="0" applyNumberFormat="1" applyFont="1" applyBorder="1" applyAlignment="1">
      <alignment horizontal="center" vertical="center"/>
    </xf>
    <xf numFmtId="166" fontId="31" fillId="0" borderId="38" xfId="0" applyNumberFormat="1" applyFont="1" applyBorder="1" applyAlignment="1">
      <alignment horizontal="center" vertical="center"/>
    </xf>
    <xf numFmtId="166" fontId="31" fillId="0" borderId="39" xfId="0" applyNumberFormat="1" applyFont="1" applyBorder="1" applyAlignment="1">
      <alignment horizontal="center" vertical="center"/>
    </xf>
    <xf numFmtId="166" fontId="4" fillId="0" borderId="36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164" fontId="3" fillId="24" borderId="43" xfId="0" applyNumberFormat="1" applyFont="1" applyFill="1" applyBorder="1" applyAlignment="1">
      <alignment horizontal="right" vertical="center"/>
    </xf>
    <xf numFmtId="164" fontId="54" fillId="0" borderId="8" xfId="0" applyNumberFormat="1" applyFont="1" applyBorder="1" applyAlignment="1">
      <alignment horizontal="right" vertical="center"/>
    </xf>
    <xf numFmtId="164" fontId="54" fillId="0" borderId="30" xfId="0" applyNumberFormat="1" applyFont="1" applyBorder="1" applyAlignment="1">
      <alignment horizontal="right" vertical="center"/>
    </xf>
    <xf numFmtId="166" fontId="4" fillId="0" borderId="42" xfId="0" applyNumberFormat="1" applyFont="1" applyBorder="1" applyAlignment="1">
      <alignment horizontal="center" vertical="center"/>
    </xf>
    <xf numFmtId="164" fontId="54" fillId="0" borderId="32" xfId="0" applyNumberFormat="1" applyFont="1" applyBorder="1" applyAlignment="1">
      <alignment horizontal="right" vertical="center"/>
    </xf>
    <xf numFmtId="0" fontId="3" fillId="0" borderId="44" xfId="0" applyFont="1" applyBorder="1" applyAlignment="1">
      <alignment horizontal="left" vertical="center"/>
    </xf>
    <xf numFmtId="166" fontId="55" fillId="0" borderId="45" xfId="0" applyNumberFormat="1" applyFont="1" applyBorder="1" applyAlignment="1">
      <alignment horizontal="center" vertical="center" wrapText="1"/>
    </xf>
    <xf numFmtId="164" fontId="54" fillId="0" borderId="35" xfId="0" applyNumberFormat="1" applyFont="1" applyBorder="1" applyAlignment="1">
      <alignment horizontal="right" vertical="center"/>
    </xf>
    <xf numFmtId="0" fontId="3" fillId="0" borderId="46" xfId="0" applyFont="1" applyBorder="1" applyAlignment="1">
      <alignment horizontal="left" vertical="center"/>
    </xf>
    <xf numFmtId="166" fontId="4" fillId="0" borderId="47" xfId="0" applyNumberFormat="1" applyFont="1" applyBorder="1" applyAlignment="1">
      <alignment horizontal="center" vertical="center"/>
    </xf>
    <xf numFmtId="166" fontId="4" fillId="0" borderId="45" xfId="0" applyNumberFormat="1" applyFont="1" applyBorder="1" applyAlignment="1">
      <alignment horizontal="center" vertical="center"/>
    </xf>
    <xf numFmtId="166" fontId="3" fillId="0" borderId="47" xfId="0" applyNumberFormat="1" applyFont="1" applyBorder="1" applyAlignment="1">
      <alignment horizontal="center" vertical="center"/>
    </xf>
    <xf numFmtId="164" fontId="54" fillId="0" borderId="27" xfId="0" applyNumberFormat="1" applyFont="1" applyBorder="1" applyAlignment="1">
      <alignment horizontal="right" vertical="center"/>
    </xf>
    <xf numFmtId="166" fontId="3" fillId="0" borderId="48" xfId="0" applyNumberFormat="1" applyFont="1" applyBorder="1" applyAlignment="1">
      <alignment horizontal="center" vertical="center"/>
    </xf>
    <xf numFmtId="0" fontId="38" fillId="2" borderId="1" xfId="0" applyFont="1" applyFill="1" applyBorder="1" applyAlignment="1">
      <alignment horizontal="right" vertical="center"/>
    </xf>
    <xf numFmtId="166" fontId="4" fillId="0" borderId="48" xfId="0" applyNumberFormat="1" applyFont="1" applyBorder="1" applyAlignment="1">
      <alignment horizontal="center" vertical="center"/>
    </xf>
    <xf numFmtId="164" fontId="17" fillId="0" borderId="35" xfId="0" applyNumberFormat="1" applyFont="1" applyBorder="1" applyAlignment="1">
      <alignment horizontal="left" vertical="center" wrapText="1"/>
    </xf>
    <xf numFmtId="166" fontId="31" fillId="0" borderId="47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right" vertical="center"/>
    </xf>
    <xf numFmtId="164" fontId="46" fillId="0" borderId="49" xfId="0" applyNumberFormat="1" applyFont="1" applyBorder="1" applyAlignment="1">
      <alignment horizontal="right" vertical="center"/>
    </xf>
    <xf numFmtId="164" fontId="3" fillId="0" borderId="50" xfId="0" applyNumberFormat="1" applyFont="1" applyBorder="1" applyAlignment="1">
      <alignment horizontal="right" vertical="center"/>
    </xf>
    <xf numFmtId="164" fontId="3" fillId="0" borderId="51" xfId="0" applyNumberFormat="1" applyFont="1" applyBorder="1" applyAlignment="1">
      <alignment horizontal="right" vertical="center"/>
    </xf>
    <xf numFmtId="166" fontId="21" fillId="0" borderId="45" xfId="0" applyNumberFormat="1" applyFont="1" applyBorder="1" applyAlignment="1">
      <alignment horizontal="center" vertical="center"/>
    </xf>
    <xf numFmtId="164" fontId="17" fillId="0" borderId="32" xfId="0" applyNumberFormat="1" applyFont="1" applyBorder="1" applyAlignment="1">
      <alignment horizontal="left" vertical="center" wrapText="1"/>
    </xf>
    <xf numFmtId="166" fontId="31" fillId="0" borderId="48" xfId="0" applyNumberFormat="1" applyFont="1" applyBorder="1" applyAlignment="1">
      <alignment horizontal="center" vertical="center"/>
    </xf>
    <xf numFmtId="166" fontId="3" fillId="0" borderId="52" xfId="0" applyNumberFormat="1" applyFont="1" applyBorder="1" applyAlignment="1">
      <alignment horizontal="center" vertical="center"/>
    </xf>
    <xf numFmtId="166" fontId="3" fillId="0" borderId="53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164" fontId="3" fillId="0" borderId="53" xfId="0" applyNumberFormat="1" applyFont="1" applyBorder="1" applyAlignment="1">
      <alignment horizontal="right" vertical="center"/>
    </xf>
    <xf numFmtId="164" fontId="54" fillId="0" borderId="53" xfId="0" applyNumberFormat="1" applyFont="1" applyBorder="1" applyAlignment="1">
      <alignment horizontal="right" vertical="center"/>
    </xf>
    <xf numFmtId="164" fontId="46" fillId="0" borderId="53" xfId="0" applyNumberFormat="1" applyFont="1" applyBorder="1" applyAlignment="1">
      <alignment horizontal="right" vertical="center"/>
    </xf>
    <xf numFmtId="164" fontId="3" fillId="24" borderId="53" xfId="0" applyNumberFormat="1" applyFont="1" applyFill="1" applyBorder="1" applyAlignment="1">
      <alignment horizontal="right" vertical="center"/>
    </xf>
    <xf numFmtId="164" fontId="17" fillId="0" borderId="53" xfId="0" applyNumberFormat="1" applyFont="1" applyBorder="1" applyAlignment="1">
      <alignment horizontal="left" vertical="center"/>
    </xf>
    <xf numFmtId="166" fontId="3" fillId="0" borderId="42" xfId="0" applyNumberFormat="1" applyFont="1" applyBorder="1" applyAlignment="1">
      <alignment horizontal="center" vertical="center"/>
    </xf>
    <xf numFmtId="166" fontId="3" fillId="0" borderId="39" xfId="0" applyNumberFormat="1" applyFont="1" applyBorder="1" applyAlignment="1">
      <alignment horizontal="center" vertical="center"/>
    </xf>
    <xf numFmtId="166" fontId="3" fillId="0" borderId="54" xfId="0" applyNumberFormat="1" applyFont="1" applyBorder="1" applyAlignment="1">
      <alignment horizontal="center" vertical="center"/>
    </xf>
    <xf numFmtId="166" fontId="3" fillId="0" borderId="55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left" vertical="center"/>
    </xf>
    <xf numFmtId="164" fontId="3" fillId="0" borderId="55" xfId="0" applyNumberFormat="1" applyFont="1" applyBorder="1" applyAlignment="1">
      <alignment horizontal="right" vertical="center"/>
    </xf>
    <xf numFmtId="164" fontId="54" fillId="0" borderId="55" xfId="0" applyNumberFormat="1" applyFont="1" applyBorder="1" applyAlignment="1">
      <alignment horizontal="right" vertical="center"/>
    </xf>
    <xf numFmtId="164" fontId="46" fillId="0" borderId="55" xfId="0" applyNumberFormat="1" applyFont="1" applyBorder="1" applyAlignment="1">
      <alignment horizontal="right" vertical="center"/>
    </xf>
    <xf numFmtId="164" fontId="3" fillId="24" borderId="55" xfId="0" applyNumberFormat="1" applyFont="1" applyFill="1" applyBorder="1" applyAlignment="1">
      <alignment horizontal="right" vertical="center"/>
    </xf>
    <xf numFmtId="164" fontId="17" fillId="0" borderId="55" xfId="0" applyNumberFormat="1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166" fontId="21" fillId="0" borderId="45" xfId="0" applyNumberFormat="1" applyFont="1" applyBorder="1" applyAlignment="1">
      <alignment horizontal="center" vertical="center" wrapText="1"/>
    </xf>
    <xf numFmtId="164" fontId="3" fillId="0" borderId="55" xfId="0" applyNumberFormat="1" applyFont="1" applyBorder="1" applyAlignment="1">
      <alignment horizontal="center" vertical="center"/>
    </xf>
    <xf numFmtId="164" fontId="17" fillId="0" borderId="55" xfId="0" applyNumberFormat="1" applyFont="1" applyBorder="1" applyAlignment="1">
      <alignment horizontal="left" vertical="center" wrapText="1"/>
    </xf>
    <xf numFmtId="166" fontId="3" fillId="0" borderId="57" xfId="0" applyNumberFormat="1" applyFont="1" applyBorder="1" applyAlignment="1">
      <alignment horizontal="center" vertical="center"/>
    </xf>
    <xf numFmtId="166" fontId="3" fillId="0" borderId="50" xfId="0" applyNumberFormat="1" applyFont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right" vertical="center"/>
    </xf>
    <xf numFmtId="164" fontId="3" fillId="24" borderId="50" xfId="0" applyNumberFormat="1" applyFont="1" applyFill="1" applyBorder="1" applyAlignment="1">
      <alignment horizontal="right" vertical="center"/>
    </xf>
    <xf numFmtId="164" fontId="17" fillId="0" borderId="50" xfId="0" applyNumberFormat="1" applyFont="1" applyBorder="1" applyAlignment="1">
      <alignment horizontal="left" vertical="center"/>
    </xf>
    <xf numFmtId="166" fontId="3" fillId="0" borderId="58" xfId="0" applyNumberFormat="1" applyFont="1" applyBorder="1" applyAlignment="1">
      <alignment horizontal="center" vertical="center"/>
    </xf>
    <xf numFmtId="166" fontId="3" fillId="0" borderId="51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/>
    </xf>
    <xf numFmtId="164" fontId="46" fillId="0" borderId="51" xfId="0" applyNumberFormat="1" applyFont="1" applyBorder="1" applyAlignment="1">
      <alignment horizontal="right" vertical="center"/>
    </xf>
    <xf numFmtId="164" fontId="3" fillId="0" borderId="59" xfId="0" applyNumberFormat="1" applyFont="1" applyBorder="1" applyAlignment="1">
      <alignment horizontal="right" vertical="center"/>
    </xf>
    <xf numFmtId="164" fontId="3" fillId="0" borderId="60" xfId="0" applyNumberFormat="1" applyFont="1" applyBorder="1" applyAlignment="1">
      <alignment horizontal="right" vertical="center"/>
    </xf>
    <xf numFmtId="164" fontId="17" fillId="0" borderId="51" xfId="0" applyNumberFormat="1" applyFont="1" applyBorder="1" applyAlignment="1">
      <alignment horizontal="left" vertical="center"/>
    </xf>
    <xf numFmtId="164" fontId="3" fillId="24" borderId="51" xfId="0" applyNumberFormat="1" applyFont="1" applyFill="1" applyBorder="1" applyAlignment="1">
      <alignment horizontal="right" vertical="center"/>
    </xf>
    <xf numFmtId="0" fontId="3" fillId="0" borderId="59" xfId="0" applyFont="1" applyBorder="1" applyAlignment="1">
      <alignment horizontal="left" vertical="center"/>
    </xf>
    <xf numFmtId="166" fontId="4" fillId="0" borderId="37" xfId="0" applyNumberFormat="1" applyFont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0" fontId="40" fillId="2" borderId="25" xfId="0" applyFont="1" applyFill="1" applyBorder="1" applyAlignment="1">
      <alignment horizontal="center" vertical="center"/>
    </xf>
    <xf numFmtId="0" fontId="0" fillId="0" borderId="15" xfId="0" applyBorder="1"/>
    <xf numFmtId="0" fontId="1" fillId="2" borderId="25" xfId="0" applyFont="1" applyFill="1" applyBorder="1" applyAlignment="1">
      <alignment horizontal="center" vertical="center"/>
    </xf>
  </cellXfs>
  <cellStyles count="1">
    <cellStyle name="Normale" xfId="0" builtinId="0"/>
  </cellStyles>
  <dxfs count="9">
    <dxf>
      <font>
        <b/>
        <sz val="12"/>
        <color rgb="FF9C0006"/>
        <name val="Arial"/>
      </font>
      <fill>
        <patternFill patternType="solid">
          <fgColor rgb="FFFFC7CE"/>
        </patternFill>
      </fill>
    </dxf>
    <dxf>
      <font>
        <b/>
        <sz val="12"/>
        <color rgb="FF375623"/>
        <name val="Arial"/>
      </font>
      <fill>
        <patternFill patternType="solid">
          <fgColor rgb="FFC6EFCE"/>
        </patternFill>
      </fill>
    </dxf>
    <dxf>
      <fill>
        <patternFill>
          <bgColor auto="1"/>
        </patternFill>
      </fill>
    </dxf>
    <dxf>
      <fill>
        <patternFill>
          <bgColor theme="8" tint="0.79998168889431442"/>
        </patternFill>
      </fill>
    </dxf>
    <dxf>
      <fill>
        <patternFill>
          <bgColor rgb="FF9FF3A4"/>
        </patternFill>
      </fill>
    </dxf>
    <dxf>
      <fill>
        <patternFill>
          <bgColor rgb="FFFF9D96"/>
        </patternFill>
      </fill>
    </dxf>
    <dxf>
      <fill>
        <patternFill>
          <bgColor rgb="FFFFFB85"/>
        </patternFill>
      </fill>
    </dxf>
    <dxf>
      <fill>
        <patternFill>
          <bgColor rgb="FFFFFB85"/>
        </patternFill>
      </fill>
    </dxf>
    <dxf>
      <font>
        <b/>
        <strike val="0"/>
        <outline val="0"/>
        <shadow val="0"/>
        <vertAlign val="baseline"/>
        <sz val="1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notazioni" displayName="Prenotazioni" ref="A2:AE215">
  <autoFilter ref="A2:AE215" xr:uid="{00000000-0009-0000-0100-000001000000}"/>
  <sortState xmlns:xlrd2="http://schemas.microsoft.com/office/spreadsheetml/2017/richdata2" ref="A3:AE215">
    <sortCondition ref="A2:A215"/>
  </sortState>
  <tableColumns count="31">
    <tableColumn id="1" xr3:uid="{00000000-0010-0000-0000-000001000000}" name="IN"/>
    <tableColumn id="2" xr3:uid="{00000000-0010-0000-0000-000002000000}" name="OUT"/>
    <tableColumn id="3" xr3:uid="{00000000-0010-0000-0000-000003000000}" name="Notti"/>
    <tableColumn id="4" xr3:uid="{00000000-0010-0000-0000-000004000000}" name="CASA"/>
    <tableColumn id="5" xr3:uid="{00000000-0010-0000-0000-000005000000}" name="Ospite"/>
    <tableColumn id="6" xr3:uid="{00000000-0010-0000-0000-000006000000}" name="N. Ospiti"/>
    <tableColumn id="7" xr3:uid="{00000000-0010-0000-0000-000007000000}" name="Canale"/>
    <tableColumn id="8" xr3:uid="{00000000-0010-0000-0000-000008000000}" name="Prezzo"/>
    <tableColumn id="9" xr3:uid="{00000000-0010-0000-0000-000009000000}" name="ADR"/>
    <tableColumn id="10" xr3:uid="{00000000-0010-0000-0000-00000A000000}" name="Comm. OTA"/>
    <tableColumn id="11" xr3:uid="{00000000-0010-0000-0000-00000B000000}" name="Pagamento"/>
    <tableColumn id="12" xr3:uid="{00000000-0010-0000-0000-00000C000000}" name="City Tax"/>
    <tableColumn id="13" xr3:uid="{00000000-0010-0000-0000-00000D000000}" name="% Matteo" dataDxfId="8"/>
    <tableColumn id="14" xr3:uid="{00000000-0010-0000-0000-00000E000000}" name="Costo Pulizia"/>
    <tableColumn id="15" xr3:uid="{00000000-0010-0000-0000-00000F000000}" name="Chi Pulisce"/>
    <tableColumn id="16" xr3:uid="{00000000-0010-0000-0000-000010000000}" name="Kit+Lav."/>
    <tableColumn id="17" xr3:uid="{00000000-0010-0000-0000-000011000000}" name="Rimborso"/>
    <tableColumn id="18" xr3:uid="{00000000-0010-0000-0000-000012000000}" name="NOTE"/>
    <tableColumn id="19" xr3:uid="{00000000-0010-0000-0000-000013000000}" name="#Sotto la Q"/>
    <tableColumn id="20" xr3:uid="{00000000-0010-0000-0000-000014000000}" name="LEGENDA"/>
    <tableColumn id="21" xr3:uid="{00000000-0010-0000-0000-000015000000}" name="#Casa Letiz"/>
    <tableColumn id="22" xr3:uid="{00000000-0010-0000-0000-000016000000}" name="#Casa nel B"/>
    <tableColumn id="23" xr3:uid="{00000000-0010-0000-0000-000017000000}" name="#Via San Ro"/>
    <tableColumn id="24" xr3:uid="{00000000-0010-0000-0000-000018000000}" name="#Via Cavour"/>
    <tableColumn id="25" xr3:uid="{00000000-0010-0000-0000-000019000000}" name="#Miramare"/>
    <tableColumn id="26" xr3:uid="{00000000-0010-0000-0000-00001A000000}" name="#Agantonio"/>
    <tableColumn id="27" xr3:uid="{00000000-0010-0000-0000-00001B000000}" name="#Casa Bella"/>
    <tableColumn id="28" xr3:uid="{00000000-0010-0000-0000-00001C000000}" name="#Casa Verde"/>
    <tableColumn id="29" xr3:uid="{00000000-0010-0000-0000-00001D000000}" name="#Casa Nicol"/>
    <tableColumn id="30" xr3:uid="{00000000-0010-0000-0000-00001E000000}" name="#White Cott"/>
    <tableColumn id="31" xr3:uid="{00000000-0010-0000-0000-00001F000000}" name="#Villa N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U269"/>
  <sheetViews>
    <sheetView tabSelected="1" topLeftCell="B1" zoomScale="150" zoomScaleNormal="150" workbookViewId="0">
      <pane ySplit="2" topLeftCell="A68" activePane="bottomLeft" state="frozen"/>
      <selection pane="bottomLeft" activeCell="M71" sqref="M71"/>
    </sheetView>
  </sheetViews>
  <sheetFormatPr baseColWidth="10" defaultColWidth="8.83203125" defaultRowHeight="19" x14ac:dyDescent="0.25"/>
  <cols>
    <col min="1" max="2" width="12" customWidth="1"/>
    <col min="3" max="3" width="7" customWidth="1"/>
    <col min="4" max="4" width="24" customWidth="1"/>
    <col min="5" max="5" width="23.6640625" customWidth="1"/>
    <col min="6" max="6" width="8.1640625" customWidth="1"/>
    <col min="7" max="7" width="14" customWidth="1"/>
    <col min="8" max="9" width="11" customWidth="1"/>
    <col min="10" max="10" width="12" customWidth="1"/>
    <col min="11" max="11" width="10.83203125" customWidth="1"/>
    <col min="12" max="12" width="8" customWidth="1"/>
    <col min="13" max="13" width="13.1640625" style="62" customWidth="1"/>
    <col min="14" max="14" width="10" customWidth="1"/>
    <col min="15" max="15" width="13" customWidth="1"/>
    <col min="16" max="16" width="12" customWidth="1"/>
    <col min="17" max="17" width="15" bestFit="1" customWidth="1"/>
    <col min="18" max="18" width="61.6640625" bestFit="1" customWidth="1"/>
    <col min="19" max="19" width="5" hidden="1" customWidth="1"/>
    <col min="20" max="20" width="26" hidden="1" customWidth="1"/>
    <col min="21" max="31" width="5" hidden="1" customWidth="1"/>
    <col min="32" max="47" width="13" hidden="1" customWidth="1"/>
  </cols>
  <sheetData>
    <row r="1" spans="1:47" ht="36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9"/>
      <c r="N1" s="2"/>
      <c r="O1" s="2"/>
      <c r="P1" s="2"/>
      <c r="Q1" s="2"/>
      <c r="R1" s="2"/>
    </row>
    <row r="2" spans="1:47" ht="60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60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 t="s">
        <v>19</v>
      </c>
      <c r="T2" s="5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</row>
    <row r="3" spans="1:47" ht="22" customHeight="1" x14ac:dyDescent="0.2">
      <c r="A3" s="31">
        <v>46026</v>
      </c>
      <c r="B3" s="31">
        <v>46028</v>
      </c>
      <c r="C3" s="32">
        <f t="shared" ref="C3:C47" si="0">IF(A3&lt;&gt;"",B3-A3,"")</f>
        <v>2</v>
      </c>
      <c r="D3" s="33" t="s">
        <v>32</v>
      </c>
      <c r="E3" s="34" t="s">
        <v>33</v>
      </c>
      <c r="F3" s="34" t="s">
        <v>34</v>
      </c>
      <c r="G3" s="34" t="s">
        <v>35</v>
      </c>
      <c r="H3" s="35">
        <v>223.64</v>
      </c>
      <c r="I3" s="35">
        <f t="shared" ref="I3:I66" si="1">IF(AND(H3&lt;&gt;"",C3&lt;&gt;"",C3&lt;&gt;0),H3/C3,"")</f>
        <v>111.82</v>
      </c>
      <c r="J3" s="35">
        <f>IF(AND(ISNUMBER(SEARCH("booking",G3)),OR(D3="Via San Rocco",D3="Via Cavour")),H3*0.165,IF(ISNUMBER(SEARCH("airbnb",G3)),H3*0.155,IF(ISNUMBER(SEARCH("booking",G3)),H3*0.15,"")))</f>
        <v>33.545999999999999</v>
      </c>
      <c r="K3" s="34" t="s">
        <v>36</v>
      </c>
      <c r="L3" s="35">
        <v>4</v>
      </c>
      <c r="M3" s="61">
        <f>IF(H3&lt;&gt;"",H3*0.25,"")</f>
        <v>55.91</v>
      </c>
      <c r="N3" s="35">
        <v>0</v>
      </c>
      <c r="O3" s="34" t="s">
        <v>37</v>
      </c>
      <c r="P3" s="35">
        <v>10.38</v>
      </c>
      <c r="Q3" s="35"/>
      <c r="R3" s="36"/>
      <c r="S3" s="30">
        <f t="shared" ref="S3:S66" si="2">IF(AND($D3="Sotto la Quercia",$G3&lt;&gt;""),ROW(),"")</f>
        <v>3</v>
      </c>
      <c r="T3" s="7" t="s">
        <v>38</v>
      </c>
      <c r="U3" s="30" t="str">
        <f t="shared" ref="U3:U66" si="3">IF(AND($D3="Casa Letizia",$G3&lt;&gt;""),ROW(),"")</f>
        <v/>
      </c>
      <c r="V3" s="30" t="str">
        <f t="shared" ref="V3:V66" si="4">IF(AND($D3="Casa nel Borgo",$G3&lt;&gt;""),ROW(),"")</f>
        <v/>
      </c>
      <c r="W3" s="30" t="str">
        <f t="shared" ref="W3:W66" si="5">IF(AND($D3="Via San Rocco",$G3&lt;&gt;""),ROW(),"")</f>
        <v/>
      </c>
      <c r="X3" s="30" t="str">
        <f t="shared" ref="X3:X66" si="6">IF(AND($D3="Via Cavour",$G3&lt;&gt;""),ROW(),"")</f>
        <v/>
      </c>
      <c r="Y3" s="30" t="str">
        <f t="shared" ref="Y3:Y66" si="7">IF(AND($D3="Miramare",$G3&lt;&gt;""),ROW(),"")</f>
        <v/>
      </c>
      <c r="Z3" s="30" t="str">
        <f t="shared" ref="Z3:Z66" si="8">IF(AND($D3="Agantonio",$G3&lt;&gt;""),ROW(),"")</f>
        <v/>
      </c>
      <c r="AA3" s="30" t="str">
        <f t="shared" ref="AA3:AA66" si="9">IF(AND($D3="Casa Bella Gialla",$G3&lt;&gt;""),ROW(),"")</f>
        <v/>
      </c>
      <c r="AB3" s="30" t="str">
        <f t="shared" ref="AB3:AB66" si="10">IF(AND($D3="Casa Verde Oliva",$G3&lt;&gt;""),ROW(),"")</f>
        <v/>
      </c>
      <c r="AC3" s="30" t="str">
        <f t="shared" ref="AC3:AC66" si="11">IF(AND($D3="Casa Nicola",$G3&lt;&gt;""),ROW(),"")</f>
        <v/>
      </c>
      <c r="AD3" s="30" t="str">
        <f t="shared" ref="AD3:AD66" si="12">IF(AND($D3="White Cottage",$G3&lt;&gt;""),ROW(),"")</f>
        <v/>
      </c>
      <c r="AE3" s="30" t="str">
        <f t="shared" ref="AE3:AE66" si="13">IF(AND($D3="Villa Nella",$G3&lt;&gt;""),ROW(),"")</f>
        <v/>
      </c>
      <c r="AF3" s="30" t="str">
        <f t="shared" ref="AF3:AF57" si="14">IF(AND($D3="Villa Elena",$G3&lt;&gt;""),ROW(),"")</f>
        <v/>
      </c>
      <c r="AG3" s="30" t="str">
        <f t="shared" ref="AG3:AG57" si="15">IF(AND($D3="Sotto la Quercia",$G3=""),ROW(),"")</f>
        <v/>
      </c>
      <c r="AH3" s="30" t="str">
        <f t="shared" ref="AH3:AH57" si="16">IF(AND($D3="Villa Elena",$G3=""),ROW(),"")</f>
        <v/>
      </c>
      <c r="AI3" s="30" t="str">
        <f t="shared" ref="AI3:AI57" si="17">IF(AND($D3="Casa Letizia",$G3=""),ROW(),"")</f>
        <v/>
      </c>
      <c r="AJ3" s="30" t="str">
        <f t="shared" ref="AJ3:AJ57" si="18">IF(AND($D3="Casa nel Borgo",$G3=""),ROW(),"")</f>
        <v/>
      </c>
      <c r="AK3" s="30" t="str">
        <f t="shared" ref="AK3:AK57" si="19">IF(AND($D3="Via San Rocco",$G3=""),ROW(),"")</f>
        <v/>
      </c>
      <c r="AL3" s="30" t="str">
        <f t="shared" ref="AL3:AL57" si="20">IF(AND($D3="Via Cavour",$G3=""),ROW(),"")</f>
        <v/>
      </c>
      <c r="AM3" s="30" t="str">
        <f t="shared" ref="AM3:AM57" si="21">IF(AND($D3="Miramare",$G3=""),ROW(),"")</f>
        <v/>
      </c>
      <c r="AN3" s="30" t="str">
        <f t="shared" ref="AN3:AN57" si="22">IF(AND($D3="Agantonio",$G3=""),ROW(),"")</f>
        <v/>
      </c>
      <c r="AO3" s="30" t="str">
        <f t="shared" ref="AO3:AO57" si="23">IF(AND($D3="Casa Bella Gialla",$G3=""),ROW(),"")</f>
        <v/>
      </c>
      <c r="AP3" s="30" t="str">
        <f t="shared" ref="AP3:AP57" si="24">IF(AND($D3="Casa Verde Oliva",$G3=""),ROW(),"")</f>
        <v/>
      </c>
      <c r="AQ3" s="30" t="str">
        <f t="shared" ref="AQ3:AQ57" si="25">IF(AND($D3="Casa Nicola",$G3=""),ROW(),"")</f>
        <v/>
      </c>
      <c r="AR3" s="30" t="str">
        <f t="shared" ref="AR3:AR57" si="26">IF(AND($D3="White Cottage",$G3=""),ROW(),"")</f>
        <v/>
      </c>
      <c r="AS3" s="30" t="str">
        <f t="shared" ref="AS3:AS57" si="27">IF(AND($D3="Villa Nella",$G3=""),ROW(),"")</f>
        <v/>
      </c>
      <c r="AT3" t="str">
        <f t="shared" ref="AT3:AT57" si="28">IF(AND($D3="Nel Cuore di Lanciano",$G3&lt;&gt;""),ROW(),"")</f>
        <v/>
      </c>
      <c r="AU3" t="str">
        <f t="shared" ref="AU3:AU57" si="29">IF(AND($D3="Nel Cuore di Lanciano",$G3=""),ROW(),"")</f>
        <v/>
      </c>
    </row>
    <row r="4" spans="1:47" ht="22" customHeight="1" x14ac:dyDescent="0.2">
      <c r="A4" s="31">
        <v>46029</v>
      </c>
      <c r="B4" s="31">
        <v>46052</v>
      </c>
      <c r="C4" s="32">
        <f t="shared" si="0"/>
        <v>23</v>
      </c>
      <c r="D4" s="33" t="s">
        <v>39</v>
      </c>
      <c r="E4" s="34" t="s">
        <v>40</v>
      </c>
      <c r="F4" s="34" t="s">
        <v>41</v>
      </c>
      <c r="G4" s="34"/>
      <c r="H4" s="35">
        <v>300</v>
      </c>
      <c r="I4" s="35">
        <f t="shared" si="1"/>
        <v>13.043478260869565</v>
      </c>
      <c r="J4" s="35">
        <v>0</v>
      </c>
      <c r="K4" s="34" t="s">
        <v>42</v>
      </c>
      <c r="L4" s="35"/>
      <c r="M4" s="61">
        <f>IF(H4&lt;&gt;"",H4*0.25,"")</f>
        <v>75</v>
      </c>
      <c r="N4" s="35">
        <v>15</v>
      </c>
      <c r="O4" s="34" t="s">
        <v>43</v>
      </c>
      <c r="P4" s="35">
        <v>10.38</v>
      </c>
      <c r="Q4" s="35"/>
      <c r="R4" s="36"/>
      <c r="S4" s="30" t="str">
        <f t="shared" si="2"/>
        <v/>
      </c>
      <c r="T4" s="11" t="s">
        <v>44</v>
      </c>
      <c r="U4" s="30" t="str">
        <f t="shared" si="3"/>
        <v/>
      </c>
      <c r="V4" s="30" t="str">
        <f t="shared" si="4"/>
        <v/>
      </c>
      <c r="W4" s="30" t="str">
        <f t="shared" si="5"/>
        <v/>
      </c>
      <c r="X4" s="30" t="str">
        <f t="shared" si="6"/>
        <v/>
      </c>
      <c r="Y4" s="30" t="str">
        <f t="shared" si="7"/>
        <v/>
      </c>
      <c r="Z4" s="30" t="str">
        <f t="shared" si="8"/>
        <v/>
      </c>
      <c r="AA4" s="30" t="str">
        <f t="shared" si="9"/>
        <v/>
      </c>
      <c r="AB4" s="30" t="str">
        <f t="shared" si="10"/>
        <v/>
      </c>
      <c r="AC4" s="30" t="str">
        <f t="shared" si="11"/>
        <v/>
      </c>
      <c r="AD4" s="30" t="str">
        <f t="shared" si="12"/>
        <v/>
      </c>
      <c r="AE4" s="30" t="str">
        <f t="shared" si="13"/>
        <v/>
      </c>
      <c r="AF4" s="30" t="str">
        <f t="shared" si="14"/>
        <v/>
      </c>
      <c r="AG4" s="30" t="str">
        <f t="shared" si="15"/>
        <v/>
      </c>
      <c r="AH4" s="30" t="str">
        <f t="shared" si="16"/>
        <v/>
      </c>
      <c r="AI4" s="30" t="str">
        <f t="shared" si="17"/>
        <v/>
      </c>
      <c r="AJ4" s="30">
        <f t="shared" si="18"/>
        <v>4</v>
      </c>
      <c r="AK4" s="30" t="str">
        <f t="shared" si="19"/>
        <v/>
      </c>
      <c r="AL4" s="30" t="str">
        <f t="shared" si="20"/>
        <v/>
      </c>
      <c r="AM4" s="30" t="str">
        <f t="shared" si="21"/>
        <v/>
      </c>
      <c r="AN4" s="30" t="str">
        <f t="shared" si="22"/>
        <v/>
      </c>
      <c r="AO4" s="30" t="str">
        <f t="shared" si="23"/>
        <v/>
      </c>
      <c r="AP4" s="30" t="str">
        <f t="shared" si="24"/>
        <v/>
      </c>
      <c r="AQ4" s="30" t="str">
        <f t="shared" si="25"/>
        <v/>
      </c>
      <c r="AR4" s="30" t="str">
        <f t="shared" si="26"/>
        <v/>
      </c>
      <c r="AS4" s="30" t="str">
        <f t="shared" si="27"/>
        <v/>
      </c>
      <c r="AT4" t="str">
        <f t="shared" si="28"/>
        <v/>
      </c>
      <c r="AU4" t="str">
        <f t="shared" si="29"/>
        <v/>
      </c>
    </row>
    <row r="5" spans="1:47" ht="22" customHeight="1" x14ac:dyDescent="0.2">
      <c r="A5" s="31">
        <v>46038</v>
      </c>
      <c r="B5" s="31">
        <v>46040</v>
      </c>
      <c r="C5" s="32">
        <f t="shared" si="0"/>
        <v>2</v>
      </c>
      <c r="D5" s="33" t="s">
        <v>45</v>
      </c>
      <c r="E5" s="34" t="s">
        <v>46</v>
      </c>
      <c r="F5" s="34" t="s">
        <v>47</v>
      </c>
      <c r="G5" s="34" t="s">
        <v>48</v>
      </c>
      <c r="H5" s="35">
        <v>200</v>
      </c>
      <c r="I5" s="35">
        <f t="shared" si="1"/>
        <v>100</v>
      </c>
      <c r="J5" s="35">
        <v>0</v>
      </c>
      <c r="K5" s="34" t="s">
        <v>49</v>
      </c>
      <c r="L5" s="35">
        <v>8</v>
      </c>
      <c r="M5" s="61">
        <f>IF(H5&lt;&gt;"",H5*0.25,"")</f>
        <v>50</v>
      </c>
      <c r="N5" s="35">
        <v>15</v>
      </c>
      <c r="O5" s="34" t="s">
        <v>43</v>
      </c>
      <c r="P5" s="35">
        <v>22.24</v>
      </c>
      <c r="Q5" s="35"/>
      <c r="R5" s="36"/>
      <c r="S5" s="30" t="str">
        <f t="shared" si="2"/>
        <v/>
      </c>
      <c r="T5" s="12" t="s">
        <v>50</v>
      </c>
      <c r="U5" s="30" t="str">
        <f t="shared" si="3"/>
        <v/>
      </c>
      <c r="V5" s="30" t="str">
        <f t="shared" si="4"/>
        <v/>
      </c>
      <c r="W5" s="30" t="str">
        <f t="shared" si="5"/>
        <v/>
      </c>
      <c r="X5" s="30" t="str">
        <f t="shared" si="6"/>
        <v/>
      </c>
      <c r="Y5" s="30" t="str">
        <f t="shared" si="7"/>
        <v/>
      </c>
      <c r="Z5" s="30" t="str">
        <f t="shared" si="8"/>
        <v/>
      </c>
      <c r="AA5" s="30" t="str">
        <f t="shared" si="9"/>
        <v/>
      </c>
      <c r="AB5" s="30" t="str">
        <f t="shared" si="10"/>
        <v/>
      </c>
      <c r="AC5" s="30" t="str">
        <f t="shared" si="11"/>
        <v/>
      </c>
      <c r="AD5" s="30" t="str">
        <f t="shared" si="12"/>
        <v/>
      </c>
      <c r="AE5" s="30" t="str">
        <f t="shared" si="13"/>
        <v/>
      </c>
      <c r="AF5" s="30">
        <f t="shared" si="14"/>
        <v>5</v>
      </c>
      <c r="AG5" s="30" t="str">
        <f t="shared" si="15"/>
        <v/>
      </c>
      <c r="AH5" s="30" t="str">
        <f t="shared" si="16"/>
        <v/>
      </c>
      <c r="AI5" s="30" t="str">
        <f t="shared" si="17"/>
        <v/>
      </c>
      <c r="AJ5" s="30" t="str">
        <f t="shared" si="18"/>
        <v/>
      </c>
      <c r="AK5" s="30" t="str">
        <f t="shared" si="19"/>
        <v/>
      </c>
      <c r="AL5" s="30" t="str">
        <f t="shared" si="20"/>
        <v/>
      </c>
      <c r="AM5" s="30" t="str">
        <f t="shared" si="21"/>
        <v/>
      </c>
      <c r="AN5" s="30" t="str">
        <f t="shared" si="22"/>
        <v/>
      </c>
      <c r="AO5" s="30" t="str">
        <f t="shared" si="23"/>
        <v/>
      </c>
      <c r="AP5" s="30" t="str">
        <f t="shared" si="24"/>
        <v/>
      </c>
      <c r="AQ5" s="30" t="str">
        <f t="shared" si="25"/>
        <v/>
      </c>
      <c r="AR5" s="30" t="str">
        <f t="shared" si="26"/>
        <v/>
      </c>
      <c r="AS5" s="30" t="str">
        <f t="shared" si="27"/>
        <v/>
      </c>
      <c r="AT5" t="str">
        <f t="shared" si="28"/>
        <v/>
      </c>
      <c r="AU5" t="str">
        <f t="shared" si="29"/>
        <v/>
      </c>
    </row>
    <row r="6" spans="1:47" ht="22" customHeight="1" x14ac:dyDescent="0.2">
      <c r="A6" s="31">
        <v>46053</v>
      </c>
      <c r="B6" s="31">
        <v>46055</v>
      </c>
      <c r="C6" s="32">
        <f t="shared" si="0"/>
        <v>2</v>
      </c>
      <c r="D6" s="33" t="s">
        <v>51</v>
      </c>
      <c r="E6" s="34" t="s">
        <v>52</v>
      </c>
      <c r="F6" s="34" t="s">
        <v>53</v>
      </c>
      <c r="G6" s="34" t="s">
        <v>35</v>
      </c>
      <c r="H6" s="35">
        <v>192.3</v>
      </c>
      <c r="I6" s="35">
        <f t="shared" si="1"/>
        <v>96.15</v>
      </c>
      <c r="J6" s="35">
        <f>IF(AND(ISNUMBER(SEARCH("booking",G6)),OR(D6="Via San Rocco",D6="Via Cavour")),H6*0.165,IF(ISNUMBER(SEARCH("airbnb",G6)),H6*0.155,IF(ISNUMBER(SEARCH("booking",G6)),H6*0.15,"")))</f>
        <v>31.729500000000005</v>
      </c>
      <c r="K6" s="34"/>
      <c r="L6" s="35">
        <v>4</v>
      </c>
      <c r="M6" s="61">
        <f>IF(H6&lt;&gt;"",H6*0.1,"")</f>
        <v>19.230000000000004</v>
      </c>
      <c r="N6" s="35"/>
      <c r="O6" s="34"/>
      <c r="P6" s="35"/>
      <c r="Q6" s="35"/>
      <c r="R6" s="36"/>
      <c r="S6" s="30" t="str">
        <f t="shared" si="2"/>
        <v/>
      </c>
      <c r="T6" s="13" t="s">
        <v>54</v>
      </c>
      <c r="U6" s="30" t="str">
        <f t="shared" si="3"/>
        <v/>
      </c>
      <c r="V6" s="30" t="str">
        <f t="shared" si="4"/>
        <v/>
      </c>
      <c r="W6" s="30">
        <f t="shared" si="5"/>
        <v>6</v>
      </c>
      <c r="X6" s="30" t="str">
        <f t="shared" si="6"/>
        <v/>
      </c>
      <c r="Y6" s="30" t="str">
        <f t="shared" si="7"/>
        <v/>
      </c>
      <c r="Z6" s="30" t="str">
        <f t="shared" si="8"/>
        <v/>
      </c>
      <c r="AA6" s="30" t="str">
        <f t="shared" si="9"/>
        <v/>
      </c>
      <c r="AB6" s="30" t="str">
        <f t="shared" si="10"/>
        <v/>
      </c>
      <c r="AC6" s="30" t="str">
        <f t="shared" si="11"/>
        <v/>
      </c>
      <c r="AD6" s="30" t="str">
        <f t="shared" si="12"/>
        <v/>
      </c>
      <c r="AE6" s="30" t="str">
        <f t="shared" si="13"/>
        <v/>
      </c>
      <c r="AF6" s="30" t="str">
        <f t="shared" si="14"/>
        <v/>
      </c>
      <c r="AG6" s="30" t="str">
        <f t="shared" si="15"/>
        <v/>
      </c>
      <c r="AH6" s="30" t="str">
        <f t="shared" si="16"/>
        <v/>
      </c>
      <c r="AI6" s="30" t="str">
        <f t="shared" si="17"/>
        <v/>
      </c>
      <c r="AJ6" s="30" t="str">
        <f t="shared" si="18"/>
        <v/>
      </c>
      <c r="AK6" s="30" t="str">
        <f t="shared" si="19"/>
        <v/>
      </c>
      <c r="AL6" s="30" t="str">
        <f t="shared" si="20"/>
        <v/>
      </c>
      <c r="AM6" s="30" t="str">
        <f t="shared" si="21"/>
        <v/>
      </c>
      <c r="AN6" s="30" t="str">
        <f t="shared" si="22"/>
        <v/>
      </c>
      <c r="AO6" s="30" t="str">
        <f t="shared" si="23"/>
        <v/>
      </c>
      <c r="AP6" s="30" t="str">
        <f t="shared" si="24"/>
        <v/>
      </c>
      <c r="AQ6" s="30" t="str">
        <f t="shared" si="25"/>
        <v/>
      </c>
      <c r="AR6" s="30" t="str">
        <f t="shared" si="26"/>
        <v/>
      </c>
      <c r="AS6" s="30" t="str">
        <f t="shared" si="27"/>
        <v/>
      </c>
      <c r="AT6" t="str">
        <f t="shared" si="28"/>
        <v/>
      </c>
      <c r="AU6" t="str">
        <f t="shared" si="29"/>
        <v/>
      </c>
    </row>
    <row r="7" spans="1:47" ht="22" customHeight="1" x14ac:dyDescent="0.2">
      <c r="A7" s="31">
        <v>46055</v>
      </c>
      <c r="B7" s="31">
        <v>46064</v>
      </c>
      <c r="C7" s="32">
        <f t="shared" si="0"/>
        <v>9</v>
      </c>
      <c r="D7" s="33" t="s">
        <v>39</v>
      </c>
      <c r="E7" s="34" t="s">
        <v>40</v>
      </c>
      <c r="F7" s="34" t="s">
        <v>41</v>
      </c>
      <c r="G7" s="34"/>
      <c r="H7" s="35">
        <v>300</v>
      </c>
      <c r="I7" s="35">
        <f t="shared" si="1"/>
        <v>33.333333333333336</v>
      </c>
      <c r="J7" s="35">
        <v>0</v>
      </c>
      <c r="K7" s="34" t="s">
        <v>42</v>
      </c>
      <c r="L7" s="35"/>
      <c r="M7" s="61">
        <f t="shared" ref="M7:M12" si="30">IF(H7&lt;&gt;"",H7*0.25,"")</f>
        <v>75</v>
      </c>
      <c r="N7" s="35">
        <v>15</v>
      </c>
      <c r="O7" s="34" t="s">
        <v>43</v>
      </c>
      <c r="P7" s="35">
        <v>10.38</v>
      </c>
      <c r="Q7" s="35"/>
      <c r="R7" s="36"/>
      <c r="S7" s="30" t="str">
        <f t="shared" si="2"/>
        <v/>
      </c>
      <c r="T7" s="46" t="s">
        <v>55</v>
      </c>
      <c r="U7" s="30" t="str">
        <f t="shared" si="3"/>
        <v/>
      </c>
      <c r="V7" s="30" t="str">
        <f t="shared" si="4"/>
        <v/>
      </c>
      <c r="W7" s="30" t="str">
        <f t="shared" si="5"/>
        <v/>
      </c>
      <c r="X7" s="30" t="str">
        <f t="shared" si="6"/>
        <v/>
      </c>
      <c r="Y7" s="30" t="str">
        <f t="shared" si="7"/>
        <v/>
      </c>
      <c r="Z7" s="30" t="str">
        <f t="shared" si="8"/>
        <v/>
      </c>
      <c r="AA7" s="30" t="str">
        <f t="shared" si="9"/>
        <v/>
      </c>
      <c r="AB7" s="30" t="str">
        <f t="shared" si="10"/>
        <v/>
      </c>
      <c r="AC7" s="30" t="str">
        <f t="shared" si="11"/>
        <v/>
      </c>
      <c r="AD7" s="30" t="str">
        <f t="shared" si="12"/>
        <v/>
      </c>
      <c r="AE7" s="30" t="str">
        <f t="shared" si="13"/>
        <v/>
      </c>
      <c r="AF7" s="30" t="str">
        <f t="shared" si="14"/>
        <v/>
      </c>
      <c r="AG7" s="30" t="str">
        <f t="shared" si="15"/>
        <v/>
      </c>
      <c r="AH7" s="30" t="str">
        <f t="shared" si="16"/>
        <v/>
      </c>
      <c r="AI7" s="30" t="str">
        <f t="shared" si="17"/>
        <v/>
      </c>
      <c r="AJ7" s="30">
        <f t="shared" si="18"/>
        <v>7</v>
      </c>
      <c r="AK7" s="30" t="str">
        <f t="shared" si="19"/>
        <v/>
      </c>
      <c r="AL7" s="30" t="str">
        <f t="shared" si="20"/>
        <v/>
      </c>
      <c r="AM7" s="30" t="str">
        <f t="shared" si="21"/>
        <v/>
      </c>
      <c r="AN7" s="30" t="str">
        <f t="shared" si="22"/>
        <v/>
      </c>
      <c r="AO7" s="30" t="str">
        <f t="shared" si="23"/>
        <v/>
      </c>
      <c r="AP7" s="30" t="str">
        <f t="shared" si="24"/>
        <v/>
      </c>
      <c r="AQ7" s="30" t="str">
        <f t="shared" si="25"/>
        <v/>
      </c>
      <c r="AR7" s="30" t="str">
        <f t="shared" si="26"/>
        <v/>
      </c>
      <c r="AS7" s="30" t="str">
        <f t="shared" si="27"/>
        <v/>
      </c>
      <c r="AT7" t="str">
        <f t="shared" si="28"/>
        <v/>
      </c>
      <c r="AU7" t="str">
        <f t="shared" si="29"/>
        <v/>
      </c>
    </row>
    <row r="8" spans="1:47" ht="22" customHeight="1" x14ac:dyDescent="0.2">
      <c r="A8" s="31">
        <v>46056</v>
      </c>
      <c r="B8" s="31">
        <v>46058</v>
      </c>
      <c r="C8" s="32">
        <f t="shared" si="0"/>
        <v>2</v>
      </c>
      <c r="D8" s="33" t="s">
        <v>45</v>
      </c>
      <c r="E8" s="34" t="s">
        <v>56</v>
      </c>
      <c r="F8" s="34" t="s">
        <v>41</v>
      </c>
      <c r="G8" s="34"/>
      <c r="H8" s="35">
        <v>162</v>
      </c>
      <c r="I8" s="35">
        <f t="shared" si="1"/>
        <v>81</v>
      </c>
      <c r="J8" s="35">
        <v>0</v>
      </c>
      <c r="K8" s="34" t="s">
        <v>42</v>
      </c>
      <c r="L8" s="35"/>
      <c r="M8" s="61">
        <f t="shared" si="30"/>
        <v>40.5</v>
      </c>
      <c r="N8" s="35">
        <v>20</v>
      </c>
      <c r="O8" s="34" t="s">
        <v>43</v>
      </c>
      <c r="P8" s="35">
        <v>10.38</v>
      </c>
      <c r="Q8" s="35"/>
      <c r="R8" s="36"/>
      <c r="S8" s="30" t="str">
        <f t="shared" si="2"/>
        <v/>
      </c>
      <c r="T8" s="6">
        <f>IF($D8="Villa Elena",COUNTIF($D$3:$D8,"Villa Elena"),"")</f>
        <v>2</v>
      </c>
      <c r="U8" s="30" t="str">
        <f t="shared" si="3"/>
        <v/>
      </c>
      <c r="V8" s="30" t="str">
        <f t="shared" si="4"/>
        <v/>
      </c>
      <c r="W8" s="30" t="str">
        <f t="shared" si="5"/>
        <v/>
      </c>
      <c r="X8" s="30" t="str">
        <f t="shared" si="6"/>
        <v/>
      </c>
      <c r="Y8" s="30" t="str">
        <f t="shared" si="7"/>
        <v/>
      </c>
      <c r="Z8" s="30" t="str">
        <f t="shared" si="8"/>
        <v/>
      </c>
      <c r="AA8" s="30" t="str">
        <f t="shared" si="9"/>
        <v/>
      </c>
      <c r="AB8" s="30" t="str">
        <f t="shared" si="10"/>
        <v/>
      </c>
      <c r="AC8" s="30" t="str">
        <f t="shared" si="11"/>
        <v/>
      </c>
      <c r="AD8" s="30" t="str">
        <f t="shared" si="12"/>
        <v/>
      </c>
      <c r="AE8" s="30" t="str">
        <f t="shared" si="13"/>
        <v/>
      </c>
      <c r="AF8" s="30" t="str">
        <f t="shared" si="14"/>
        <v/>
      </c>
      <c r="AG8" s="30" t="str">
        <f t="shared" si="15"/>
        <v/>
      </c>
      <c r="AH8" s="30">
        <f t="shared" si="16"/>
        <v>8</v>
      </c>
      <c r="AI8" s="30" t="str">
        <f t="shared" si="17"/>
        <v/>
      </c>
      <c r="AJ8" s="30" t="str">
        <f t="shared" si="18"/>
        <v/>
      </c>
      <c r="AK8" s="30" t="str">
        <f t="shared" si="19"/>
        <v/>
      </c>
      <c r="AL8" s="30" t="str">
        <f t="shared" si="20"/>
        <v/>
      </c>
      <c r="AM8" s="30" t="str">
        <f t="shared" si="21"/>
        <v/>
      </c>
      <c r="AN8" s="30" t="str">
        <f t="shared" si="22"/>
        <v/>
      </c>
      <c r="AO8" s="30" t="str">
        <f t="shared" si="23"/>
        <v/>
      </c>
      <c r="AP8" s="30" t="str">
        <f t="shared" si="24"/>
        <v/>
      </c>
      <c r="AQ8" s="30" t="str">
        <f t="shared" si="25"/>
        <v/>
      </c>
      <c r="AR8" s="30" t="str">
        <f t="shared" si="26"/>
        <v/>
      </c>
      <c r="AS8" s="30" t="str">
        <f t="shared" si="27"/>
        <v/>
      </c>
      <c r="AT8" t="str">
        <f t="shared" si="28"/>
        <v/>
      </c>
      <c r="AU8" t="str">
        <f t="shared" si="29"/>
        <v/>
      </c>
    </row>
    <row r="9" spans="1:47" ht="22" customHeight="1" x14ac:dyDescent="0.2">
      <c r="A9" s="31">
        <v>46066</v>
      </c>
      <c r="B9" s="31">
        <v>46072</v>
      </c>
      <c r="C9" s="32">
        <f t="shared" si="0"/>
        <v>6</v>
      </c>
      <c r="D9" s="33" t="s">
        <v>39</v>
      </c>
      <c r="E9" s="34" t="s">
        <v>57</v>
      </c>
      <c r="F9" s="34" t="s">
        <v>34</v>
      </c>
      <c r="G9" s="34" t="s">
        <v>35</v>
      </c>
      <c r="H9" s="35">
        <v>475.13</v>
      </c>
      <c r="I9" s="35">
        <f t="shared" si="1"/>
        <v>79.188333333333333</v>
      </c>
      <c r="J9" s="35">
        <f>IF(AND(ISNUMBER(SEARCH("booking",G9)),OR(D9="Via San Rocco",D9="Via Cavour")),H9*0.165,IF(ISNUMBER(SEARCH("airbnb",G9)),H9*0.155,IF(ISNUMBER(SEARCH("booking",G9)),H9*0.15,"")))</f>
        <v>71.269499999999994</v>
      </c>
      <c r="K9" s="34" t="s">
        <v>36</v>
      </c>
      <c r="L9" s="35">
        <v>4</v>
      </c>
      <c r="M9" s="61">
        <f t="shared" si="30"/>
        <v>118.7825</v>
      </c>
      <c r="N9" s="35">
        <v>30</v>
      </c>
      <c r="O9" s="34" t="s">
        <v>58</v>
      </c>
      <c r="P9" s="35">
        <v>10.38</v>
      </c>
      <c r="Q9" s="35"/>
      <c r="R9" s="76" t="s">
        <v>55</v>
      </c>
      <c r="S9" s="30" t="str">
        <f t="shared" si="2"/>
        <v/>
      </c>
      <c r="T9" s="6" t="str">
        <f>IF($D9="Villa Elena",COUNTIF($D$3:$D9,"Villa Elena"),"")</f>
        <v/>
      </c>
      <c r="U9" s="30" t="str">
        <f t="shared" si="3"/>
        <v/>
      </c>
      <c r="V9" s="30">
        <f t="shared" si="4"/>
        <v>9</v>
      </c>
      <c r="W9" s="30" t="str">
        <f t="shared" si="5"/>
        <v/>
      </c>
      <c r="X9" s="30" t="str">
        <f t="shared" si="6"/>
        <v/>
      </c>
      <c r="Y9" s="30" t="str">
        <f t="shared" si="7"/>
        <v/>
      </c>
      <c r="Z9" s="30" t="str">
        <f t="shared" si="8"/>
        <v/>
      </c>
      <c r="AA9" s="30" t="str">
        <f t="shared" si="9"/>
        <v/>
      </c>
      <c r="AB9" s="30" t="str">
        <f t="shared" si="10"/>
        <v/>
      </c>
      <c r="AC9" s="30" t="str">
        <f t="shared" si="11"/>
        <v/>
      </c>
      <c r="AD9" s="30" t="str">
        <f t="shared" si="12"/>
        <v/>
      </c>
      <c r="AE9" s="30" t="str">
        <f t="shared" si="13"/>
        <v/>
      </c>
      <c r="AF9" s="30" t="str">
        <f t="shared" si="14"/>
        <v/>
      </c>
      <c r="AG9" s="30" t="str">
        <f t="shared" si="15"/>
        <v/>
      </c>
      <c r="AH9" s="30" t="str">
        <f t="shared" si="16"/>
        <v/>
      </c>
      <c r="AI9" s="30" t="str">
        <f t="shared" si="17"/>
        <v/>
      </c>
      <c r="AJ9" s="30" t="str">
        <f t="shared" si="18"/>
        <v/>
      </c>
      <c r="AK9" s="30" t="str">
        <f t="shared" si="19"/>
        <v/>
      </c>
      <c r="AL9" s="30" t="str">
        <f t="shared" si="20"/>
        <v/>
      </c>
      <c r="AM9" s="30" t="str">
        <f t="shared" si="21"/>
        <v/>
      </c>
      <c r="AN9" s="30" t="str">
        <f t="shared" si="22"/>
        <v/>
      </c>
      <c r="AO9" s="30" t="str">
        <f t="shared" si="23"/>
        <v/>
      </c>
      <c r="AP9" s="30" t="str">
        <f t="shared" si="24"/>
        <v/>
      </c>
      <c r="AQ9" s="30" t="str">
        <f t="shared" si="25"/>
        <v/>
      </c>
      <c r="AR9" s="30" t="str">
        <f t="shared" si="26"/>
        <v/>
      </c>
      <c r="AS9" s="30" t="str">
        <f t="shared" si="27"/>
        <v/>
      </c>
      <c r="AT9" t="str">
        <f t="shared" si="28"/>
        <v/>
      </c>
      <c r="AU9" t="str">
        <f t="shared" si="29"/>
        <v/>
      </c>
    </row>
    <row r="10" spans="1:47" ht="22" customHeight="1" x14ac:dyDescent="0.2">
      <c r="A10" s="31">
        <v>46072</v>
      </c>
      <c r="B10" s="31">
        <v>46089</v>
      </c>
      <c r="C10" s="32">
        <f t="shared" si="0"/>
        <v>17</v>
      </c>
      <c r="D10" s="33" t="s">
        <v>39</v>
      </c>
      <c r="E10" s="34" t="s">
        <v>40</v>
      </c>
      <c r="F10" s="34" t="s">
        <v>41</v>
      </c>
      <c r="G10" s="34"/>
      <c r="H10" s="35">
        <v>300</v>
      </c>
      <c r="I10" s="35">
        <f t="shared" si="1"/>
        <v>17.647058823529413</v>
      </c>
      <c r="J10" s="35">
        <v>0</v>
      </c>
      <c r="K10" s="34" t="s">
        <v>42</v>
      </c>
      <c r="L10" s="35"/>
      <c r="M10" s="61">
        <f t="shared" si="30"/>
        <v>75</v>
      </c>
      <c r="N10" s="35">
        <v>20</v>
      </c>
      <c r="O10" s="34" t="s">
        <v>58</v>
      </c>
      <c r="P10" s="35">
        <v>10.38</v>
      </c>
      <c r="Q10" s="35"/>
      <c r="R10" s="36"/>
      <c r="S10" s="30" t="str">
        <f t="shared" si="2"/>
        <v/>
      </c>
      <c r="T10" s="6" t="str">
        <f>IF($D10="Villa Elena",COUNTIF($D$3:$D10,"Villa Elena"),"")</f>
        <v/>
      </c>
      <c r="U10" s="30" t="str">
        <f t="shared" si="3"/>
        <v/>
      </c>
      <c r="V10" s="30" t="str">
        <f t="shared" si="4"/>
        <v/>
      </c>
      <c r="W10" s="30" t="str">
        <f t="shared" si="5"/>
        <v/>
      </c>
      <c r="X10" s="30" t="str">
        <f t="shared" si="6"/>
        <v/>
      </c>
      <c r="Y10" s="30" t="str">
        <f t="shared" si="7"/>
        <v/>
      </c>
      <c r="Z10" s="30" t="str">
        <f t="shared" si="8"/>
        <v/>
      </c>
      <c r="AA10" s="30" t="str">
        <f t="shared" si="9"/>
        <v/>
      </c>
      <c r="AB10" s="30" t="str">
        <f t="shared" si="10"/>
        <v/>
      </c>
      <c r="AC10" s="30" t="str">
        <f t="shared" si="11"/>
        <v/>
      </c>
      <c r="AD10" s="30" t="str">
        <f t="shared" si="12"/>
        <v/>
      </c>
      <c r="AE10" s="30" t="str">
        <f t="shared" si="13"/>
        <v/>
      </c>
      <c r="AF10" s="30" t="str">
        <f t="shared" si="14"/>
        <v/>
      </c>
      <c r="AG10" s="30" t="str">
        <f t="shared" si="15"/>
        <v/>
      </c>
      <c r="AH10" s="30" t="str">
        <f t="shared" si="16"/>
        <v/>
      </c>
      <c r="AI10" s="30" t="str">
        <f t="shared" si="17"/>
        <v/>
      </c>
      <c r="AJ10" s="30">
        <f t="shared" si="18"/>
        <v>10</v>
      </c>
      <c r="AK10" s="30" t="str">
        <f t="shared" si="19"/>
        <v/>
      </c>
      <c r="AL10" s="30" t="str">
        <f t="shared" si="20"/>
        <v/>
      </c>
      <c r="AM10" s="30" t="str">
        <f t="shared" si="21"/>
        <v/>
      </c>
      <c r="AN10" s="30" t="str">
        <f t="shared" si="22"/>
        <v/>
      </c>
      <c r="AO10" s="30" t="str">
        <f t="shared" si="23"/>
        <v/>
      </c>
      <c r="AP10" s="30" t="str">
        <f t="shared" si="24"/>
        <v/>
      </c>
      <c r="AQ10" s="30" t="str">
        <f t="shared" si="25"/>
        <v/>
      </c>
      <c r="AR10" s="30" t="str">
        <f t="shared" si="26"/>
        <v/>
      </c>
      <c r="AS10" s="30" t="str">
        <f t="shared" si="27"/>
        <v/>
      </c>
      <c r="AT10" t="str">
        <f t="shared" si="28"/>
        <v/>
      </c>
      <c r="AU10" t="str">
        <f t="shared" si="29"/>
        <v/>
      </c>
    </row>
    <row r="11" spans="1:47" ht="22" customHeight="1" x14ac:dyDescent="0.2">
      <c r="A11" s="31">
        <v>46091</v>
      </c>
      <c r="B11" s="31">
        <v>46093</v>
      </c>
      <c r="C11" s="32">
        <f t="shared" si="0"/>
        <v>2</v>
      </c>
      <c r="D11" s="33" t="s">
        <v>45</v>
      </c>
      <c r="E11" s="34" t="s">
        <v>56</v>
      </c>
      <c r="F11" s="34" t="s">
        <v>41</v>
      </c>
      <c r="G11" s="34"/>
      <c r="H11" s="35">
        <v>162</v>
      </c>
      <c r="I11" s="35">
        <f t="shared" si="1"/>
        <v>81</v>
      </c>
      <c r="J11" s="35">
        <v>0</v>
      </c>
      <c r="K11" s="34" t="s">
        <v>42</v>
      </c>
      <c r="L11" s="35"/>
      <c r="M11" s="61">
        <f t="shared" si="30"/>
        <v>40.5</v>
      </c>
      <c r="N11" s="35">
        <v>0</v>
      </c>
      <c r="O11" s="34" t="s">
        <v>59</v>
      </c>
      <c r="P11" s="35">
        <v>10.38</v>
      </c>
      <c r="Q11" s="35"/>
      <c r="R11" s="36"/>
      <c r="S11" s="30" t="str">
        <f t="shared" si="2"/>
        <v/>
      </c>
      <c r="T11" s="6">
        <f>IF($D11="Villa Elena",COUNTIF($D$3:$D11,"Villa Elena"),"")</f>
        <v>3</v>
      </c>
      <c r="U11" s="30" t="str">
        <f t="shared" si="3"/>
        <v/>
      </c>
      <c r="V11" s="30" t="str">
        <f t="shared" si="4"/>
        <v/>
      </c>
      <c r="W11" s="30" t="str">
        <f t="shared" si="5"/>
        <v/>
      </c>
      <c r="X11" s="30" t="str">
        <f t="shared" si="6"/>
        <v/>
      </c>
      <c r="Y11" s="30" t="str">
        <f t="shared" si="7"/>
        <v/>
      </c>
      <c r="Z11" s="30" t="str">
        <f t="shared" si="8"/>
        <v/>
      </c>
      <c r="AA11" s="30" t="str">
        <f t="shared" si="9"/>
        <v/>
      </c>
      <c r="AB11" s="30" t="str">
        <f t="shared" si="10"/>
        <v/>
      </c>
      <c r="AC11" s="30" t="str">
        <f t="shared" si="11"/>
        <v/>
      </c>
      <c r="AD11" s="30" t="str">
        <f t="shared" si="12"/>
        <v/>
      </c>
      <c r="AE11" s="30" t="str">
        <f t="shared" si="13"/>
        <v/>
      </c>
      <c r="AF11" s="30" t="str">
        <f t="shared" si="14"/>
        <v/>
      </c>
      <c r="AG11" s="30" t="str">
        <f t="shared" si="15"/>
        <v/>
      </c>
      <c r="AH11" s="30">
        <f t="shared" si="16"/>
        <v>11</v>
      </c>
      <c r="AI11" s="30" t="str">
        <f t="shared" si="17"/>
        <v/>
      </c>
      <c r="AJ11" s="30" t="str">
        <f t="shared" si="18"/>
        <v/>
      </c>
      <c r="AK11" s="30" t="str">
        <f t="shared" si="19"/>
        <v/>
      </c>
      <c r="AL11" s="30" t="str">
        <f t="shared" si="20"/>
        <v/>
      </c>
      <c r="AM11" s="30" t="str">
        <f t="shared" si="21"/>
        <v/>
      </c>
      <c r="AN11" s="30" t="str">
        <f t="shared" si="22"/>
        <v/>
      </c>
      <c r="AO11" s="30" t="str">
        <f t="shared" si="23"/>
        <v/>
      </c>
      <c r="AP11" s="30" t="str">
        <f t="shared" si="24"/>
        <v/>
      </c>
      <c r="AQ11" s="30" t="str">
        <f t="shared" si="25"/>
        <v/>
      </c>
      <c r="AR11" s="30" t="str">
        <f t="shared" si="26"/>
        <v/>
      </c>
      <c r="AS11" s="30" t="str">
        <f t="shared" si="27"/>
        <v/>
      </c>
      <c r="AT11" t="str">
        <f t="shared" si="28"/>
        <v/>
      </c>
      <c r="AU11" t="str">
        <f t="shared" si="29"/>
        <v/>
      </c>
    </row>
    <row r="12" spans="1:47" ht="22" customHeight="1" x14ac:dyDescent="0.2">
      <c r="A12" s="31">
        <v>46097</v>
      </c>
      <c r="B12" s="31">
        <v>46110</v>
      </c>
      <c r="C12" s="32">
        <f t="shared" si="0"/>
        <v>13</v>
      </c>
      <c r="D12" s="33" t="s">
        <v>39</v>
      </c>
      <c r="E12" s="34" t="s">
        <v>40</v>
      </c>
      <c r="F12" s="34" t="s">
        <v>34</v>
      </c>
      <c r="G12" s="34"/>
      <c r="H12" s="35">
        <v>300</v>
      </c>
      <c r="I12" s="35">
        <f t="shared" si="1"/>
        <v>23.076923076923077</v>
      </c>
      <c r="J12" s="35">
        <v>0</v>
      </c>
      <c r="K12" s="34" t="s">
        <v>42</v>
      </c>
      <c r="L12" s="35"/>
      <c r="M12" s="61">
        <f t="shared" si="30"/>
        <v>75</v>
      </c>
      <c r="N12" s="35">
        <v>15</v>
      </c>
      <c r="O12" s="34" t="s">
        <v>43</v>
      </c>
      <c r="P12" s="35">
        <v>10.38</v>
      </c>
      <c r="Q12" s="35"/>
      <c r="R12" s="36"/>
      <c r="S12" s="30" t="str">
        <f t="shared" si="2"/>
        <v/>
      </c>
      <c r="T12" s="6" t="str">
        <f>IF($D12="Villa Elena",COUNTIF($D$3:$D12,"Villa Elena"),"")</f>
        <v/>
      </c>
      <c r="U12" s="30" t="str">
        <f t="shared" si="3"/>
        <v/>
      </c>
      <c r="V12" s="30" t="str">
        <f t="shared" si="4"/>
        <v/>
      </c>
      <c r="W12" s="30" t="str">
        <f t="shared" si="5"/>
        <v/>
      </c>
      <c r="X12" s="30" t="str">
        <f t="shared" si="6"/>
        <v/>
      </c>
      <c r="Y12" s="30" t="str">
        <f t="shared" si="7"/>
        <v/>
      </c>
      <c r="Z12" s="30" t="str">
        <f t="shared" si="8"/>
        <v/>
      </c>
      <c r="AA12" s="30" t="str">
        <f t="shared" si="9"/>
        <v/>
      </c>
      <c r="AB12" s="30" t="str">
        <f t="shared" si="10"/>
        <v/>
      </c>
      <c r="AC12" s="30" t="str">
        <f t="shared" si="11"/>
        <v/>
      </c>
      <c r="AD12" s="30" t="str">
        <f t="shared" si="12"/>
        <v/>
      </c>
      <c r="AE12" s="30" t="str">
        <f t="shared" si="13"/>
        <v/>
      </c>
      <c r="AF12" s="30" t="str">
        <f t="shared" si="14"/>
        <v/>
      </c>
      <c r="AG12" s="30" t="str">
        <f t="shared" si="15"/>
        <v/>
      </c>
      <c r="AH12" s="30" t="str">
        <f t="shared" si="16"/>
        <v/>
      </c>
      <c r="AI12" s="30" t="str">
        <f t="shared" si="17"/>
        <v/>
      </c>
      <c r="AJ12" s="30">
        <f t="shared" si="18"/>
        <v>12</v>
      </c>
      <c r="AK12" s="30" t="str">
        <f t="shared" si="19"/>
        <v/>
      </c>
      <c r="AL12" s="30" t="str">
        <f t="shared" si="20"/>
        <v/>
      </c>
      <c r="AM12" s="30" t="str">
        <f t="shared" si="21"/>
        <v/>
      </c>
      <c r="AN12" s="30" t="str">
        <f t="shared" si="22"/>
        <v/>
      </c>
      <c r="AO12" s="30" t="str">
        <f t="shared" si="23"/>
        <v/>
      </c>
      <c r="AP12" s="30" t="str">
        <f t="shared" si="24"/>
        <v/>
      </c>
      <c r="AQ12" s="30" t="str">
        <f t="shared" si="25"/>
        <v/>
      </c>
      <c r="AR12" s="30" t="str">
        <f t="shared" si="26"/>
        <v/>
      </c>
      <c r="AS12" s="30" t="str">
        <f t="shared" si="27"/>
        <v/>
      </c>
      <c r="AT12" t="str">
        <f t="shared" si="28"/>
        <v/>
      </c>
      <c r="AU12" t="str">
        <f t="shared" si="29"/>
        <v/>
      </c>
    </row>
    <row r="13" spans="1:47" ht="22" customHeight="1" x14ac:dyDescent="0.2">
      <c r="A13" s="31">
        <v>46105</v>
      </c>
      <c r="B13" s="31">
        <v>46109</v>
      </c>
      <c r="C13" s="32">
        <f t="shared" si="0"/>
        <v>4</v>
      </c>
      <c r="D13" s="33" t="s">
        <v>60</v>
      </c>
      <c r="E13" s="34" t="s">
        <v>61</v>
      </c>
      <c r="F13" s="34" t="s">
        <v>41</v>
      </c>
      <c r="G13" s="34" t="s">
        <v>35</v>
      </c>
      <c r="H13" s="35">
        <v>322.64</v>
      </c>
      <c r="I13" s="35">
        <f t="shared" si="1"/>
        <v>80.66</v>
      </c>
      <c r="J13" s="35">
        <f t="shared" ref="J13:J22" si="31">IF(AND(ISNUMBER(SEARCH("booking",G13)),OR(D13="Via San Rocco",D13="Via Cavour")),H13*0.165,IF(ISNUMBER(SEARCH("airbnb",G13)),H13*0.155,IF(ISNUMBER(SEARCH("booking",G13)),H13*0.15,"")))</f>
        <v>53.235599999999998</v>
      </c>
      <c r="K13" s="34"/>
      <c r="L13" s="35">
        <v>2</v>
      </c>
      <c r="M13" s="61">
        <f>IF(H13&lt;&gt;"",H13*0.1,"")</f>
        <v>32.264000000000003</v>
      </c>
      <c r="N13" s="35"/>
      <c r="O13" s="34"/>
      <c r="P13" s="35"/>
      <c r="Q13" s="35"/>
      <c r="R13" s="36"/>
      <c r="S13" s="30" t="str">
        <f t="shared" si="2"/>
        <v/>
      </c>
      <c r="T13" s="6" t="str">
        <f>IF($D13="Villa Elena",COUNTIF($D$3:$D13,"Villa Elena"),"")</f>
        <v/>
      </c>
      <c r="U13" s="30" t="str">
        <f t="shared" si="3"/>
        <v/>
      </c>
      <c r="V13" s="30" t="str">
        <f t="shared" si="4"/>
        <v/>
      </c>
      <c r="W13" s="30" t="str">
        <f t="shared" si="5"/>
        <v/>
      </c>
      <c r="X13" s="30">
        <f t="shared" si="6"/>
        <v>13</v>
      </c>
      <c r="Y13" s="30" t="str">
        <f t="shared" si="7"/>
        <v/>
      </c>
      <c r="Z13" s="30" t="str">
        <f t="shared" si="8"/>
        <v/>
      </c>
      <c r="AA13" s="30" t="str">
        <f t="shared" si="9"/>
        <v/>
      </c>
      <c r="AB13" s="30" t="str">
        <f t="shared" si="10"/>
        <v/>
      </c>
      <c r="AC13" s="30" t="str">
        <f t="shared" si="11"/>
        <v/>
      </c>
      <c r="AD13" s="30" t="str">
        <f t="shared" si="12"/>
        <v/>
      </c>
      <c r="AE13" s="30" t="str">
        <f t="shared" si="13"/>
        <v/>
      </c>
      <c r="AF13" s="30" t="str">
        <f t="shared" si="14"/>
        <v/>
      </c>
      <c r="AG13" s="30" t="str">
        <f t="shared" si="15"/>
        <v/>
      </c>
      <c r="AH13" s="30" t="str">
        <f t="shared" si="16"/>
        <v/>
      </c>
      <c r="AI13" s="30" t="str">
        <f t="shared" si="17"/>
        <v/>
      </c>
      <c r="AJ13" s="30" t="str">
        <f t="shared" si="18"/>
        <v/>
      </c>
      <c r="AK13" s="30" t="str">
        <f t="shared" si="19"/>
        <v/>
      </c>
      <c r="AL13" s="30" t="str">
        <f t="shared" si="20"/>
        <v/>
      </c>
      <c r="AM13" s="30" t="str">
        <f t="shared" si="21"/>
        <v/>
      </c>
      <c r="AN13" s="30" t="str">
        <f t="shared" si="22"/>
        <v/>
      </c>
      <c r="AO13" s="30" t="str">
        <f t="shared" si="23"/>
        <v/>
      </c>
      <c r="AP13" s="30" t="str">
        <f t="shared" si="24"/>
        <v/>
      </c>
      <c r="AQ13" s="30" t="str">
        <f t="shared" si="25"/>
        <v/>
      </c>
      <c r="AR13" s="30" t="str">
        <f t="shared" si="26"/>
        <v/>
      </c>
      <c r="AS13" s="30" t="str">
        <f t="shared" si="27"/>
        <v/>
      </c>
      <c r="AT13" t="str">
        <f t="shared" si="28"/>
        <v/>
      </c>
      <c r="AU13" t="str">
        <f t="shared" si="29"/>
        <v/>
      </c>
    </row>
    <row r="14" spans="1:47" ht="22" customHeight="1" x14ac:dyDescent="0.2">
      <c r="A14" s="31">
        <v>46107</v>
      </c>
      <c r="B14" s="31">
        <v>46110</v>
      </c>
      <c r="C14" s="32">
        <f t="shared" si="0"/>
        <v>3</v>
      </c>
      <c r="D14" s="33" t="s">
        <v>51</v>
      </c>
      <c r="E14" s="34" t="s">
        <v>62</v>
      </c>
      <c r="F14" s="34" t="s">
        <v>41</v>
      </c>
      <c r="G14" s="34" t="s">
        <v>48</v>
      </c>
      <c r="H14" s="35">
        <v>225</v>
      </c>
      <c r="I14" s="35">
        <f t="shared" si="1"/>
        <v>75</v>
      </c>
      <c r="J14" s="35" t="str">
        <f t="shared" si="31"/>
        <v/>
      </c>
      <c r="K14" s="34"/>
      <c r="L14" s="35">
        <v>2</v>
      </c>
      <c r="M14" s="61">
        <f>IF(H14&lt;&gt;"",H14*0.1,"")</f>
        <v>22.5</v>
      </c>
      <c r="N14" s="35"/>
      <c r="O14" s="34"/>
      <c r="P14" s="35"/>
      <c r="Q14" s="35"/>
      <c r="R14" s="36"/>
      <c r="S14" s="30" t="str">
        <f t="shared" si="2"/>
        <v/>
      </c>
      <c r="T14" s="6" t="str">
        <f>IF($D14="Villa Elena",COUNTIF($D$3:$D14,"Villa Elena"),"")</f>
        <v/>
      </c>
      <c r="U14" s="30" t="str">
        <f t="shared" si="3"/>
        <v/>
      </c>
      <c r="V14" s="30" t="str">
        <f t="shared" si="4"/>
        <v/>
      </c>
      <c r="W14" s="30">
        <f t="shared" si="5"/>
        <v>14</v>
      </c>
      <c r="X14" s="30" t="str">
        <f t="shared" si="6"/>
        <v/>
      </c>
      <c r="Y14" s="30" t="str">
        <f t="shared" si="7"/>
        <v/>
      </c>
      <c r="Z14" s="30" t="str">
        <f t="shared" si="8"/>
        <v/>
      </c>
      <c r="AA14" s="30" t="str">
        <f t="shared" si="9"/>
        <v/>
      </c>
      <c r="AB14" s="30" t="str">
        <f t="shared" si="10"/>
        <v/>
      </c>
      <c r="AC14" s="30" t="str">
        <f t="shared" si="11"/>
        <v/>
      </c>
      <c r="AD14" s="30" t="str">
        <f t="shared" si="12"/>
        <v/>
      </c>
      <c r="AE14" s="30" t="str">
        <f t="shared" si="13"/>
        <v/>
      </c>
      <c r="AF14" s="30" t="str">
        <f t="shared" si="14"/>
        <v/>
      </c>
      <c r="AG14" s="30" t="str">
        <f t="shared" si="15"/>
        <v/>
      </c>
      <c r="AH14" s="30" t="str">
        <f t="shared" si="16"/>
        <v/>
      </c>
      <c r="AI14" s="30" t="str">
        <f t="shared" si="17"/>
        <v/>
      </c>
      <c r="AJ14" s="30" t="str">
        <f t="shared" si="18"/>
        <v/>
      </c>
      <c r="AK14" s="30" t="str">
        <f t="shared" si="19"/>
        <v/>
      </c>
      <c r="AL14" s="30" t="str">
        <f t="shared" si="20"/>
        <v/>
      </c>
      <c r="AM14" s="30" t="str">
        <f t="shared" si="21"/>
        <v/>
      </c>
      <c r="AN14" s="30" t="str">
        <f t="shared" si="22"/>
        <v/>
      </c>
      <c r="AO14" s="30" t="str">
        <f t="shared" si="23"/>
        <v/>
      </c>
      <c r="AP14" s="30" t="str">
        <f t="shared" si="24"/>
        <v/>
      </c>
      <c r="AQ14" s="30" t="str">
        <f t="shared" si="25"/>
        <v/>
      </c>
      <c r="AR14" s="30" t="str">
        <f t="shared" si="26"/>
        <v/>
      </c>
      <c r="AS14" s="30" t="str">
        <f t="shared" si="27"/>
        <v/>
      </c>
      <c r="AT14" t="str">
        <f t="shared" si="28"/>
        <v/>
      </c>
      <c r="AU14" t="str">
        <f t="shared" si="29"/>
        <v/>
      </c>
    </row>
    <row r="15" spans="1:47" ht="22" customHeight="1" x14ac:dyDescent="0.2">
      <c r="A15" s="31">
        <v>46108</v>
      </c>
      <c r="B15" s="31">
        <v>46111</v>
      </c>
      <c r="C15" s="32">
        <f t="shared" si="0"/>
        <v>3</v>
      </c>
      <c r="D15" s="33" t="s">
        <v>63</v>
      </c>
      <c r="E15" s="34" t="s">
        <v>64</v>
      </c>
      <c r="F15" s="34" t="s">
        <v>65</v>
      </c>
      <c r="G15" s="34" t="s">
        <v>35</v>
      </c>
      <c r="H15" s="35">
        <v>202.65</v>
      </c>
      <c r="I15" s="35">
        <f t="shared" si="1"/>
        <v>67.55</v>
      </c>
      <c r="J15" s="35">
        <f t="shared" si="31"/>
        <v>30.397500000000001</v>
      </c>
      <c r="K15" s="34" t="s">
        <v>49</v>
      </c>
      <c r="L15" s="35">
        <v>4</v>
      </c>
      <c r="M15" s="61">
        <f>IF(H15&lt;&gt;"",H15*0.25,"")</f>
        <v>50.662500000000001</v>
      </c>
      <c r="N15" s="35">
        <v>30</v>
      </c>
      <c r="O15" s="34" t="s">
        <v>43</v>
      </c>
      <c r="P15" s="35">
        <v>16.309999999999999</v>
      </c>
      <c r="Q15" s="35"/>
      <c r="R15" s="36"/>
      <c r="S15" s="30" t="str">
        <f t="shared" si="2"/>
        <v/>
      </c>
      <c r="T15" s="6" t="str">
        <f>IF($D15="Villa Elena",COUNTIF($D$3:$D15,"Villa Elena"),"")</f>
        <v/>
      </c>
      <c r="U15" s="30" t="str">
        <f t="shared" si="3"/>
        <v/>
      </c>
      <c r="V15" s="30" t="str">
        <f t="shared" si="4"/>
        <v/>
      </c>
      <c r="W15" s="30" t="str">
        <f t="shared" si="5"/>
        <v/>
      </c>
      <c r="X15" s="30" t="str">
        <f t="shared" si="6"/>
        <v/>
      </c>
      <c r="Y15" s="30" t="str">
        <f t="shared" si="7"/>
        <v/>
      </c>
      <c r="Z15" s="30" t="str">
        <f t="shared" si="8"/>
        <v/>
      </c>
      <c r="AA15" s="30">
        <f t="shared" si="9"/>
        <v>15</v>
      </c>
      <c r="AB15" s="30" t="str">
        <f t="shared" si="10"/>
        <v/>
      </c>
      <c r="AC15" s="30" t="str">
        <f t="shared" si="11"/>
        <v/>
      </c>
      <c r="AD15" s="30" t="str">
        <f t="shared" si="12"/>
        <v/>
      </c>
      <c r="AE15" s="30" t="str">
        <f t="shared" si="13"/>
        <v/>
      </c>
      <c r="AF15" s="30" t="str">
        <f t="shared" si="14"/>
        <v/>
      </c>
      <c r="AG15" s="30" t="str">
        <f t="shared" si="15"/>
        <v/>
      </c>
      <c r="AH15" s="30" t="str">
        <f t="shared" si="16"/>
        <v/>
      </c>
      <c r="AI15" s="30" t="str">
        <f t="shared" si="17"/>
        <v/>
      </c>
      <c r="AJ15" s="30" t="str">
        <f t="shared" si="18"/>
        <v/>
      </c>
      <c r="AK15" s="30" t="str">
        <f t="shared" si="19"/>
        <v/>
      </c>
      <c r="AL15" s="30" t="str">
        <f t="shared" si="20"/>
        <v/>
      </c>
      <c r="AM15" s="30" t="str">
        <f t="shared" si="21"/>
        <v/>
      </c>
      <c r="AN15" s="30" t="str">
        <f t="shared" si="22"/>
        <v/>
      </c>
      <c r="AO15" s="30" t="str">
        <f t="shared" si="23"/>
        <v/>
      </c>
      <c r="AP15" s="30" t="str">
        <f t="shared" si="24"/>
        <v/>
      </c>
      <c r="AQ15" s="30" t="str">
        <f t="shared" si="25"/>
        <v/>
      </c>
      <c r="AR15" s="30" t="str">
        <f t="shared" si="26"/>
        <v/>
      </c>
      <c r="AS15" s="30" t="str">
        <f t="shared" si="27"/>
        <v/>
      </c>
      <c r="AT15" t="str">
        <f t="shared" si="28"/>
        <v/>
      </c>
      <c r="AU15" t="str">
        <f t="shared" si="29"/>
        <v/>
      </c>
    </row>
    <row r="16" spans="1:47" ht="22" customHeight="1" x14ac:dyDescent="0.2">
      <c r="A16" s="31">
        <v>46114</v>
      </c>
      <c r="B16" s="31">
        <v>46118</v>
      </c>
      <c r="C16" s="32">
        <f t="shared" si="0"/>
        <v>4</v>
      </c>
      <c r="D16" s="33" t="s">
        <v>39</v>
      </c>
      <c r="E16" s="34" t="s">
        <v>66</v>
      </c>
      <c r="F16" s="34" t="s">
        <v>65</v>
      </c>
      <c r="G16" s="34" t="s">
        <v>35</v>
      </c>
      <c r="H16" s="35">
        <v>383.08</v>
      </c>
      <c r="I16" s="35">
        <f t="shared" si="1"/>
        <v>95.77</v>
      </c>
      <c r="J16" s="35">
        <f t="shared" si="31"/>
        <v>57.461999999999996</v>
      </c>
      <c r="K16" s="34" t="s">
        <v>67</v>
      </c>
      <c r="L16" s="35">
        <v>4</v>
      </c>
      <c r="M16" s="61">
        <f>IF(H16&lt;&gt;"",H16*0.25,"")</f>
        <v>95.77</v>
      </c>
      <c r="N16" s="35">
        <v>20</v>
      </c>
      <c r="O16" s="34" t="s">
        <v>68</v>
      </c>
      <c r="P16" s="35">
        <v>16.309999999999999</v>
      </c>
      <c r="Q16" s="35"/>
      <c r="R16" s="36"/>
      <c r="S16" s="30" t="str">
        <f t="shared" si="2"/>
        <v/>
      </c>
      <c r="T16" s="6" t="str">
        <f>IF($D16="Villa Elena",COUNTIF($D$3:$D16,"Villa Elena"),"")</f>
        <v/>
      </c>
      <c r="U16" s="30" t="str">
        <f t="shared" si="3"/>
        <v/>
      </c>
      <c r="V16" s="30">
        <f t="shared" si="4"/>
        <v>16</v>
      </c>
      <c r="W16" s="30" t="str">
        <f t="shared" si="5"/>
        <v/>
      </c>
      <c r="X16" s="30" t="str">
        <f t="shared" si="6"/>
        <v/>
      </c>
      <c r="Y16" s="30" t="str">
        <f t="shared" si="7"/>
        <v/>
      </c>
      <c r="Z16" s="30" t="str">
        <f t="shared" si="8"/>
        <v/>
      </c>
      <c r="AA16" s="30" t="str">
        <f t="shared" si="9"/>
        <v/>
      </c>
      <c r="AB16" s="30" t="str">
        <f t="shared" si="10"/>
        <v/>
      </c>
      <c r="AC16" s="30" t="str">
        <f t="shared" si="11"/>
        <v/>
      </c>
      <c r="AD16" s="30" t="str">
        <f t="shared" si="12"/>
        <v/>
      </c>
      <c r="AE16" s="30" t="str">
        <f t="shared" si="13"/>
        <v/>
      </c>
      <c r="AF16" s="30" t="str">
        <f t="shared" si="14"/>
        <v/>
      </c>
      <c r="AG16" s="30" t="str">
        <f t="shared" si="15"/>
        <v/>
      </c>
      <c r="AH16" s="30" t="str">
        <f t="shared" si="16"/>
        <v/>
      </c>
      <c r="AI16" s="30" t="str">
        <f t="shared" si="17"/>
        <v/>
      </c>
      <c r="AJ16" s="30" t="str">
        <f t="shared" si="18"/>
        <v/>
      </c>
      <c r="AK16" s="30" t="str">
        <f t="shared" si="19"/>
        <v/>
      </c>
      <c r="AL16" s="30" t="str">
        <f t="shared" si="20"/>
        <v/>
      </c>
      <c r="AM16" s="30" t="str">
        <f t="shared" si="21"/>
        <v/>
      </c>
      <c r="AN16" s="30" t="str">
        <f t="shared" si="22"/>
        <v/>
      </c>
      <c r="AO16" s="30" t="str">
        <f t="shared" si="23"/>
        <v/>
      </c>
      <c r="AP16" s="30" t="str">
        <f t="shared" si="24"/>
        <v/>
      </c>
      <c r="AQ16" s="30" t="str">
        <f t="shared" si="25"/>
        <v/>
      </c>
      <c r="AR16" s="30" t="str">
        <f t="shared" si="26"/>
        <v/>
      </c>
      <c r="AS16" s="30" t="str">
        <f t="shared" si="27"/>
        <v/>
      </c>
      <c r="AT16" t="str">
        <f t="shared" si="28"/>
        <v/>
      </c>
      <c r="AU16" t="str">
        <f t="shared" si="29"/>
        <v/>
      </c>
    </row>
    <row r="17" spans="1:47" ht="22" customHeight="1" x14ac:dyDescent="0.2">
      <c r="A17" s="31">
        <v>46115</v>
      </c>
      <c r="B17" s="31">
        <v>46118</v>
      </c>
      <c r="C17" s="32">
        <f t="shared" si="0"/>
        <v>3</v>
      </c>
      <c r="D17" s="33" t="s">
        <v>69</v>
      </c>
      <c r="E17" s="34" t="s">
        <v>70</v>
      </c>
      <c r="F17" s="34" t="s">
        <v>34</v>
      </c>
      <c r="G17" s="34" t="s">
        <v>35</v>
      </c>
      <c r="H17" s="35">
        <v>210.71</v>
      </c>
      <c r="I17" s="35">
        <f t="shared" si="1"/>
        <v>70.236666666666665</v>
      </c>
      <c r="J17" s="35">
        <f t="shared" si="31"/>
        <v>31.6065</v>
      </c>
      <c r="K17" s="34" t="s">
        <v>42</v>
      </c>
      <c r="L17" s="35">
        <v>6</v>
      </c>
      <c r="M17" s="61">
        <f>IF(H17&lt;&gt;"",H17*0.25,"")</f>
        <v>52.677500000000002</v>
      </c>
      <c r="N17" s="35">
        <v>40</v>
      </c>
      <c r="O17" s="34" t="s">
        <v>71</v>
      </c>
      <c r="P17" s="35">
        <v>10.38</v>
      </c>
      <c r="Q17" s="35"/>
      <c r="R17" s="36"/>
      <c r="S17" s="30" t="str">
        <f t="shared" si="2"/>
        <v/>
      </c>
      <c r="T17" s="6" t="str">
        <f>IF($D17="Villa Elena",COUNTIF($D$3:$D17,"Villa Elena"),"")</f>
        <v/>
      </c>
      <c r="U17" s="30" t="str">
        <f t="shared" si="3"/>
        <v/>
      </c>
      <c r="V17" s="30" t="str">
        <f t="shared" si="4"/>
        <v/>
      </c>
      <c r="W17" s="30" t="str">
        <f t="shared" si="5"/>
        <v/>
      </c>
      <c r="X17" s="30" t="str">
        <f t="shared" si="6"/>
        <v/>
      </c>
      <c r="Y17" s="30" t="str">
        <f t="shared" si="7"/>
        <v/>
      </c>
      <c r="Z17" s="30">
        <f t="shared" si="8"/>
        <v>17</v>
      </c>
      <c r="AA17" s="30" t="str">
        <f t="shared" si="9"/>
        <v/>
      </c>
      <c r="AB17" s="30" t="str">
        <f t="shared" si="10"/>
        <v/>
      </c>
      <c r="AC17" s="30" t="str">
        <f t="shared" si="11"/>
        <v/>
      </c>
      <c r="AD17" s="30" t="str">
        <f t="shared" si="12"/>
        <v/>
      </c>
      <c r="AE17" s="30" t="str">
        <f t="shared" si="13"/>
        <v/>
      </c>
      <c r="AF17" s="30" t="str">
        <f t="shared" si="14"/>
        <v/>
      </c>
      <c r="AG17" s="30" t="str">
        <f t="shared" si="15"/>
        <v/>
      </c>
      <c r="AH17" s="30" t="str">
        <f t="shared" si="16"/>
        <v/>
      </c>
      <c r="AI17" s="30" t="str">
        <f t="shared" si="17"/>
        <v/>
      </c>
      <c r="AJ17" s="30" t="str">
        <f t="shared" si="18"/>
        <v/>
      </c>
      <c r="AK17" s="30" t="str">
        <f t="shared" si="19"/>
        <v/>
      </c>
      <c r="AL17" s="30" t="str">
        <f t="shared" si="20"/>
        <v/>
      </c>
      <c r="AM17" s="30" t="str">
        <f t="shared" si="21"/>
        <v/>
      </c>
      <c r="AN17" s="30" t="str">
        <f t="shared" si="22"/>
        <v/>
      </c>
      <c r="AO17" s="30" t="str">
        <f t="shared" si="23"/>
        <v/>
      </c>
      <c r="AP17" s="30" t="str">
        <f t="shared" si="24"/>
        <v/>
      </c>
      <c r="AQ17" s="30" t="str">
        <f t="shared" si="25"/>
        <v/>
      </c>
      <c r="AR17" s="30" t="str">
        <f t="shared" si="26"/>
        <v/>
      </c>
      <c r="AS17" s="30" t="str">
        <f t="shared" si="27"/>
        <v/>
      </c>
      <c r="AT17" t="str">
        <f t="shared" si="28"/>
        <v/>
      </c>
      <c r="AU17" t="str">
        <f t="shared" si="29"/>
        <v/>
      </c>
    </row>
    <row r="18" spans="1:47" ht="22" customHeight="1" x14ac:dyDescent="0.2">
      <c r="A18" s="31">
        <v>46116</v>
      </c>
      <c r="B18" s="31">
        <v>46118</v>
      </c>
      <c r="C18" s="32">
        <f t="shared" si="0"/>
        <v>2</v>
      </c>
      <c r="D18" s="33" t="s">
        <v>32</v>
      </c>
      <c r="E18" s="34" t="s">
        <v>72</v>
      </c>
      <c r="F18" s="34" t="s">
        <v>73</v>
      </c>
      <c r="G18" s="34" t="s">
        <v>35</v>
      </c>
      <c r="H18" s="35">
        <v>511.6</v>
      </c>
      <c r="I18" s="35">
        <f t="shared" si="1"/>
        <v>255.8</v>
      </c>
      <c r="J18" s="35">
        <f t="shared" si="31"/>
        <v>76.739999999999995</v>
      </c>
      <c r="K18" s="34" t="s">
        <v>42</v>
      </c>
      <c r="L18" s="35">
        <v>12</v>
      </c>
      <c r="M18" s="61">
        <f>IF(H18&lt;&gt;"",H18*0.25,"")</f>
        <v>127.9</v>
      </c>
      <c r="N18" s="35">
        <v>30</v>
      </c>
      <c r="O18" s="34" t="s">
        <v>74</v>
      </c>
      <c r="P18" s="35">
        <v>38.549999999999997</v>
      </c>
      <c r="Q18" s="35"/>
      <c r="R18" s="36"/>
      <c r="S18" s="30">
        <f t="shared" si="2"/>
        <v>18</v>
      </c>
      <c r="T18" s="6" t="str">
        <f>IF($D18="Villa Elena",COUNTIF($D$3:$D18,"Villa Elena"),"")</f>
        <v/>
      </c>
      <c r="U18" s="30" t="str">
        <f t="shared" si="3"/>
        <v/>
      </c>
      <c r="V18" s="30" t="str">
        <f t="shared" si="4"/>
        <v/>
      </c>
      <c r="W18" s="30" t="str">
        <f t="shared" si="5"/>
        <v/>
      </c>
      <c r="X18" s="30" t="str">
        <f t="shared" si="6"/>
        <v/>
      </c>
      <c r="Y18" s="30" t="str">
        <f t="shared" si="7"/>
        <v/>
      </c>
      <c r="Z18" s="30" t="str">
        <f t="shared" si="8"/>
        <v/>
      </c>
      <c r="AA18" s="30" t="str">
        <f t="shared" si="9"/>
        <v/>
      </c>
      <c r="AB18" s="30" t="str">
        <f t="shared" si="10"/>
        <v/>
      </c>
      <c r="AC18" s="30" t="str">
        <f t="shared" si="11"/>
        <v/>
      </c>
      <c r="AD18" s="30" t="str">
        <f t="shared" si="12"/>
        <v/>
      </c>
      <c r="AE18" s="30" t="str">
        <f t="shared" si="13"/>
        <v/>
      </c>
      <c r="AF18" s="30" t="str">
        <f t="shared" si="14"/>
        <v/>
      </c>
      <c r="AG18" s="30" t="str">
        <f t="shared" si="15"/>
        <v/>
      </c>
      <c r="AH18" s="30" t="str">
        <f t="shared" si="16"/>
        <v/>
      </c>
      <c r="AI18" s="30" t="str">
        <f t="shared" si="17"/>
        <v/>
      </c>
      <c r="AJ18" s="30" t="str">
        <f t="shared" si="18"/>
        <v/>
      </c>
      <c r="AK18" s="30" t="str">
        <f t="shared" si="19"/>
        <v/>
      </c>
      <c r="AL18" s="30" t="str">
        <f t="shared" si="20"/>
        <v/>
      </c>
      <c r="AM18" s="30" t="str">
        <f t="shared" si="21"/>
        <v/>
      </c>
      <c r="AN18" s="30" t="str">
        <f t="shared" si="22"/>
        <v/>
      </c>
      <c r="AO18" s="30" t="str">
        <f t="shared" si="23"/>
        <v/>
      </c>
      <c r="AP18" s="30" t="str">
        <f t="shared" si="24"/>
        <v/>
      </c>
      <c r="AQ18" s="30" t="str">
        <f t="shared" si="25"/>
        <v/>
      </c>
      <c r="AR18" s="30" t="str">
        <f t="shared" si="26"/>
        <v/>
      </c>
      <c r="AS18" s="30" t="str">
        <f t="shared" si="27"/>
        <v/>
      </c>
      <c r="AT18" t="str">
        <f t="shared" si="28"/>
        <v/>
      </c>
      <c r="AU18" t="str">
        <f t="shared" si="29"/>
        <v/>
      </c>
    </row>
    <row r="19" spans="1:47" ht="22" customHeight="1" x14ac:dyDescent="0.2">
      <c r="A19" s="31">
        <v>46116</v>
      </c>
      <c r="B19" s="31">
        <v>46119</v>
      </c>
      <c r="C19" s="32">
        <f t="shared" si="0"/>
        <v>3</v>
      </c>
      <c r="D19" s="33" t="s">
        <v>51</v>
      </c>
      <c r="E19" s="34" t="s">
        <v>75</v>
      </c>
      <c r="F19" s="34" t="s">
        <v>65</v>
      </c>
      <c r="G19" s="34" t="s">
        <v>35</v>
      </c>
      <c r="H19" s="35">
        <v>328.22</v>
      </c>
      <c r="I19" s="35">
        <f t="shared" si="1"/>
        <v>109.40666666666668</v>
      </c>
      <c r="J19" s="35">
        <f t="shared" si="31"/>
        <v>54.156300000000009</v>
      </c>
      <c r="K19" s="34"/>
      <c r="L19" s="35">
        <v>4</v>
      </c>
      <c r="M19" s="61">
        <f>IF(H19&lt;&gt;"",H19*0.1,"")</f>
        <v>32.822000000000003</v>
      </c>
      <c r="N19" s="35"/>
      <c r="O19" s="34"/>
      <c r="P19" s="35"/>
      <c r="Q19" s="35"/>
      <c r="R19" s="36"/>
      <c r="S19" s="30" t="str">
        <f t="shared" si="2"/>
        <v/>
      </c>
      <c r="T19" s="6" t="str">
        <f>IF($D19="Villa Elena",COUNTIF($D$3:$D19,"Villa Elena"),"")</f>
        <v/>
      </c>
      <c r="U19" s="30" t="str">
        <f t="shared" si="3"/>
        <v/>
      </c>
      <c r="V19" s="30" t="str">
        <f t="shared" si="4"/>
        <v/>
      </c>
      <c r="W19" s="30">
        <f t="shared" si="5"/>
        <v>19</v>
      </c>
      <c r="X19" s="30" t="str">
        <f t="shared" si="6"/>
        <v/>
      </c>
      <c r="Y19" s="30" t="str">
        <f t="shared" si="7"/>
        <v/>
      </c>
      <c r="Z19" s="30" t="str">
        <f t="shared" si="8"/>
        <v/>
      </c>
      <c r="AA19" s="30" t="str">
        <f t="shared" si="9"/>
        <v/>
      </c>
      <c r="AB19" s="30" t="str">
        <f t="shared" si="10"/>
        <v/>
      </c>
      <c r="AC19" s="30" t="str">
        <f t="shared" si="11"/>
        <v/>
      </c>
      <c r="AD19" s="30" t="str">
        <f t="shared" si="12"/>
        <v/>
      </c>
      <c r="AE19" s="30" t="str">
        <f t="shared" si="13"/>
        <v/>
      </c>
      <c r="AF19" s="30" t="str">
        <f t="shared" si="14"/>
        <v/>
      </c>
      <c r="AG19" s="30" t="str">
        <f t="shared" si="15"/>
        <v/>
      </c>
      <c r="AH19" s="30" t="str">
        <f t="shared" si="16"/>
        <v/>
      </c>
      <c r="AI19" s="30" t="str">
        <f t="shared" si="17"/>
        <v/>
      </c>
      <c r="AJ19" s="30" t="str">
        <f t="shared" si="18"/>
        <v/>
      </c>
      <c r="AK19" s="30" t="str">
        <f t="shared" si="19"/>
        <v/>
      </c>
      <c r="AL19" s="30" t="str">
        <f t="shared" si="20"/>
        <v/>
      </c>
      <c r="AM19" s="30" t="str">
        <f t="shared" si="21"/>
        <v/>
      </c>
      <c r="AN19" s="30" t="str">
        <f t="shared" si="22"/>
        <v/>
      </c>
      <c r="AO19" s="30" t="str">
        <f t="shared" si="23"/>
        <v/>
      </c>
      <c r="AP19" s="30" t="str">
        <f t="shared" si="24"/>
        <v/>
      </c>
      <c r="AQ19" s="30" t="str">
        <f t="shared" si="25"/>
        <v/>
      </c>
      <c r="AR19" s="30" t="str">
        <f t="shared" si="26"/>
        <v/>
      </c>
      <c r="AS19" s="30" t="str">
        <f t="shared" si="27"/>
        <v/>
      </c>
      <c r="AT19" t="str">
        <f t="shared" si="28"/>
        <v/>
      </c>
      <c r="AU19" t="str">
        <f t="shared" si="29"/>
        <v/>
      </c>
    </row>
    <row r="20" spans="1:47" ht="22" customHeight="1" x14ac:dyDescent="0.2">
      <c r="A20" s="31">
        <v>46123</v>
      </c>
      <c r="B20" s="31">
        <v>46136</v>
      </c>
      <c r="C20" s="32">
        <f t="shared" si="0"/>
        <v>13</v>
      </c>
      <c r="D20" s="33" t="s">
        <v>51</v>
      </c>
      <c r="E20" s="34" t="s">
        <v>76</v>
      </c>
      <c r="F20" s="34" t="s">
        <v>34</v>
      </c>
      <c r="G20" s="34" t="s">
        <v>48</v>
      </c>
      <c r="H20" s="35">
        <v>1105</v>
      </c>
      <c r="I20" s="35">
        <f t="shared" si="1"/>
        <v>85</v>
      </c>
      <c r="J20" s="35" t="str">
        <f t="shared" si="31"/>
        <v/>
      </c>
      <c r="K20" s="34"/>
      <c r="L20" s="35">
        <v>4</v>
      </c>
      <c r="M20" s="61">
        <f>IF(H20&lt;&gt;"",H20*0.1,"")</f>
        <v>110.5</v>
      </c>
      <c r="N20" s="35"/>
      <c r="O20" s="34"/>
      <c r="P20" s="35"/>
      <c r="Q20" s="35"/>
      <c r="R20" s="36"/>
      <c r="S20" s="30" t="str">
        <f t="shared" si="2"/>
        <v/>
      </c>
      <c r="T20" s="6" t="str">
        <f>IF($D20="Villa Elena",COUNTIF($D$3:$D20,"Villa Elena"),"")</f>
        <v/>
      </c>
      <c r="U20" s="30" t="str">
        <f t="shared" si="3"/>
        <v/>
      </c>
      <c r="V20" s="30" t="str">
        <f t="shared" si="4"/>
        <v/>
      </c>
      <c r="W20" s="30">
        <f t="shared" si="5"/>
        <v>20</v>
      </c>
      <c r="X20" s="30" t="str">
        <f t="shared" si="6"/>
        <v/>
      </c>
      <c r="Y20" s="30" t="str">
        <f t="shared" si="7"/>
        <v/>
      </c>
      <c r="Z20" s="30" t="str">
        <f t="shared" si="8"/>
        <v/>
      </c>
      <c r="AA20" s="30" t="str">
        <f t="shared" si="9"/>
        <v/>
      </c>
      <c r="AB20" s="30" t="str">
        <f t="shared" si="10"/>
        <v/>
      </c>
      <c r="AC20" s="30" t="str">
        <f t="shared" si="11"/>
        <v/>
      </c>
      <c r="AD20" s="30" t="str">
        <f t="shared" si="12"/>
        <v/>
      </c>
      <c r="AE20" s="30" t="str">
        <f t="shared" si="13"/>
        <v/>
      </c>
      <c r="AF20" s="30" t="str">
        <f t="shared" si="14"/>
        <v/>
      </c>
      <c r="AG20" s="30" t="str">
        <f t="shared" si="15"/>
        <v/>
      </c>
      <c r="AH20" s="30" t="str">
        <f t="shared" si="16"/>
        <v/>
      </c>
      <c r="AI20" s="30" t="str">
        <f t="shared" si="17"/>
        <v/>
      </c>
      <c r="AJ20" s="30" t="str">
        <f t="shared" si="18"/>
        <v/>
      </c>
      <c r="AK20" s="30" t="str">
        <f t="shared" si="19"/>
        <v/>
      </c>
      <c r="AL20" s="30" t="str">
        <f t="shared" si="20"/>
        <v/>
      </c>
      <c r="AM20" s="30" t="str">
        <f t="shared" si="21"/>
        <v/>
      </c>
      <c r="AN20" s="30" t="str">
        <f t="shared" si="22"/>
        <v/>
      </c>
      <c r="AO20" s="30" t="str">
        <f t="shared" si="23"/>
        <v/>
      </c>
      <c r="AP20" s="30" t="str">
        <f t="shared" si="24"/>
        <v/>
      </c>
      <c r="AQ20" s="30" t="str">
        <f t="shared" si="25"/>
        <v/>
      </c>
      <c r="AR20" s="30" t="str">
        <f t="shared" si="26"/>
        <v/>
      </c>
      <c r="AS20" s="30" t="str">
        <f t="shared" si="27"/>
        <v/>
      </c>
      <c r="AT20" t="str">
        <f t="shared" si="28"/>
        <v/>
      </c>
      <c r="AU20" t="str">
        <f t="shared" si="29"/>
        <v/>
      </c>
    </row>
    <row r="21" spans="1:47" ht="22" customHeight="1" x14ac:dyDescent="0.2">
      <c r="A21" s="31">
        <v>46124</v>
      </c>
      <c r="B21" s="31">
        <v>46128</v>
      </c>
      <c r="C21" s="32">
        <f t="shared" si="0"/>
        <v>4</v>
      </c>
      <c r="D21" s="33" t="s">
        <v>60</v>
      </c>
      <c r="E21" s="34" t="s">
        <v>77</v>
      </c>
      <c r="F21" s="34" t="s">
        <v>78</v>
      </c>
      <c r="G21" s="34" t="s">
        <v>48</v>
      </c>
      <c r="H21" s="35">
        <v>420</v>
      </c>
      <c r="I21" s="35">
        <f t="shared" si="1"/>
        <v>105</v>
      </c>
      <c r="J21" s="35" t="str">
        <f t="shared" si="31"/>
        <v/>
      </c>
      <c r="K21" s="34"/>
      <c r="L21" s="35">
        <v>4</v>
      </c>
      <c r="M21" s="61">
        <f>IF(H21&lt;&gt;"",H21*0.1,"")</f>
        <v>42</v>
      </c>
      <c r="N21" s="35"/>
      <c r="O21" s="34"/>
      <c r="P21" s="35"/>
      <c r="Q21" s="35"/>
      <c r="R21" s="36"/>
      <c r="S21" s="30" t="str">
        <f t="shared" si="2"/>
        <v/>
      </c>
      <c r="T21" s="6" t="str">
        <f>IF($D21="Villa Elena",COUNTIF($D$3:$D21,"Villa Elena"),"")</f>
        <v/>
      </c>
      <c r="U21" s="30" t="str">
        <f t="shared" si="3"/>
        <v/>
      </c>
      <c r="V21" s="30" t="str">
        <f t="shared" si="4"/>
        <v/>
      </c>
      <c r="W21" s="30" t="str">
        <f t="shared" si="5"/>
        <v/>
      </c>
      <c r="X21" s="30">
        <f t="shared" si="6"/>
        <v>21</v>
      </c>
      <c r="Y21" s="30" t="str">
        <f t="shared" si="7"/>
        <v/>
      </c>
      <c r="Z21" s="30" t="str">
        <f t="shared" si="8"/>
        <v/>
      </c>
      <c r="AA21" s="30" t="str">
        <f t="shared" si="9"/>
        <v/>
      </c>
      <c r="AB21" s="30" t="str">
        <f t="shared" si="10"/>
        <v/>
      </c>
      <c r="AC21" s="30" t="str">
        <f t="shared" si="11"/>
        <v/>
      </c>
      <c r="AD21" s="30" t="str">
        <f t="shared" si="12"/>
        <v/>
      </c>
      <c r="AE21" s="30" t="str">
        <f t="shared" si="13"/>
        <v/>
      </c>
      <c r="AF21" s="30" t="str">
        <f t="shared" si="14"/>
        <v/>
      </c>
      <c r="AG21" s="30" t="str">
        <f t="shared" si="15"/>
        <v/>
      </c>
      <c r="AH21" s="30" t="str">
        <f t="shared" si="16"/>
        <v/>
      </c>
      <c r="AI21" s="30" t="str">
        <f t="shared" si="17"/>
        <v/>
      </c>
      <c r="AJ21" s="30" t="str">
        <f t="shared" si="18"/>
        <v/>
      </c>
      <c r="AK21" s="30" t="str">
        <f t="shared" si="19"/>
        <v/>
      </c>
      <c r="AL21" s="30" t="str">
        <f t="shared" si="20"/>
        <v/>
      </c>
      <c r="AM21" s="30" t="str">
        <f t="shared" si="21"/>
        <v/>
      </c>
      <c r="AN21" s="30" t="str">
        <f t="shared" si="22"/>
        <v/>
      </c>
      <c r="AO21" s="30" t="str">
        <f t="shared" si="23"/>
        <v/>
      </c>
      <c r="AP21" s="30" t="str">
        <f t="shared" si="24"/>
        <v/>
      </c>
      <c r="AQ21" s="30" t="str">
        <f t="shared" si="25"/>
        <v/>
      </c>
      <c r="AR21" s="30" t="str">
        <f t="shared" si="26"/>
        <v/>
      </c>
      <c r="AS21" s="30" t="str">
        <f t="shared" si="27"/>
        <v/>
      </c>
      <c r="AT21" t="str">
        <f t="shared" si="28"/>
        <v/>
      </c>
      <c r="AU21" t="str">
        <f t="shared" si="29"/>
        <v/>
      </c>
    </row>
    <row r="22" spans="1:47" ht="18" customHeight="1" x14ac:dyDescent="0.2">
      <c r="A22" s="31">
        <v>46129</v>
      </c>
      <c r="B22" s="31">
        <v>46131</v>
      </c>
      <c r="C22" s="32">
        <f t="shared" si="0"/>
        <v>2</v>
      </c>
      <c r="D22" s="33" t="s">
        <v>32</v>
      </c>
      <c r="E22" s="34" t="s">
        <v>79</v>
      </c>
      <c r="F22" s="34" t="s">
        <v>47</v>
      </c>
      <c r="G22" s="34" t="s">
        <v>35</v>
      </c>
      <c r="H22" s="35">
        <v>388.92</v>
      </c>
      <c r="I22" s="35">
        <f t="shared" si="1"/>
        <v>194.46</v>
      </c>
      <c r="J22" s="35">
        <f t="shared" si="31"/>
        <v>58.338000000000001</v>
      </c>
      <c r="K22" s="34" t="s">
        <v>49</v>
      </c>
      <c r="L22" s="35">
        <v>0</v>
      </c>
      <c r="M22" s="61">
        <f>IF(H22&lt;&gt;"",H22*0.25,"")</f>
        <v>97.23</v>
      </c>
      <c r="N22" s="35"/>
      <c r="O22" s="34" t="s">
        <v>80</v>
      </c>
      <c r="P22" s="35"/>
      <c r="Q22" s="35"/>
      <c r="R22" s="76" t="s">
        <v>81</v>
      </c>
      <c r="S22" s="30">
        <f t="shared" si="2"/>
        <v>22</v>
      </c>
      <c r="T22" s="6" t="str">
        <f>IF($D22="Villa Elena",COUNTIF($D$3:$D22,"Villa Elena"),"")</f>
        <v/>
      </c>
      <c r="U22" s="30" t="str">
        <f t="shared" si="3"/>
        <v/>
      </c>
      <c r="V22" s="30" t="str">
        <f t="shared" si="4"/>
        <v/>
      </c>
      <c r="W22" s="30" t="str">
        <f t="shared" si="5"/>
        <v/>
      </c>
      <c r="X22" s="30" t="str">
        <f t="shared" si="6"/>
        <v/>
      </c>
      <c r="Y22" s="30" t="str">
        <f t="shared" si="7"/>
        <v/>
      </c>
      <c r="Z22" s="30" t="str">
        <f t="shared" si="8"/>
        <v/>
      </c>
      <c r="AA22" s="30" t="str">
        <f t="shared" si="9"/>
        <v/>
      </c>
      <c r="AB22" s="30" t="str">
        <f t="shared" si="10"/>
        <v/>
      </c>
      <c r="AC22" s="30" t="str">
        <f t="shared" si="11"/>
        <v/>
      </c>
      <c r="AD22" s="30" t="str">
        <f t="shared" si="12"/>
        <v/>
      </c>
      <c r="AE22" s="30" t="str">
        <f t="shared" si="13"/>
        <v/>
      </c>
      <c r="AF22" s="30" t="str">
        <f t="shared" si="14"/>
        <v/>
      </c>
      <c r="AG22" s="30" t="str">
        <f t="shared" si="15"/>
        <v/>
      </c>
      <c r="AH22" s="30" t="str">
        <f t="shared" si="16"/>
        <v/>
      </c>
      <c r="AI22" s="30" t="str">
        <f t="shared" si="17"/>
        <v/>
      </c>
      <c r="AJ22" s="30" t="str">
        <f t="shared" si="18"/>
        <v/>
      </c>
      <c r="AK22" s="30" t="str">
        <f t="shared" si="19"/>
        <v/>
      </c>
      <c r="AL22" s="30" t="str">
        <f t="shared" si="20"/>
        <v/>
      </c>
      <c r="AM22" s="30" t="str">
        <f t="shared" si="21"/>
        <v/>
      </c>
      <c r="AN22" s="30" t="str">
        <f t="shared" si="22"/>
        <v/>
      </c>
      <c r="AO22" s="30" t="str">
        <f t="shared" si="23"/>
        <v/>
      </c>
      <c r="AP22" s="30" t="str">
        <f t="shared" si="24"/>
        <v/>
      </c>
      <c r="AQ22" s="30" t="str">
        <f t="shared" si="25"/>
        <v/>
      </c>
      <c r="AR22" s="30" t="str">
        <f t="shared" si="26"/>
        <v/>
      </c>
      <c r="AS22" s="30" t="str">
        <f t="shared" si="27"/>
        <v/>
      </c>
      <c r="AT22" t="str">
        <f t="shared" si="28"/>
        <v/>
      </c>
      <c r="AU22" t="str">
        <f t="shared" si="29"/>
        <v/>
      </c>
    </row>
    <row r="23" spans="1:47" ht="18" customHeight="1" x14ac:dyDescent="0.2">
      <c r="A23" s="31">
        <v>46129</v>
      </c>
      <c r="B23" s="31">
        <v>46132</v>
      </c>
      <c r="C23" s="32">
        <f t="shared" si="0"/>
        <v>3</v>
      </c>
      <c r="D23" s="33" t="s">
        <v>45</v>
      </c>
      <c r="E23" s="34" t="s">
        <v>82</v>
      </c>
      <c r="F23" s="34" t="s">
        <v>83</v>
      </c>
      <c r="G23" s="34" t="s">
        <v>48</v>
      </c>
      <c r="H23" s="35">
        <v>300</v>
      </c>
      <c r="I23" s="35">
        <f t="shared" si="1"/>
        <v>100</v>
      </c>
      <c r="J23" s="35">
        <v>0</v>
      </c>
      <c r="K23" s="34"/>
      <c r="L23" s="35">
        <v>6</v>
      </c>
      <c r="M23" s="61">
        <f>IF(H23&lt;&gt;"",H23*0.25,"")</f>
        <v>75</v>
      </c>
      <c r="N23" s="35">
        <v>20</v>
      </c>
      <c r="O23" s="34" t="s">
        <v>68</v>
      </c>
      <c r="P23" s="35">
        <v>19</v>
      </c>
      <c r="Q23" s="35"/>
      <c r="R23" s="36"/>
      <c r="S23" s="30" t="str">
        <f t="shared" si="2"/>
        <v/>
      </c>
      <c r="T23" s="6">
        <f>IF($D23="Villa Elena",COUNTIF($D$3:$D23,"Villa Elena"),"")</f>
        <v>4</v>
      </c>
      <c r="U23" s="30" t="str">
        <f t="shared" si="3"/>
        <v/>
      </c>
      <c r="V23" s="30" t="str">
        <f t="shared" si="4"/>
        <v/>
      </c>
      <c r="W23" s="30" t="str">
        <f t="shared" si="5"/>
        <v/>
      </c>
      <c r="X23" s="30" t="str">
        <f t="shared" si="6"/>
        <v/>
      </c>
      <c r="Y23" s="30" t="str">
        <f t="shared" si="7"/>
        <v/>
      </c>
      <c r="Z23" s="30" t="str">
        <f t="shared" si="8"/>
        <v/>
      </c>
      <c r="AA23" s="30" t="str">
        <f t="shared" si="9"/>
        <v/>
      </c>
      <c r="AB23" s="30" t="str">
        <f t="shared" si="10"/>
        <v/>
      </c>
      <c r="AC23" s="30" t="str">
        <f t="shared" si="11"/>
        <v/>
      </c>
      <c r="AD23" s="30" t="str">
        <f t="shared" si="12"/>
        <v/>
      </c>
      <c r="AE23" s="30" t="str">
        <f t="shared" si="13"/>
        <v/>
      </c>
      <c r="AF23" s="30">
        <f t="shared" si="14"/>
        <v>23</v>
      </c>
      <c r="AG23" s="30" t="str">
        <f t="shared" si="15"/>
        <v/>
      </c>
      <c r="AH23" s="30" t="str">
        <f t="shared" si="16"/>
        <v/>
      </c>
      <c r="AI23" s="30" t="str">
        <f t="shared" si="17"/>
        <v/>
      </c>
      <c r="AJ23" s="30" t="str">
        <f t="shared" si="18"/>
        <v/>
      </c>
      <c r="AK23" s="30" t="str">
        <f t="shared" si="19"/>
        <v/>
      </c>
      <c r="AL23" s="30" t="str">
        <f t="shared" si="20"/>
        <v/>
      </c>
      <c r="AM23" s="30" t="str">
        <f t="shared" si="21"/>
        <v/>
      </c>
      <c r="AN23" s="30" t="str">
        <f t="shared" si="22"/>
        <v/>
      </c>
      <c r="AO23" s="30" t="str">
        <f t="shared" si="23"/>
        <v/>
      </c>
      <c r="AP23" s="30" t="str">
        <f t="shared" si="24"/>
        <v/>
      </c>
      <c r="AQ23" s="30" t="str">
        <f t="shared" si="25"/>
        <v/>
      </c>
      <c r="AR23" s="30" t="str">
        <f t="shared" si="26"/>
        <v/>
      </c>
      <c r="AS23" s="30" t="str">
        <f t="shared" si="27"/>
        <v/>
      </c>
      <c r="AT23" t="str">
        <f t="shared" si="28"/>
        <v/>
      </c>
      <c r="AU23" t="str">
        <f t="shared" si="29"/>
        <v/>
      </c>
    </row>
    <row r="24" spans="1:47" ht="18" customHeight="1" x14ac:dyDescent="0.2">
      <c r="A24" s="31">
        <v>46134</v>
      </c>
      <c r="B24" s="31">
        <v>46136</v>
      </c>
      <c r="C24" s="32">
        <f t="shared" si="0"/>
        <v>2</v>
      </c>
      <c r="D24" s="33" t="s">
        <v>39</v>
      </c>
      <c r="E24" s="34" t="s">
        <v>84</v>
      </c>
      <c r="F24" s="34" t="s">
        <v>41</v>
      </c>
      <c r="G24" s="34" t="s">
        <v>44</v>
      </c>
      <c r="H24" s="35">
        <v>196</v>
      </c>
      <c r="I24" s="35">
        <f t="shared" si="1"/>
        <v>98</v>
      </c>
      <c r="J24" s="35">
        <f>IF(AND(ISNUMBER(SEARCH("booking",G24)),OR(D24="Via San Rocco",D24="Via Cavour")),H24*0.165,IF(ISNUMBER(SEARCH("airbnb",G24)),H24*0.155,IF(ISNUMBER(SEARCH("booking",G24)),H24*0.15,"")))</f>
        <v>30.38</v>
      </c>
      <c r="K24" s="34" t="s">
        <v>44</v>
      </c>
      <c r="L24" s="35">
        <v>2</v>
      </c>
      <c r="M24" s="61">
        <f>IF(H24&lt;&gt;"",H24*0.25,"")</f>
        <v>49</v>
      </c>
      <c r="N24" s="35">
        <v>10</v>
      </c>
      <c r="O24" s="34" t="s">
        <v>68</v>
      </c>
      <c r="P24" s="35">
        <v>8.27</v>
      </c>
      <c r="Q24" s="35"/>
      <c r="R24" s="36"/>
      <c r="S24" s="30" t="str">
        <f t="shared" si="2"/>
        <v/>
      </c>
      <c r="T24" s="6" t="str">
        <f>IF($D24="Villa Elena",COUNTIF($D$3:$D24,"Villa Elena"),"")</f>
        <v/>
      </c>
      <c r="U24" s="30" t="str">
        <f t="shared" si="3"/>
        <v/>
      </c>
      <c r="V24" s="30">
        <f t="shared" si="4"/>
        <v>24</v>
      </c>
      <c r="W24" s="30" t="str">
        <f t="shared" si="5"/>
        <v/>
      </c>
      <c r="X24" s="30" t="str">
        <f t="shared" si="6"/>
        <v/>
      </c>
      <c r="Y24" s="30" t="str">
        <f t="shared" si="7"/>
        <v/>
      </c>
      <c r="Z24" s="30" t="str">
        <f t="shared" si="8"/>
        <v/>
      </c>
      <c r="AA24" s="30" t="str">
        <f t="shared" si="9"/>
        <v/>
      </c>
      <c r="AB24" s="30" t="str">
        <f t="shared" si="10"/>
        <v/>
      </c>
      <c r="AC24" s="30" t="str">
        <f t="shared" si="11"/>
        <v/>
      </c>
      <c r="AD24" s="30" t="str">
        <f t="shared" si="12"/>
        <v/>
      </c>
      <c r="AE24" s="30" t="str">
        <f t="shared" si="13"/>
        <v/>
      </c>
      <c r="AF24" s="30" t="str">
        <f t="shared" si="14"/>
        <v/>
      </c>
      <c r="AG24" s="30" t="str">
        <f t="shared" si="15"/>
        <v/>
      </c>
      <c r="AH24" s="30" t="str">
        <f t="shared" si="16"/>
        <v/>
      </c>
      <c r="AI24" s="30" t="str">
        <f t="shared" si="17"/>
        <v/>
      </c>
      <c r="AJ24" s="30" t="str">
        <f t="shared" si="18"/>
        <v/>
      </c>
      <c r="AK24" s="30" t="str">
        <f t="shared" si="19"/>
        <v/>
      </c>
      <c r="AL24" s="30" t="str">
        <f t="shared" si="20"/>
        <v/>
      </c>
      <c r="AM24" s="30" t="str">
        <f t="shared" si="21"/>
        <v/>
      </c>
      <c r="AN24" s="30" t="str">
        <f t="shared" si="22"/>
        <v/>
      </c>
      <c r="AO24" s="30" t="str">
        <f t="shared" si="23"/>
        <v/>
      </c>
      <c r="AP24" s="30" t="str">
        <f t="shared" si="24"/>
        <v/>
      </c>
      <c r="AQ24" s="30" t="str">
        <f t="shared" si="25"/>
        <v/>
      </c>
      <c r="AR24" s="30" t="str">
        <f t="shared" si="26"/>
        <v/>
      </c>
      <c r="AS24" s="30" t="str">
        <f t="shared" si="27"/>
        <v/>
      </c>
      <c r="AT24" t="str">
        <f t="shared" si="28"/>
        <v/>
      </c>
      <c r="AU24" t="str">
        <f t="shared" si="29"/>
        <v/>
      </c>
    </row>
    <row r="25" spans="1:47" ht="18" customHeight="1" x14ac:dyDescent="0.2">
      <c r="A25" s="31">
        <v>46142</v>
      </c>
      <c r="B25" s="31">
        <v>46145</v>
      </c>
      <c r="C25" s="32">
        <f t="shared" si="0"/>
        <v>3</v>
      </c>
      <c r="D25" s="33" t="s">
        <v>69</v>
      </c>
      <c r="E25" s="34" t="s">
        <v>85</v>
      </c>
      <c r="F25" s="34" t="s">
        <v>86</v>
      </c>
      <c r="G25" s="34" t="s">
        <v>35</v>
      </c>
      <c r="H25" s="35">
        <v>218</v>
      </c>
      <c r="I25" s="35">
        <f t="shared" si="1"/>
        <v>72.666666666666671</v>
      </c>
      <c r="J25" s="35">
        <f>IF(AND(ISNUMBER(SEARCH("booking",G25)),OR(D25="Via San Rocco",D25="Via Cavour")),H25*0.165,IF(ISNUMBER(SEARCH("airbnb",G25)),H25*0.155,IF(ISNUMBER(SEARCH("booking",G25)),H25*0.15,"")))</f>
        <v>32.699999999999996</v>
      </c>
      <c r="K25" s="34" t="s">
        <v>49</v>
      </c>
      <c r="L25" s="35">
        <v>3</v>
      </c>
      <c r="M25" s="61">
        <f>IF(H25&lt;&gt;"",H25*0.25,"")</f>
        <v>54.5</v>
      </c>
      <c r="N25" s="35">
        <v>20</v>
      </c>
      <c r="O25" s="34" t="s">
        <v>71</v>
      </c>
      <c r="P25" s="35">
        <v>16.14</v>
      </c>
      <c r="Q25" s="35"/>
      <c r="R25" s="36"/>
      <c r="S25" s="30" t="str">
        <f t="shared" si="2"/>
        <v/>
      </c>
      <c r="T25" s="6" t="str">
        <f>IF($D25="Villa Elena",COUNTIF($D$3:$D25,"Villa Elena"),"")</f>
        <v/>
      </c>
      <c r="U25" s="30" t="str">
        <f t="shared" si="3"/>
        <v/>
      </c>
      <c r="V25" s="30" t="str">
        <f t="shared" si="4"/>
        <v/>
      </c>
      <c r="W25" s="30" t="str">
        <f t="shared" si="5"/>
        <v/>
      </c>
      <c r="X25" s="30" t="str">
        <f t="shared" si="6"/>
        <v/>
      </c>
      <c r="Y25" s="30" t="str">
        <f t="shared" si="7"/>
        <v/>
      </c>
      <c r="Z25" s="30">
        <f t="shared" si="8"/>
        <v>25</v>
      </c>
      <c r="AA25" s="30" t="str">
        <f t="shared" si="9"/>
        <v/>
      </c>
      <c r="AB25" s="30" t="str">
        <f t="shared" si="10"/>
        <v/>
      </c>
      <c r="AC25" s="30" t="str">
        <f t="shared" si="11"/>
        <v/>
      </c>
      <c r="AD25" s="30" t="str">
        <f t="shared" si="12"/>
        <v/>
      </c>
      <c r="AE25" s="30" t="str">
        <f t="shared" si="13"/>
        <v/>
      </c>
      <c r="AF25" s="30" t="str">
        <f t="shared" si="14"/>
        <v/>
      </c>
      <c r="AG25" s="30" t="str">
        <f t="shared" si="15"/>
        <v/>
      </c>
      <c r="AH25" s="30" t="str">
        <f t="shared" si="16"/>
        <v/>
      </c>
      <c r="AI25" s="30" t="str">
        <f t="shared" si="17"/>
        <v/>
      </c>
      <c r="AJ25" s="30" t="str">
        <f t="shared" si="18"/>
        <v/>
      </c>
      <c r="AK25" s="30" t="str">
        <f t="shared" si="19"/>
        <v/>
      </c>
      <c r="AL25" s="30" t="str">
        <f t="shared" si="20"/>
        <v/>
      </c>
      <c r="AM25" s="30" t="str">
        <f t="shared" si="21"/>
        <v/>
      </c>
      <c r="AN25" s="30" t="str">
        <f t="shared" si="22"/>
        <v/>
      </c>
      <c r="AO25" s="30" t="str">
        <f t="shared" si="23"/>
        <v/>
      </c>
      <c r="AP25" s="30" t="str">
        <f t="shared" si="24"/>
        <v/>
      </c>
      <c r="AQ25" s="30" t="str">
        <f t="shared" si="25"/>
        <v/>
      </c>
      <c r="AR25" s="30" t="str">
        <f t="shared" si="26"/>
        <v/>
      </c>
      <c r="AS25" s="30" t="str">
        <f t="shared" si="27"/>
        <v/>
      </c>
      <c r="AT25" t="str">
        <f t="shared" si="28"/>
        <v/>
      </c>
      <c r="AU25" t="str">
        <f t="shared" si="29"/>
        <v/>
      </c>
    </row>
    <row r="26" spans="1:47" ht="18" customHeight="1" x14ac:dyDescent="0.2">
      <c r="A26" s="31">
        <v>46142</v>
      </c>
      <c r="B26" s="31">
        <v>46148</v>
      </c>
      <c r="C26" s="32">
        <f t="shared" si="0"/>
        <v>6</v>
      </c>
      <c r="D26" s="33" t="s">
        <v>32</v>
      </c>
      <c r="E26" s="34" t="s">
        <v>87</v>
      </c>
      <c r="F26" s="34" t="s">
        <v>83</v>
      </c>
      <c r="G26" s="34" t="s">
        <v>48</v>
      </c>
      <c r="H26" s="35">
        <v>900</v>
      </c>
      <c r="I26" s="35">
        <f t="shared" si="1"/>
        <v>150</v>
      </c>
      <c r="J26" s="35">
        <v>0</v>
      </c>
      <c r="K26" s="34" t="s">
        <v>36</v>
      </c>
      <c r="L26" s="35">
        <v>6</v>
      </c>
      <c r="M26" s="61">
        <f>IF(H26&lt;&gt;"",H26*0.25,"")</f>
        <v>225</v>
      </c>
      <c r="N26" s="35">
        <v>50</v>
      </c>
      <c r="O26" s="34" t="s">
        <v>74</v>
      </c>
      <c r="P26" s="35">
        <v>19.93</v>
      </c>
      <c r="Q26" s="35"/>
      <c r="R26" s="36" t="s">
        <v>88</v>
      </c>
      <c r="S26" s="30">
        <f t="shared" si="2"/>
        <v>26</v>
      </c>
      <c r="T26" s="6" t="str">
        <f>IF($D26="Villa Elena",COUNTIF($D$3:$D26,"Villa Elena"),"")</f>
        <v/>
      </c>
      <c r="U26" s="30" t="str">
        <f t="shared" si="3"/>
        <v/>
      </c>
      <c r="V26" s="30" t="str">
        <f t="shared" si="4"/>
        <v/>
      </c>
      <c r="W26" s="30" t="str">
        <f t="shared" si="5"/>
        <v/>
      </c>
      <c r="X26" s="30" t="str">
        <f t="shared" si="6"/>
        <v/>
      </c>
      <c r="Y26" s="30" t="str">
        <f t="shared" si="7"/>
        <v/>
      </c>
      <c r="Z26" s="30" t="str">
        <f t="shared" si="8"/>
        <v/>
      </c>
      <c r="AA26" s="30" t="str">
        <f t="shared" si="9"/>
        <v/>
      </c>
      <c r="AB26" s="30" t="str">
        <f t="shared" si="10"/>
        <v/>
      </c>
      <c r="AC26" s="30" t="str">
        <f t="shared" si="11"/>
        <v/>
      </c>
      <c r="AD26" s="30" t="str">
        <f t="shared" si="12"/>
        <v/>
      </c>
      <c r="AE26" s="30" t="str">
        <f t="shared" si="13"/>
        <v/>
      </c>
      <c r="AF26" s="30" t="str">
        <f t="shared" si="14"/>
        <v/>
      </c>
      <c r="AG26" s="30" t="str">
        <f t="shared" si="15"/>
        <v/>
      </c>
      <c r="AH26" s="30" t="str">
        <f t="shared" si="16"/>
        <v/>
      </c>
      <c r="AI26" s="30" t="str">
        <f t="shared" si="17"/>
        <v/>
      </c>
      <c r="AJ26" s="30" t="str">
        <f t="shared" si="18"/>
        <v/>
      </c>
      <c r="AK26" s="30" t="str">
        <f t="shared" si="19"/>
        <v/>
      </c>
      <c r="AL26" s="30" t="str">
        <f t="shared" si="20"/>
        <v/>
      </c>
      <c r="AM26" s="30" t="str">
        <f t="shared" si="21"/>
        <v/>
      </c>
      <c r="AN26" s="30" t="str">
        <f t="shared" si="22"/>
        <v/>
      </c>
      <c r="AO26" s="30" t="str">
        <f t="shared" si="23"/>
        <v/>
      </c>
      <c r="AP26" s="30" t="str">
        <f t="shared" si="24"/>
        <v/>
      </c>
      <c r="AQ26" s="30" t="str">
        <f t="shared" si="25"/>
        <v/>
      </c>
      <c r="AR26" s="30" t="str">
        <f t="shared" si="26"/>
        <v/>
      </c>
      <c r="AS26" s="30" t="str">
        <f t="shared" si="27"/>
        <v/>
      </c>
      <c r="AT26" t="str">
        <f t="shared" si="28"/>
        <v/>
      </c>
      <c r="AU26" t="str">
        <f t="shared" si="29"/>
        <v/>
      </c>
    </row>
    <row r="27" spans="1:47" ht="22" customHeight="1" x14ac:dyDescent="0.2">
      <c r="A27" s="31">
        <v>46152</v>
      </c>
      <c r="B27" s="31">
        <v>46157</v>
      </c>
      <c r="C27" s="32">
        <f t="shared" si="0"/>
        <v>5</v>
      </c>
      <c r="D27" s="33" t="s">
        <v>51</v>
      </c>
      <c r="E27" s="34" t="s">
        <v>89</v>
      </c>
      <c r="F27" s="34" t="s">
        <v>34</v>
      </c>
      <c r="G27" s="34" t="s">
        <v>35</v>
      </c>
      <c r="H27" s="35">
        <v>433.4</v>
      </c>
      <c r="I27" s="35">
        <f t="shared" si="1"/>
        <v>86.679999999999993</v>
      </c>
      <c r="J27" s="35">
        <f>IF(AND(ISNUMBER(SEARCH("booking",G27)),OR(D27="Via San Rocco",D27="Via Cavour")),H27*0.165,IF(ISNUMBER(SEARCH("airbnb",G27)),H27*0.155,IF(ISNUMBER(SEARCH("booking",G27)),H27*0.15,"")))</f>
        <v>71.510999999999996</v>
      </c>
      <c r="K27" s="34"/>
      <c r="L27" s="35">
        <v>4</v>
      </c>
      <c r="M27" s="61">
        <f>IF(H27&lt;&gt;"",H27*0.1,"")</f>
        <v>43.34</v>
      </c>
      <c r="N27" s="35"/>
      <c r="O27" s="34"/>
      <c r="P27" s="35"/>
      <c r="Q27" s="35"/>
      <c r="R27" s="36"/>
      <c r="S27" s="30" t="str">
        <f t="shared" si="2"/>
        <v/>
      </c>
      <c r="T27" s="6" t="str">
        <f>IF($D27="Villa Elena",COUNTIF($D$3:$D27,"Villa Elena"),"")</f>
        <v/>
      </c>
      <c r="U27" s="30" t="str">
        <f t="shared" si="3"/>
        <v/>
      </c>
      <c r="V27" s="30" t="str">
        <f t="shared" si="4"/>
        <v/>
      </c>
      <c r="W27" s="30">
        <f t="shared" si="5"/>
        <v>27</v>
      </c>
      <c r="X27" s="30" t="str">
        <f t="shared" si="6"/>
        <v/>
      </c>
      <c r="Y27" s="30" t="str">
        <f t="shared" si="7"/>
        <v/>
      </c>
      <c r="Z27" s="30" t="str">
        <f t="shared" si="8"/>
        <v/>
      </c>
      <c r="AA27" s="30" t="str">
        <f t="shared" si="9"/>
        <v/>
      </c>
      <c r="AB27" s="30" t="str">
        <f t="shared" si="10"/>
        <v/>
      </c>
      <c r="AC27" s="30" t="str">
        <f t="shared" si="11"/>
        <v/>
      </c>
      <c r="AD27" s="30" t="str">
        <f t="shared" si="12"/>
        <v/>
      </c>
      <c r="AE27" s="30" t="str">
        <f t="shared" si="13"/>
        <v/>
      </c>
      <c r="AF27" s="30" t="str">
        <f t="shared" si="14"/>
        <v/>
      </c>
      <c r="AG27" s="30" t="str">
        <f t="shared" si="15"/>
        <v/>
      </c>
      <c r="AH27" s="30" t="str">
        <f t="shared" si="16"/>
        <v/>
      </c>
      <c r="AI27" s="30" t="str">
        <f t="shared" si="17"/>
        <v/>
      </c>
      <c r="AJ27" s="30" t="str">
        <f t="shared" si="18"/>
        <v/>
      </c>
      <c r="AK27" s="30" t="str">
        <f t="shared" si="19"/>
        <v/>
      </c>
      <c r="AL27" s="30" t="str">
        <f t="shared" si="20"/>
        <v/>
      </c>
      <c r="AM27" s="30" t="str">
        <f t="shared" si="21"/>
        <v/>
      </c>
      <c r="AN27" s="30" t="str">
        <f t="shared" si="22"/>
        <v/>
      </c>
      <c r="AO27" s="30" t="str">
        <f t="shared" si="23"/>
        <v/>
      </c>
      <c r="AP27" s="30" t="str">
        <f t="shared" si="24"/>
        <v/>
      </c>
      <c r="AQ27" s="30" t="str">
        <f t="shared" si="25"/>
        <v/>
      </c>
      <c r="AR27" s="30" t="str">
        <f t="shared" si="26"/>
        <v/>
      </c>
      <c r="AS27" s="30" t="str">
        <f t="shared" si="27"/>
        <v/>
      </c>
      <c r="AT27" t="str">
        <f t="shared" si="28"/>
        <v/>
      </c>
      <c r="AU27" t="str">
        <f t="shared" si="29"/>
        <v/>
      </c>
    </row>
    <row r="28" spans="1:47" ht="18" x14ac:dyDescent="0.2">
      <c r="A28" s="31">
        <v>46153</v>
      </c>
      <c r="B28" s="31">
        <v>46155</v>
      </c>
      <c r="C28" s="32">
        <f t="shared" si="0"/>
        <v>2</v>
      </c>
      <c r="D28" s="33" t="s">
        <v>45</v>
      </c>
      <c r="E28" s="34" t="s">
        <v>56</v>
      </c>
      <c r="F28" s="34" t="s">
        <v>41</v>
      </c>
      <c r="G28" s="34"/>
      <c r="H28" s="35">
        <v>162</v>
      </c>
      <c r="I28" s="35">
        <f t="shared" si="1"/>
        <v>81</v>
      </c>
      <c r="J28" s="35">
        <v>0</v>
      </c>
      <c r="K28" s="34" t="s">
        <v>42</v>
      </c>
      <c r="L28" s="35"/>
      <c r="M28" s="61">
        <f>IF(H28&lt;&gt;"",H28*0.25,"")</f>
        <v>40.5</v>
      </c>
      <c r="N28" s="35"/>
      <c r="O28" s="34" t="s">
        <v>90</v>
      </c>
      <c r="P28" s="35">
        <v>10.38</v>
      </c>
      <c r="Q28" s="35"/>
      <c r="R28" s="36"/>
      <c r="S28" s="30" t="str">
        <f t="shared" si="2"/>
        <v/>
      </c>
      <c r="T28" s="6">
        <f>IF($D28="Villa Elena",COUNTIF($D$3:$D28,"Villa Elena"),"")</f>
        <v>5</v>
      </c>
      <c r="U28" s="30" t="str">
        <f t="shared" si="3"/>
        <v/>
      </c>
      <c r="V28" s="30" t="str">
        <f t="shared" si="4"/>
        <v/>
      </c>
      <c r="W28" s="30" t="str">
        <f t="shared" si="5"/>
        <v/>
      </c>
      <c r="X28" s="30" t="str">
        <f t="shared" si="6"/>
        <v/>
      </c>
      <c r="Y28" s="30" t="str">
        <f t="shared" si="7"/>
        <v/>
      </c>
      <c r="Z28" s="30" t="str">
        <f t="shared" si="8"/>
        <v/>
      </c>
      <c r="AA28" s="30" t="str">
        <f t="shared" si="9"/>
        <v/>
      </c>
      <c r="AB28" s="30" t="str">
        <f t="shared" si="10"/>
        <v/>
      </c>
      <c r="AC28" s="30" t="str">
        <f t="shared" si="11"/>
        <v/>
      </c>
      <c r="AD28" s="30" t="str">
        <f t="shared" si="12"/>
        <v/>
      </c>
      <c r="AE28" s="30" t="str">
        <f t="shared" si="13"/>
        <v/>
      </c>
      <c r="AF28" s="30" t="str">
        <f t="shared" si="14"/>
        <v/>
      </c>
      <c r="AG28" s="30" t="str">
        <f t="shared" si="15"/>
        <v/>
      </c>
      <c r="AH28" s="30">
        <f t="shared" si="16"/>
        <v>28</v>
      </c>
      <c r="AI28" s="30" t="str">
        <f t="shared" si="17"/>
        <v/>
      </c>
      <c r="AJ28" s="30" t="str">
        <f t="shared" si="18"/>
        <v/>
      </c>
      <c r="AK28" s="30" t="str">
        <f t="shared" si="19"/>
        <v/>
      </c>
      <c r="AL28" s="30" t="str">
        <f t="shared" si="20"/>
        <v/>
      </c>
      <c r="AM28" s="30" t="str">
        <f t="shared" si="21"/>
        <v/>
      </c>
      <c r="AN28" s="30" t="str">
        <f t="shared" si="22"/>
        <v/>
      </c>
      <c r="AO28" s="30" t="str">
        <f t="shared" si="23"/>
        <v/>
      </c>
      <c r="AP28" s="30" t="str">
        <f t="shared" si="24"/>
        <v/>
      </c>
      <c r="AQ28" s="30" t="str">
        <f t="shared" si="25"/>
        <v/>
      </c>
      <c r="AR28" s="30" t="str">
        <f t="shared" si="26"/>
        <v/>
      </c>
      <c r="AS28" s="30" t="str">
        <f t="shared" si="27"/>
        <v/>
      </c>
      <c r="AT28" t="str">
        <f t="shared" si="28"/>
        <v/>
      </c>
      <c r="AU28" t="str">
        <f t="shared" si="29"/>
        <v/>
      </c>
    </row>
    <row r="29" spans="1:47" ht="22" customHeight="1" x14ac:dyDescent="0.2">
      <c r="A29" s="31">
        <v>46162</v>
      </c>
      <c r="B29" s="31">
        <v>46165</v>
      </c>
      <c r="C29" s="32">
        <f t="shared" si="0"/>
        <v>3</v>
      </c>
      <c r="D29" s="33" t="s">
        <v>69</v>
      </c>
      <c r="E29" s="34" t="s">
        <v>91</v>
      </c>
      <c r="F29" s="34" t="s">
        <v>41</v>
      </c>
      <c r="G29" s="34" t="s">
        <v>35</v>
      </c>
      <c r="H29" s="35">
        <v>173.8</v>
      </c>
      <c r="I29" s="35">
        <f t="shared" si="1"/>
        <v>57.933333333333337</v>
      </c>
      <c r="J29" s="35">
        <v>29.55</v>
      </c>
      <c r="K29" s="34" t="s">
        <v>49</v>
      </c>
      <c r="L29" s="35">
        <v>3</v>
      </c>
      <c r="M29" s="61">
        <f>IF(H29&lt;&gt;"",H29*0.25,"")</f>
        <v>43.45</v>
      </c>
      <c r="N29" s="35">
        <v>20</v>
      </c>
      <c r="O29" s="34" t="s">
        <v>71</v>
      </c>
      <c r="P29" s="35">
        <v>10.38</v>
      </c>
      <c r="Q29" s="35"/>
      <c r="R29" s="36"/>
      <c r="S29" s="30" t="str">
        <f t="shared" si="2"/>
        <v/>
      </c>
      <c r="T29" s="6" t="str">
        <f>IF($D29="Villa Elena",COUNTIF($D$3:$D29,"Villa Elena"),"")</f>
        <v/>
      </c>
      <c r="U29" s="30" t="str">
        <f t="shared" si="3"/>
        <v/>
      </c>
      <c r="V29" s="30" t="str">
        <f t="shared" si="4"/>
        <v/>
      </c>
      <c r="W29" s="30" t="str">
        <f t="shared" si="5"/>
        <v/>
      </c>
      <c r="X29" s="30" t="str">
        <f t="shared" si="6"/>
        <v/>
      </c>
      <c r="Y29" s="30" t="str">
        <f t="shared" si="7"/>
        <v/>
      </c>
      <c r="Z29" s="30">
        <f t="shared" si="8"/>
        <v>29</v>
      </c>
      <c r="AA29" s="30" t="str">
        <f t="shared" si="9"/>
        <v/>
      </c>
      <c r="AB29" s="30" t="str">
        <f t="shared" si="10"/>
        <v/>
      </c>
      <c r="AC29" s="30" t="str">
        <f t="shared" si="11"/>
        <v/>
      </c>
      <c r="AD29" s="30" t="str">
        <f t="shared" si="12"/>
        <v/>
      </c>
      <c r="AE29" s="30" t="str">
        <f t="shared" si="13"/>
        <v/>
      </c>
      <c r="AF29" s="30" t="str">
        <f t="shared" si="14"/>
        <v/>
      </c>
      <c r="AG29" s="30" t="str">
        <f t="shared" si="15"/>
        <v/>
      </c>
      <c r="AH29" s="30" t="str">
        <f t="shared" si="16"/>
        <v/>
      </c>
      <c r="AI29" s="30" t="str">
        <f t="shared" si="17"/>
        <v/>
      </c>
      <c r="AJ29" s="30" t="str">
        <f t="shared" si="18"/>
        <v/>
      </c>
      <c r="AK29" s="30" t="str">
        <f t="shared" si="19"/>
        <v/>
      </c>
      <c r="AL29" s="30" t="str">
        <f t="shared" si="20"/>
        <v/>
      </c>
      <c r="AM29" s="30" t="str">
        <f t="shared" si="21"/>
        <v/>
      </c>
      <c r="AN29" s="30" t="str">
        <f t="shared" si="22"/>
        <v/>
      </c>
      <c r="AO29" s="30" t="str">
        <f t="shared" si="23"/>
        <v/>
      </c>
      <c r="AP29" s="30" t="str">
        <f t="shared" si="24"/>
        <v/>
      </c>
      <c r="AQ29" s="30" t="str">
        <f t="shared" si="25"/>
        <v/>
      </c>
      <c r="AR29" s="30" t="str">
        <f t="shared" si="26"/>
        <v/>
      </c>
      <c r="AS29" s="30" t="str">
        <f t="shared" si="27"/>
        <v/>
      </c>
      <c r="AT29" t="str">
        <f t="shared" si="28"/>
        <v/>
      </c>
      <c r="AU29" t="str">
        <f t="shared" si="29"/>
        <v/>
      </c>
    </row>
    <row r="30" spans="1:47" ht="18" x14ac:dyDescent="0.2">
      <c r="A30" s="31">
        <v>46170</v>
      </c>
      <c r="B30" s="31">
        <v>46172</v>
      </c>
      <c r="C30" s="32">
        <f t="shared" si="0"/>
        <v>2</v>
      </c>
      <c r="D30" s="33" t="s">
        <v>51</v>
      </c>
      <c r="E30" s="34" t="s">
        <v>92</v>
      </c>
      <c r="F30" s="34" t="s">
        <v>34</v>
      </c>
      <c r="G30" s="34" t="s">
        <v>35</v>
      </c>
      <c r="H30" s="35">
        <v>214.78</v>
      </c>
      <c r="I30" s="35">
        <f t="shared" si="1"/>
        <v>107.39</v>
      </c>
      <c r="J30" s="35">
        <f t="shared" ref="J30:J36" si="32">IF(AND(ISNUMBER(SEARCH("booking",G30)),OR(D30="Via San Rocco",D30="Via Cavour")),H30*0.165,IF(ISNUMBER(SEARCH("airbnb",G30)),H30*0.155,IF(ISNUMBER(SEARCH("booking",G30)),H30*0.15,"")))</f>
        <v>35.438700000000004</v>
      </c>
      <c r="K30" s="34"/>
      <c r="L30" s="35">
        <v>4</v>
      </c>
      <c r="M30" s="61">
        <f>IF(H30&lt;&gt;"",H30*0.1,"")</f>
        <v>21.478000000000002</v>
      </c>
      <c r="N30" s="35"/>
      <c r="O30" s="34"/>
      <c r="P30" s="35"/>
      <c r="Q30" s="35"/>
      <c r="R30" s="36"/>
      <c r="S30" s="30" t="str">
        <f t="shared" si="2"/>
        <v/>
      </c>
      <c r="T30" s="6" t="str">
        <f>IF($D30="Villa Elena",COUNTIF($D$3:$D30,"Villa Elena"),"")</f>
        <v/>
      </c>
      <c r="U30" s="30" t="str">
        <f t="shared" si="3"/>
        <v/>
      </c>
      <c r="V30" s="30" t="str">
        <f t="shared" si="4"/>
        <v/>
      </c>
      <c r="W30" s="30">
        <f t="shared" si="5"/>
        <v>30</v>
      </c>
      <c r="X30" s="30" t="str">
        <f t="shared" si="6"/>
        <v/>
      </c>
      <c r="Y30" s="30" t="str">
        <f t="shared" si="7"/>
        <v/>
      </c>
      <c r="Z30" s="30" t="str">
        <f t="shared" si="8"/>
        <v/>
      </c>
      <c r="AA30" s="30" t="str">
        <f t="shared" si="9"/>
        <v/>
      </c>
      <c r="AB30" s="30" t="str">
        <f t="shared" si="10"/>
        <v/>
      </c>
      <c r="AC30" s="30" t="str">
        <f t="shared" si="11"/>
        <v/>
      </c>
      <c r="AD30" s="30" t="str">
        <f t="shared" si="12"/>
        <v/>
      </c>
      <c r="AE30" s="30" t="str">
        <f t="shared" si="13"/>
        <v/>
      </c>
      <c r="AF30" s="30" t="str">
        <f t="shared" si="14"/>
        <v/>
      </c>
      <c r="AG30" s="30" t="str">
        <f t="shared" si="15"/>
        <v/>
      </c>
      <c r="AH30" s="30" t="str">
        <f t="shared" si="16"/>
        <v/>
      </c>
      <c r="AI30" s="30" t="str">
        <f t="shared" si="17"/>
        <v/>
      </c>
      <c r="AJ30" s="30" t="str">
        <f t="shared" si="18"/>
        <v/>
      </c>
      <c r="AK30" s="30" t="str">
        <f t="shared" si="19"/>
        <v/>
      </c>
      <c r="AL30" s="30" t="str">
        <f t="shared" si="20"/>
        <v/>
      </c>
      <c r="AM30" s="30" t="str">
        <f t="shared" si="21"/>
        <v/>
      </c>
      <c r="AN30" s="30" t="str">
        <f t="shared" si="22"/>
        <v/>
      </c>
      <c r="AO30" s="30" t="str">
        <f t="shared" si="23"/>
        <v/>
      </c>
      <c r="AP30" s="30" t="str">
        <f t="shared" si="24"/>
        <v/>
      </c>
      <c r="AQ30" s="30" t="str">
        <f t="shared" si="25"/>
        <v/>
      </c>
      <c r="AR30" s="30" t="str">
        <f t="shared" si="26"/>
        <v/>
      </c>
      <c r="AS30" s="30" t="str">
        <f t="shared" si="27"/>
        <v/>
      </c>
      <c r="AT30" t="str">
        <f t="shared" si="28"/>
        <v/>
      </c>
      <c r="AU30" t="str">
        <f t="shared" si="29"/>
        <v/>
      </c>
    </row>
    <row r="31" spans="1:47" ht="18" x14ac:dyDescent="0.2">
      <c r="A31" s="31">
        <v>46172</v>
      </c>
      <c r="B31" s="31">
        <v>46175</v>
      </c>
      <c r="C31" s="32">
        <f t="shared" si="0"/>
        <v>3</v>
      </c>
      <c r="D31" s="33" t="s">
        <v>93</v>
      </c>
      <c r="E31" s="34" t="s">
        <v>94</v>
      </c>
      <c r="F31" s="34" t="s">
        <v>95</v>
      </c>
      <c r="G31" s="34" t="s">
        <v>35</v>
      </c>
      <c r="H31" s="35">
        <v>301.31</v>
      </c>
      <c r="I31" s="35">
        <f t="shared" si="1"/>
        <v>100.43666666666667</v>
      </c>
      <c r="J31" s="35">
        <f t="shared" si="32"/>
        <v>45.1965</v>
      </c>
      <c r="K31" s="34" t="s">
        <v>36</v>
      </c>
      <c r="L31" s="35">
        <v>6</v>
      </c>
      <c r="M31" s="61">
        <f>IF(H31&lt;&gt;"",H31*0.25,"")</f>
        <v>75.327500000000001</v>
      </c>
      <c r="N31" s="35">
        <v>20</v>
      </c>
      <c r="O31" s="34" t="s">
        <v>71</v>
      </c>
      <c r="P31" s="35">
        <v>20</v>
      </c>
      <c r="Q31" s="35"/>
      <c r="R31" s="36"/>
      <c r="S31" s="30" t="str">
        <f t="shared" si="2"/>
        <v/>
      </c>
      <c r="T31" s="6" t="str">
        <f>IF($D31="Villa Elena",COUNTIF($D$3:$D31,"Villa Elena"),"")</f>
        <v/>
      </c>
      <c r="U31" s="30">
        <f t="shared" si="3"/>
        <v>31</v>
      </c>
      <c r="V31" s="30" t="str">
        <f t="shared" si="4"/>
        <v/>
      </c>
      <c r="W31" s="30" t="str">
        <f t="shared" si="5"/>
        <v/>
      </c>
      <c r="X31" s="30" t="str">
        <f t="shared" si="6"/>
        <v/>
      </c>
      <c r="Y31" s="30" t="str">
        <f t="shared" si="7"/>
        <v/>
      </c>
      <c r="Z31" s="30" t="str">
        <f t="shared" si="8"/>
        <v/>
      </c>
      <c r="AA31" s="30" t="str">
        <f t="shared" si="9"/>
        <v/>
      </c>
      <c r="AB31" s="30" t="str">
        <f t="shared" si="10"/>
        <v/>
      </c>
      <c r="AC31" s="30" t="str">
        <f t="shared" si="11"/>
        <v/>
      </c>
      <c r="AD31" s="30" t="str">
        <f t="shared" si="12"/>
        <v/>
      </c>
      <c r="AE31" s="30" t="str">
        <f t="shared" si="13"/>
        <v/>
      </c>
      <c r="AF31" s="30" t="str">
        <f t="shared" si="14"/>
        <v/>
      </c>
      <c r="AG31" s="30" t="str">
        <f t="shared" si="15"/>
        <v/>
      </c>
      <c r="AH31" s="30" t="str">
        <f t="shared" si="16"/>
        <v/>
      </c>
      <c r="AI31" s="30" t="str">
        <f t="shared" si="17"/>
        <v/>
      </c>
      <c r="AJ31" s="30" t="str">
        <f t="shared" si="18"/>
        <v/>
      </c>
      <c r="AK31" s="30" t="str">
        <f t="shared" si="19"/>
        <v/>
      </c>
      <c r="AL31" s="30" t="str">
        <f t="shared" si="20"/>
        <v/>
      </c>
      <c r="AM31" s="30" t="str">
        <f t="shared" si="21"/>
        <v/>
      </c>
      <c r="AN31" s="30" t="str">
        <f t="shared" si="22"/>
        <v/>
      </c>
      <c r="AO31" s="30" t="str">
        <f t="shared" si="23"/>
        <v/>
      </c>
      <c r="AP31" s="30" t="str">
        <f t="shared" si="24"/>
        <v/>
      </c>
      <c r="AQ31" s="30" t="str">
        <f t="shared" si="25"/>
        <v/>
      </c>
      <c r="AR31" s="30" t="str">
        <f t="shared" si="26"/>
        <v/>
      </c>
      <c r="AS31" s="30" t="str">
        <f t="shared" si="27"/>
        <v/>
      </c>
      <c r="AT31" t="str">
        <f t="shared" si="28"/>
        <v/>
      </c>
      <c r="AU31" t="str">
        <f t="shared" si="29"/>
        <v/>
      </c>
    </row>
    <row r="32" spans="1:47" ht="18" x14ac:dyDescent="0.2">
      <c r="A32" s="31">
        <v>46172</v>
      </c>
      <c r="B32" s="31">
        <v>46175</v>
      </c>
      <c r="C32" s="32">
        <f t="shared" si="0"/>
        <v>3</v>
      </c>
      <c r="D32" s="33" t="s">
        <v>69</v>
      </c>
      <c r="E32" s="34" t="s">
        <v>304</v>
      </c>
      <c r="F32" s="34" t="s">
        <v>34</v>
      </c>
      <c r="G32" s="34" t="s">
        <v>35</v>
      </c>
      <c r="H32" s="35">
        <v>300.52</v>
      </c>
      <c r="I32" s="35">
        <f t="shared" si="1"/>
        <v>100.17333333333333</v>
      </c>
      <c r="J32" s="35">
        <f t="shared" si="32"/>
        <v>45.077999999999996</v>
      </c>
      <c r="K32" s="34" t="s">
        <v>42</v>
      </c>
      <c r="L32" s="35">
        <v>6</v>
      </c>
      <c r="M32" s="61">
        <f>IF(H32&lt;&gt;"",H32*0.25,"")</f>
        <v>75.13</v>
      </c>
      <c r="N32" s="35">
        <v>40</v>
      </c>
      <c r="O32" s="34" t="s">
        <v>71</v>
      </c>
      <c r="P32" s="35">
        <v>10.38</v>
      </c>
      <c r="Q32" s="35"/>
      <c r="R32" s="36"/>
      <c r="S32" s="30" t="str">
        <f t="shared" si="2"/>
        <v/>
      </c>
      <c r="T32" s="6" t="str">
        <f>IF($D32="Villa Elena",COUNTIF($D$3:$D32,"Villa Elena"),"")</f>
        <v/>
      </c>
      <c r="U32" s="30" t="str">
        <f t="shared" si="3"/>
        <v/>
      </c>
      <c r="V32" s="30" t="str">
        <f t="shared" si="4"/>
        <v/>
      </c>
      <c r="W32" s="30" t="str">
        <f t="shared" si="5"/>
        <v/>
      </c>
      <c r="X32" s="30" t="str">
        <f t="shared" si="6"/>
        <v/>
      </c>
      <c r="Y32" s="30" t="str">
        <f t="shared" si="7"/>
        <v/>
      </c>
      <c r="Z32" s="30">
        <f t="shared" si="8"/>
        <v>32</v>
      </c>
      <c r="AA32" s="30" t="str">
        <f t="shared" si="9"/>
        <v/>
      </c>
      <c r="AB32" s="30" t="str">
        <f t="shared" si="10"/>
        <v/>
      </c>
      <c r="AC32" s="30" t="str">
        <f t="shared" si="11"/>
        <v/>
      </c>
      <c r="AD32" s="30" t="str">
        <f t="shared" si="12"/>
        <v/>
      </c>
      <c r="AE32" s="30" t="str">
        <f t="shared" si="13"/>
        <v/>
      </c>
      <c r="AF32" s="30" t="str">
        <f t="shared" si="14"/>
        <v/>
      </c>
      <c r="AG32" s="30" t="str">
        <f t="shared" si="15"/>
        <v/>
      </c>
      <c r="AH32" s="30" t="str">
        <f t="shared" si="16"/>
        <v/>
      </c>
      <c r="AI32" s="30" t="str">
        <f t="shared" si="17"/>
        <v/>
      </c>
      <c r="AJ32" s="30" t="str">
        <f t="shared" si="18"/>
        <v/>
      </c>
      <c r="AK32" s="30" t="str">
        <f t="shared" si="19"/>
        <v/>
      </c>
      <c r="AL32" s="30" t="str">
        <f t="shared" si="20"/>
        <v/>
      </c>
      <c r="AM32" s="30" t="str">
        <f t="shared" si="21"/>
        <v/>
      </c>
      <c r="AN32" s="30" t="str">
        <f t="shared" si="22"/>
        <v/>
      </c>
      <c r="AO32" s="30" t="str">
        <f t="shared" si="23"/>
        <v/>
      </c>
      <c r="AP32" s="30" t="str">
        <f t="shared" si="24"/>
        <v/>
      </c>
      <c r="AQ32" s="30" t="str">
        <f t="shared" si="25"/>
        <v/>
      </c>
      <c r="AR32" s="30" t="str">
        <f t="shared" si="26"/>
        <v/>
      </c>
      <c r="AS32" s="30" t="str">
        <f t="shared" si="27"/>
        <v/>
      </c>
      <c r="AT32" t="str">
        <f t="shared" si="28"/>
        <v/>
      </c>
      <c r="AU32" t="str">
        <f t="shared" si="29"/>
        <v/>
      </c>
    </row>
    <row r="33" spans="1:47" ht="22" customHeight="1" x14ac:dyDescent="0.2">
      <c r="A33" s="31">
        <v>46183</v>
      </c>
      <c r="B33" s="31">
        <v>46191</v>
      </c>
      <c r="C33" s="32">
        <f t="shared" si="0"/>
        <v>8</v>
      </c>
      <c r="D33" s="33" t="s">
        <v>96</v>
      </c>
      <c r="E33" s="34" t="s">
        <v>97</v>
      </c>
      <c r="F33" s="34" t="s">
        <v>34</v>
      </c>
      <c r="G33" s="34" t="s">
        <v>35</v>
      </c>
      <c r="H33" s="35">
        <v>704.01</v>
      </c>
      <c r="I33" s="35">
        <f t="shared" si="1"/>
        <v>88.001249999999999</v>
      </c>
      <c r="J33" s="35">
        <f t="shared" si="32"/>
        <v>105.6015</v>
      </c>
      <c r="K33" s="34" t="s">
        <v>49</v>
      </c>
      <c r="L33" s="35">
        <v>16</v>
      </c>
      <c r="M33" s="61">
        <f>IF(H33&lt;&gt;"",H33*0.25,"")</f>
        <v>176.0025</v>
      </c>
      <c r="N33" s="35">
        <v>40</v>
      </c>
      <c r="O33" s="34" t="s">
        <v>71</v>
      </c>
      <c r="P33" s="35">
        <v>10.38</v>
      </c>
      <c r="Q33" s="35"/>
      <c r="R33" s="36"/>
      <c r="S33" s="30" t="str">
        <f t="shared" si="2"/>
        <v/>
      </c>
      <c r="T33" s="6" t="str">
        <f>IF($D33="Villa Elena",COUNTIF($D$3:$D33,"Villa Elena"),"")</f>
        <v/>
      </c>
      <c r="U33" s="30" t="str">
        <f t="shared" si="3"/>
        <v/>
      </c>
      <c r="V33" s="30" t="str">
        <f t="shared" si="4"/>
        <v/>
      </c>
      <c r="W33" s="30" t="str">
        <f t="shared" si="5"/>
        <v/>
      </c>
      <c r="X33" s="30" t="str">
        <f t="shared" si="6"/>
        <v/>
      </c>
      <c r="Y33" s="30">
        <f t="shared" si="7"/>
        <v>33</v>
      </c>
      <c r="Z33" s="30" t="str">
        <f t="shared" si="8"/>
        <v/>
      </c>
      <c r="AA33" s="30" t="str">
        <f t="shared" si="9"/>
        <v/>
      </c>
      <c r="AB33" s="30" t="str">
        <f t="shared" si="10"/>
        <v/>
      </c>
      <c r="AC33" s="30" t="str">
        <f t="shared" si="11"/>
        <v/>
      </c>
      <c r="AD33" s="30" t="str">
        <f t="shared" si="12"/>
        <v/>
      </c>
      <c r="AE33" s="30" t="str">
        <f t="shared" si="13"/>
        <v/>
      </c>
      <c r="AF33" s="30" t="str">
        <f t="shared" si="14"/>
        <v/>
      </c>
      <c r="AG33" s="30" t="str">
        <f t="shared" si="15"/>
        <v/>
      </c>
      <c r="AH33" s="30" t="str">
        <f t="shared" si="16"/>
        <v/>
      </c>
      <c r="AI33" s="30" t="str">
        <f t="shared" si="17"/>
        <v/>
      </c>
      <c r="AJ33" s="30" t="str">
        <f t="shared" si="18"/>
        <v/>
      </c>
      <c r="AK33" s="30" t="str">
        <f t="shared" si="19"/>
        <v/>
      </c>
      <c r="AL33" s="30" t="str">
        <f t="shared" si="20"/>
        <v/>
      </c>
      <c r="AM33" s="30" t="str">
        <f t="shared" si="21"/>
        <v/>
      </c>
      <c r="AN33" s="30" t="str">
        <f t="shared" si="22"/>
        <v/>
      </c>
      <c r="AO33" s="30" t="str">
        <f t="shared" si="23"/>
        <v/>
      </c>
      <c r="AP33" s="30" t="str">
        <f t="shared" si="24"/>
        <v/>
      </c>
      <c r="AQ33" s="30" t="str">
        <f t="shared" si="25"/>
        <v/>
      </c>
      <c r="AR33" s="30" t="str">
        <f t="shared" si="26"/>
        <v/>
      </c>
      <c r="AS33" s="30" t="str">
        <f t="shared" si="27"/>
        <v/>
      </c>
      <c r="AT33" t="str">
        <f t="shared" si="28"/>
        <v/>
      </c>
      <c r="AU33" t="str">
        <f t="shared" si="29"/>
        <v/>
      </c>
    </row>
    <row r="34" spans="1:47" ht="22" customHeight="1" x14ac:dyDescent="0.2">
      <c r="A34" s="31">
        <v>46183</v>
      </c>
      <c r="B34" s="31">
        <v>46186</v>
      </c>
      <c r="C34" s="32">
        <f t="shared" si="0"/>
        <v>3</v>
      </c>
      <c r="D34" s="33" t="s">
        <v>51</v>
      </c>
      <c r="E34" s="34" t="s">
        <v>308</v>
      </c>
      <c r="F34" s="34" t="s">
        <v>34</v>
      </c>
      <c r="G34" s="34" t="s">
        <v>35</v>
      </c>
      <c r="H34" s="35">
        <v>331.17</v>
      </c>
      <c r="I34" s="35">
        <f t="shared" si="1"/>
        <v>110.39</v>
      </c>
      <c r="J34" s="35">
        <f t="shared" si="32"/>
        <v>54.643050000000002</v>
      </c>
      <c r="K34" s="34"/>
      <c r="L34" s="35">
        <v>4</v>
      </c>
      <c r="M34" s="61">
        <f>IF(H34&lt;&gt;"",H34*0.1,"")</f>
        <v>33.117000000000004</v>
      </c>
      <c r="N34" s="35"/>
      <c r="O34" s="34"/>
      <c r="P34" s="35"/>
      <c r="Q34" s="35"/>
      <c r="R34" s="36"/>
      <c r="S34" s="30" t="str">
        <f t="shared" si="2"/>
        <v/>
      </c>
      <c r="T34" s="6" t="str">
        <f>IF($D34="Villa Elena",COUNTIF($D$3:$D34,"Villa Elena"),"")</f>
        <v/>
      </c>
      <c r="U34" s="30" t="str">
        <f t="shared" si="3"/>
        <v/>
      </c>
      <c r="V34" s="30" t="str">
        <f t="shared" si="4"/>
        <v/>
      </c>
      <c r="W34" s="30">
        <f t="shared" si="5"/>
        <v>34</v>
      </c>
      <c r="X34" s="30" t="str">
        <f t="shared" si="6"/>
        <v/>
      </c>
      <c r="Y34" s="30" t="str">
        <f t="shared" si="7"/>
        <v/>
      </c>
      <c r="Z34" s="30" t="str">
        <f t="shared" si="8"/>
        <v/>
      </c>
      <c r="AA34" s="30" t="str">
        <f t="shared" si="9"/>
        <v/>
      </c>
      <c r="AB34" s="30" t="str">
        <f t="shared" si="10"/>
        <v/>
      </c>
      <c r="AC34" s="30" t="str">
        <f t="shared" si="11"/>
        <v/>
      </c>
      <c r="AD34" s="30" t="str">
        <f t="shared" si="12"/>
        <v/>
      </c>
      <c r="AE34" s="30" t="str">
        <f t="shared" si="13"/>
        <v/>
      </c>
      <c r="AF34" s="30" t="str">
        <f t="shared" si="14"/>
        <v/>
      </c>
      <c r="AG34" s="30" t="str">
        <f t="shared" si="15"/>
        <v/>
      </c>
      <c r="AH34" s="30" t="str">
        <f t="shared" si="16"/>
        <v/>
      </c>
      <c r="AI34" s="30" t="str">
        <f t="shared" si="17"/>
        <v/>
      </c>
      <c r="AJ34" s="30" t="str">
        <f t="shared" si="18"/>
        <v/>
      </c>
      <c r="AK34" s="30" t="str">
        <f t="shared" si="19"/>
        <v/>
      </c>
      <c r="AL34" s="30" t="str">
        <f t="shared" si="20"/>
        <v/>
      </c>
      <c r="AM34" s="30" t="str">
        <f t="shared" si="21"/>
        <v/>
      </c>
      <c r="AN34" s="30" t="str">
        <f t="shared" si="22"/>
        <v/>
      </c>
      <c r="AO34" s="30" t="str">
        <f t="shared" si="23"/>
        <v/>
      </c>
      <c r="AP34" s="30" t="str">
        <f t="shared" si="24"/>
        <v/>
      </c>
      <c r="AQ34" s="30" t="str">
        <f t="shared" si="25"/>
        <v/>
      </c>
      <c r="AR34" s="30" t="str">
        <f t="shared" si="26"/>
        <v/>
      </c>
      <c r="AS34" s="30" t="str">
        <f t="shared" si="27"/>
        <v/>
      </c>
      <c r="AT34" t="str">
        <f t="shared" si="28"/>
        <v/>
      </c>
      <c r="AU34" t="str">
        <f t="shared" si="29"/>
        <v/>
      </c>
    </row>
    <row r="35" spans="1:47" ht="22" customHeight="1" x14ac:dyDescent="0.2">
      <c r="A35" s="31">
        <v>46186</v>
      </c>
      <c r="B35" s="31">
        <v>46193</v>
      </c>
      <c r="C35" s="32">
        <f t="shared" si="0"/>
        <v>7</v>
      </c>
      <c r="D35" s="33" t="s">
        <v>69</v>
      </c>
      <c r="E35" s="34" t="s">
        <v>309</v>
      </c>
      <c r="F35" s="34" t="s">
        <v>34</v>
      </c>
      <c r="G35" s="34" t="s">
        <v>35</v>
      </c>
      <c r="H35" s="35">
        <v>709.26</v>
      </c>
      <c r="I35" s="35">
        <f t="shared" si="1"/>
        <v>101.32285714285715</v>
      </c>
      <c r="J35" s="35">
        <f t="shared" si="32"/>
        <v>106.389</v>
      </c>
      <c r="K35" s="34" t="s">
        <v>49</v>
      </c>
      <c r="L35" s="35">
        <v>14</v>
      </c>
      <c r="M35" s="61">
        <f>IF(H35&lt;&gt;"",H35*0.25,"")</f>
        <v>177.315</v>
      </c>
      <c r="N35" s="35">
        <v>20</v>
      </c>
      <c r="O35" s="34" t="s">
        <v>71</v>
      </c>
      <c r="P35" s="35">
        <v>10.38</v>
      </c>
      <c r="Q35" s="35"/>
      <c r="R35" s="36"/>
      <c r="S35" s="30" t="str">
        <f t="shared" si="2"/>
        <v/>
      </c>
      <c r="T35" s="6" t="str">
        <f>IF($D35="Villa Elena",COUNTIF($D$3:$D35,"Villa Elena"),"")</f>
        <v/>
      </c>
      <c r="U35" s="30" t="str">
        <f t="shared" si="3"/>
        <v/>
      </c>
      <c r="V35" s="30" t="str">
        <f t="shared" si="4"/>
        <v/>
      </c>
      <c r="W35" s="30" t="str">
        <f t="shared" si="5"/>
        <v/>
      </c>
      <c r="X35" s="30" t="str">
        <f t="shared" si="6"/>
        <v/>
      </c>
      <c r="Y35" s="30" t="str">
        <f t="shared" si="7"/>
        <v/>
      </c>
      <c r="Z35" s="30">
        <f t="shared" si="8"/>
        <v>35</v>
      </c>
      <c r="AA35" s="30" t="str">
        <f t="shared" si="9"/>
        <v/>
      </c>
      <c r="AB35" s="30" t="str">
        <f t="shared" si="10"/>
        <v/>
      </c>
      <c r="AC35" s="30" t="str">
        <f t="shared" si="11"/>
        <v/>
      </c>
      <c r="AD35" s="30" t="str">
        <f t="shared" si="12"/>
        <v/>
      </c>
      <c r="AE35" s="30" t="str">
        <f t="shared" si="13"/>
        <v/>
      </c>
      <c r="AF35" s="30" t="str">
        <f t="shared" si="14"/>
        <v/>
      </c>
      <c r="AG35" s="30" t="str">
        <f t="shared" si="15"/>
        <v/>
      </c>
      <c r="AH35" s="30" t="str">
        <f t="shared" si="16"/>
        <v/>
      </c>
      <c r="AI35" s="30" t="str">
        <f t="shared" si="17"/>
        <v/>
      </c>
      <c r="AJ35" s="30" t="str">
        <f t="shared" si="18"/>
        <v/>
      </c>
      <c r="AK35" s="30" t="str">
        <f t="shared" si="19"/>
        <v/>
      </c>
      <c r="AL35" s="30" t="str">
        <f t="shared" si="20"/>
        <v/>
      </c>
      <c r="AM35" s="30" t="str">
        <f t="shared" si="21"/>
        <v/>
      </c>
      <c r="AN35" s="30" t="str">
        <f t="shared" si="22"/>
        <v/>
      </c>
      <c r="AO35" s="30" t="str">
        <f t="shared" si="23"/>
        <v/>
      </c>
      <c r="AP35" s="30" t="str">
        <f t="shared" si="24"/>
        <v/>
      </c>
      <c r="AQ35" s="30" t="str">
        <f t="shared" si="25"/>
        <v/>
      </c>
      <c r="AR35" s="30" t="str">
        <f t="shared" si="26"/>
        <v/>
      </c>
      <c r="AS35" s="30" t="str">
        <f t="shared" si="27"/>
        <v/>
      </c>
      <c r="AT35" t="str">
        <f t="shared" si="28"/>
        <v/>
      </c>
      <c r="AU35" t="str">
        <f t="shared" si="29"/>
        <v/>
      </c>
    </row>
    <row r="36" spans="1:47" ht="22" customHeight="1" x14ac:dyDescent="0.2">
      <c r="A36" s="31">
        <v>46187</v>
      </c>
      <c r="B36" s="31">
        <v>46199</v>
      </c>
      <c r="C36" s="32">
        <f t="shared" si="0"/>
        <v>12</v>
      </c>
      <c r="D36" s="33" t="s">
        <v>98</v>
      </c>
      <c r="E36" s="34" t="s">
        <v>99</v>
      </c>
      <c r="F36" s="34" t="s">
        <v>47</v>
      </c>
      <c r="G36" s="34" t="s">
        <v>35</v>
      </c>
      <c r="H36" s="35">
        <v>3231.36</v>
      </c>
      <c r="I36" s="35">
        <f t="shared" si="1"/>
        <v>269.28000000000003</v>
      </c>
      <c r="J36" s="35">
        <f t="shared" si="32"/>
        <v>484.70400000000001</v>
      </c>
      <c r="K36" s="34" t="s">
        <v>36</v>
      </c>
      <c r="L36" s="35">
        <v>0</v>
      </c>
      <c r="M36" s="61">
        <f>IF(H36&lt;&gt;"",H36*0.25,"")</f>
        <v>807.84</v>
      </c>
      <c r="N36" s="35">
        <v>0</v>
      </c>
      <c r="O36" s="89" t="s">
        <v>320</v>
      </c>
      <c r="P36" s="35">
        <v>30</v>
      </c>
      <c r="Q36" s="35"/>
      <c r="R36" s="76" t="s">
        <v>312</v>
      </c>
      <c r="S36" s="30" t="str">
        <f t="shared" si="2"/>
        <v/>
      </c>
      <c r="T36" s="6" t="str">
        <f>IF($D36="Villa Elena",COUNTIF($D$3:$D36,"Villa Elena"),"")</f>
        <v/>
      </c>
      <c r="U36" s="30" t="str">
        <f t="shared" si="3"/>
        <v/>
      </c>
      <c r="V36" s="30" t="str">
        <f t="shared" si="4"/>
        <v/>
      </c>
      <c r="W36" s="30" t="str">
        <f t="shared" si="5"/>
        <v/>
      </c>
      <c r="X36" s="30" t="str">
        <f t="shared" si="6"/>
        <v/>
      </c>
      <c r="Y36" s="30" t="str">
        <f t="shared" si="7"/>
        <v/>
      </c>
      <c r="Z36" s="30" t="str">
        <f t="shared" si="8"/>
        <v/>
      </c>
      <c r="AA36" s="30" t="str">
        <f t="shared" si="9"/>
        <v/>
      </c>
      <c r="AB36" s="30" t="str">
        <f t="shared" si="10"/>
        <v/>
      </c>
      <c r="AC36" s="30" t="str">
        <f t="shared" si="11"/>
        <v/>
      </c>
      <c r="AD36" s="30" t="str">
        <f t="shared" si="12"/>
        <v/>
      </c>
      <c r="AE36" s="30">
        <f t="shared" si="13"/>
        <v>36</v>
      </c>
      <c r="AF36" s="30" t="str">
        <f t="shared" si="14"/>
        <v/>
      </c>
      <c r="AG36" s="30" t="str">
        <f t="shared" si="15"/>
        <v/>
      </c>
      <c r="AH36" s="30" t="str">
        <f t="shared" si="16"/>
        <v/>
      </c>
      <c r="AI36" s="30" t="str">
        <f t="shared" si="17"/>
        <v/>
      </c>
      <c r="AJ36" s="30" t="str">
        <f t="shared" si="18"/>
        <v/>
      </c>
      <c r="AK36" s="30" t="str">
        <f t="shared" si="19"/>
        <v/>
      </c>
      <c r="AL36" s="30" t="str">
        <f t="shared" si="20"/>
        <v/>
      </c>
      <c r="AM36" s="30" t="str">
        <f t="shared" si="21"/>
        <v/>
      </c>
      <c r="AN36" s="30" t="str">
        <f t="shared" si="22"/>
        <v/>
      </c>
      <c r="AO36" s="30" t="str">
        <f t="shared" si="23"/>
        <v/>
      </c>
      <c r="AP36" s="30" t="str">
        <f t="shared" si="24"/>
        <v/>
      </c>
      <c r="AQ36" s="30" t="str">
        <f t="shared" si="25"/>
        <v/>
      </c>
      <c r="AR36" s="30" t="str">
        <f t="shared" si="26"/>
        <v/>
      </c>
      <c r="AS36" s="30" t="str">
        <f t="shared" si="27"/>
        <v/>
      </c>
      <c r="AT36" t="str">
        <f t="shared" si="28"/>
        <v/>
      </c>
      <c r="AU36" t="str">
        <f t="shared" si="29"/>
        <v/>
      </c>
    </row>
    <row r="37" spans="1:47" ht="22" customHeight="1" x14ac:dyDescent="0.2">
      <c r="A37" s="31">
        <v>46193</v>
      </c>
      <c r="B37" s="31">
        <v>46200</v>
      </c>
      <c r="C37" s="32">
        <f t="shared" si="0"/>
        <v>7</v>
      </c>
      <c r="D37" s="33" t="s">
        <v>32</v>
      </c>
      <c r="E37" s="34" t="s">
        <v>100</v>
      </c>
      <c r="F37" s="34" t="s">
        <v>65</v>
      </c>
      <c r="G37" s="34" t="s">
        <v>48</v>
      </c>
      <c r="H37" s="35">
        <v>520</v>
      </c>
      <c r="I37" s="35">
        <f t="shared" si="1"/>
        <v>74.285714285714292</v>
      </c>
      <c r="J37" s="35">
        <v>0</v>
      </c>
      <c r="K37" s="34" t="s">
        <v>42</v>
      </c>
      <c r="L37" s="35">
        <v>4</v>
      </c>
      <c r="M37" s="61">
        <f>IF(H37&lt;&gt;"",H37*0.25,"")</f>
        <v>130</v>
      </c>
      <c r="N37" s="35">
        <v>40</v>
      </c>
      <c r="O37" s="34" t="s">
        <v>71</v>
      </c>
      <c r="P37" s="35">
        <v>20.21</v>
      </c>
      <c r="Q37" s="35"/>
      <c r="R37" s="36" t="s">
        <v>330</v>
      </c>
      <c r="S37" s="30">
        <f t="shared" si="2"/>
        <v>37</v>
      </c>
      <c r="T37" s="6" t="str">
        <f>IF($D37="Villa Elena",COUNTIF($D$3:$D37,"Villa Elena"),"")</f>
        <v/>
      </c>
      <c r="U37" s="30" t="str">
        <f t="shared" si="3"/>
        <v/>
      </c>
      <c r="V37" s="30" t="str">
        <f t="shared" si="4"/>
        <v/>
      </c>
      <c r="W37" s="30" t="str">
        <f t="shared" si="5"/>
        <v/>
      </c>
      <c r="X37" s="30" t="str">
        <f t="shared" si="6"/>
        <v/>
      </c>
      <c r="Y37" s="30" t="str">
        <f t="shared" si="7"/>
        <v/>
      </c>
      <c r="Z37" s="30" t="str">
        <f t="shared" si="8"/>
        <v/>
      </c>
      <c r="AA37" s="30" t="str">
        <f t="shared" si="9"/>
        <v/>
      </c>
      <c r="AB37" s="30" t="str">
        <f t="shared" si="10"/>
        <v/>
      </c>
      <c r="AC37" s="30" t="str">
        <f t="shared" si="11"/>
        <v/>
      </c>
      <c r="AD37" s="30" t="str">
        <f t="shared" si="12"/>
        <v/>
      </c>
      <c r="AE37" s="30" t="str">
        <f t="shared" si="13"/>
        <v/>
      </c>
      <c r="AF37" s="30" t="str">
        <f t="shared" si="14"/>
        <v/>
      </c>
      <c r="AG37" s="30" t="str">
        <f t="shared" si="15"/>
        <v/>
      </c>
      <c r="AH37" s="30" t="str">
        <f t="shared" si="16"/>
        <v/>
      </c>
      <c r="AI37" s="30" t="str">
        <f t="shared" si="17"/>
        <v/>
      </c>
      <c r="AJ37" s="30" t="str">
        <f t="shared" si="18"/>
        <v/>
      </c>
      <c r="AK37" s="30" t="str">
        <f t="shared" si="19"/>
        <v/>
      </c>
      <c r="AL37" s="30" t="str">
        <f t="shared" si="20"/>
        <v/>
      </c>
      <c r="AM37" s="30" t="str">
        <f t="shared" si="21"/>
        <v/>
      </c>
      <c r="AN37" s="30" t="str">
        <f t="shared" si="22"/>
        <v/>
      </c>
      <c r="AO37" s="30" t="str">
        <f t="shared" si="23"/>
        <v/>
      </c>
      <c r="AP37" s="30" t="str">
        <f t="shared" si="24"/>
        <v/>
      </c>
      <c r="AQ37" s="30" t="str">
        <f t="shared" si="25"/>
        <v/>
      </c>
      <c r="AR37" s="30" t="str">
        <f t="shared" si="26"/>
        <v/>
      </c>
      <c r="AS37" s="30" t="str">
        <f t="shared" si="27"/>
        <v/>
      </c>
      <c r="AT37" t="str">
        <f t="shared" si="28"/>
        <v/>
      </c>
      <c r="AU37" t="str">
        <f t="shared" si="29"/>
        <v/>
      </c>
    </row>
    <row r="38" spans="1:47" ht="22" customHeight="1" x14ac:dyDescent="0.2">
      <c r="A38" s="31">
        <v>46194</v>
      </c>
      <c r="B38" s="31">
        <v>46197</v>
      </c>
      <c r="C38" s="32">
        <f t="shared" si="0"/>
        <v>3</v>
      </c>
      <c r="D38" s="33" t="s">
        <v>45</v>
      </c>
      <c r="E38" s="34" t="s">
        <v>313</v>
      </c>
      <c r="F38" s="34" t="s">
        <v>95</v>
      </c>
      <c r="G38" s="34" t="s">
        <v>35</v>
      </c>
      <c r="H38" s="35">
        <v>369.3</v>
      </c>
      <c r="I38" s="35">
        <f t="shared" si="1"/>
        <v>123.10000000000001</v>
      </c>
      <c r="J38" s="35">
        <f>IF(AND(ISNUMBER(SEARCH("booking",G38)),OR(D38="Via San Rocco",D38="Via Cavour")),H38*0.165,IF(ISNUMBER(SEARCH("airbnb",G38)),H38*0.155,IF(ISNUMBER(SEARCH("booking",G38)),H38*0.15,"")))</f>
        <v>55.395000000000003</v>
      </c>
      <c r="K38" s="34" t="s">
        <v>36</v>
      </c>
      <c r="L38" s="35">
        <v>4</v>
      </c>
      <c r="M38" s="61">
        <f>IF(H38&lt;&gt;"",H38*0.25,"")</f>
        <v>92.325000000000003</v>
      </c>
      <c r="N38" s="35">
        <v>20</v>
      </c>
      <c r="O38" s="34" t="s">
        <v>71</v>
      </c>
      <c r="P38" s="35">
        <v>15</v>
      </c>
      <c r="Q38" s="35"/>
      <c r="R38" s="36"/>
      <c r="S38" s="30" t="str">
        <f t="shared" si="2"/>
        <v/>
      </c>
      <c r="T38" s="6">
        <f>IF($D38="Villa Elena",COUNTIF($D$3:$D38,"Villa Elena"),"")</f>
        <v>6</v>
      </c>
      <c r="U38" s="30" t="str">
        <f t="shared" si="3"/>
        <v/>
      </c>
      <c r="V38" s="30" t="str">
        <f t="shared" si="4"/>
        <v/>
      </c>
      <c r="W38" s="30" t="str">
        <f t="shared" si="5"/>
        <v/>
      </c>
      <c r="X38" s="30" t="str">
        <f t="shared" si="6"/>
        <v/>
      </c>
      <c r="Y38" s="30" t="str">
        <f t="shared" si="7"/>
        <v/>
      </c>
      <c r="Z38" s="30" t="str">
        <f t="shared" si="8"/>
        <v/>
      </c>
      <c r="AA38" s="30" t="str">
        <f t="shared" si="9"/>
        <v/>
      </c>
      <c r="AB38" s="30" t="str">
        <f t="shared" si="10"/>
        <v/>
      </c>
      <c r="AC38" s="30" t="str">
        <f t="shared" si="11"/>
        <v/>
      </c>
      <c r="AD38" s="30" t="str">
        <f t="shared" si="12"/>
        <v/>
      </c>
      <c r="AE38" s="30" t="str">
        <f t="shared" si="13"/>
        <v/>
      </c>
      <c r="AF38" s="30">
        <f t="shared" si="14"/>
        <v>38</v>
      </c>
      <c r="AG38" s="30" t="str">
        <f t="shared" si="15"/>
        <v/>
      </c>
      <c r="AH38" s="30" t="str">
        <f t="shared" si="16"/>
        <v/>
      </c>
      <c r="AI38" s="30" t="str">
        <f t="shared" si="17"/>
        <v/>
      </c>
      <c r="AJ38" s="30" t="str">
        <f t="shared" si="18"/>
        <v/>
      </c>
      <c r="AK38" s="30" t="str">
        <f t="shared" si="19"/>
        <v/>
      </c>
      <c r="AL38" s="30" t="str">
        <f t="shared" si="20"/>
        <v/>
      </c>
      <c r="AM38" s="30" t="str">
        <f t="shared" si="21"/>
        <v/>
      </c>
      <c r="AN38" s="30" t="str">
        <f t="shared" si="22"/>
        <v/>
      </c>
      <c r="AO38" s="30" t="str">
        <f t="shared" si="23"/>
        <v/>
      </c>
      <c r="AP38" s="30" t="str">
        <f t="shared" si="24"/>
        <v/>
      </c>
      <c r="AQ38" s="30" t="str">
        <f t="shared" si="25"/>
        <v/>
      </c>
      <c r="AR38" s="30" t="str">
        <f t="shared" si="26"/>
        <v/>
      </c>
      <c r="AS38" s="30" t="str">
        <f t="shared" si="27"/>
        <v/>
      </c>
      <c r="AT38" t="str">
        <f t="shared" si="28"/>
        <v/>
      </c>
      <c r="AU38" t="str">
        <f t="shared" si="29"/>
        <v/>
      </c>
    </row>
    <row r="39" spans="1:47" ht="22" customHeight="1" x14ac:dyDescent="0.2">
      <c r="A39" s="31">
        <v>46197</v>
      </c>
      <c r="B39" s="31">
        <v>46203</v>
      </c>
      <c r="C39" s="32">
        <f t="shared" si="0"/>
        <v>6</v>
      </c>
      <c r="D39" s="33" t="s">
        <v>69</v>
      </c>
      <c r="E39" s="34" t="s">
        <v>318</v>
      </c>
      <c r="F39" s="34" t="s">
        <v>95</v>
      </c>
      <c r="G39" s="34" t="s">
        <v>35</v>
      </c>
      <c r="H39" s="35">
        <v>594.27</v>
      </c>
      <c r="I39" s="35">
        <f t="shared" si="1"/>
        <v>99.045000000000002</v>
      </c>
      <c r="J39" s="35">
        <f>IF(AND(ISNUMBER(SEARCH("booking",G39)),OR(D39="Via San Rocco",D39="Via Cavour")),H39*0.165,IF(ISNUMBER(SEARCH("airbnb",G39)),H39*0.155,IF(ISNUMBER(SEARCH("booking",G39)),H39*0.15,"")))</f>
        <v>89.140499999999989</v>
      </c>
      <c r="K39" s="34" t="s">
        <v>49</v>
      </c>
      <c r="L39" s="35">
        <v>12</v>
      </c>
      <c r="M39" s="61">
        <f>IF(H39&lt;&gt;"",H39*0.25,"")</f>
        <v>148.5675</v>
      </c>
      <c r="N39" s="35">
        <v>10</v>
      </c>
      <c r="O39" s="34" t="s">
        <v>71</v>
      </c>
      <c r="P39" s="35">
        <v>20.04</v>
      </c>
      <c r="Q39" s="35"/>
      <c r="R39" s="36"/>
      <c r="S39" s="30" t="str">
        <f t="shared" si="2"/>
        <v/>
      </c>
      <c r="T39" s="6" t="str">
        <f>IF($D39="Villa Elena",COUNTIF($D$3:$D39,"Villa Elena"),"")</f>
        <v/>
      </c>
      <c r="U39" s="30" t="str">
        <f t="shared" si="3"/>
        <v/>
      </c>
      <c r="V39" s="30" t="str">
        <f t="shared" si="4"/>
        <v/>
      </c>
      <c r="W39" s="30" t="str">
        <f t="shared" si="5"/>
        <v/>
      </c>
      <c r="X39" s="30" t="str">
        <f t="shared" si="6"/>
        <v/>
      </c>
      <c r="Y39" s="30" t="str">
        <f t="shared" si="7"/>
        <v/>
      </c>
      <c r="Z39" s="30">
        <f t="shared" si="8"/>
        <v>39</v>
      </c>
      <c r="AA39" s="30" t="str">
        <f t="shared" si="9"/>
        <v/>
      </c>
      <c r="AB39" s="30" t="str">
        <f t="shared" si="10"/>
        <v/>
      </c>
      <c r="AC39" s="30" t="str">
        <f t="shared" si="11"/>
        <v/>
      </c>
      <c r="AD39" s="30" t="str">
        <f t="shared" si="12"/>
        <v/>
      </c>
      <c r="AE39" s="30" t="str">
        <f t="shared" si="13"/>
        <v/>
      </c>
      <c r="AF39" s="30" t="str">
        <f t="shared" si="14"/>
        <v/>
      </c>
      <c r="AG39" s="30" t="str">
        <f t="shared" si="15"/>
        <v/>
      </c>
      <c r="AH39" s="30" t="str">
        <f t="shared" si="16"/>
        <v/>
      </c>
      <c r="AI39" s="30" t="str">
        <f t="shared" si="17"/>
        <v/>
      </c>
      <c r="AJ39" s="30" t="str">
        <f t="shared" si="18"/>
        <v/>
      </c>
      <c r="AK39" s="30" t="str">
        <f t="shared" si="19"/>
        <v/>
      </c>
      <c r="AL39" s="30" t="str">
        <f t="shared" si="20"/>
        <v/>
      </c>
      <c r="AM39" s="30" t="str">
        <f t="shared" si="21"/>
        <v/>
      </c>
      <c r="AN39" s="30" t="str">
        <f t="shared" si="22"/>
        <v/>
      </c>
      <c r="AO39" s="30" t="str">
        <f t="shared" si="23"/>
        <v/>
      </c>
      <c r="AP39" s="30" t="str">
        <f t="shared" si="24"/>
        <v/>
      </c>
      <c r="AQ39" s="30" t="str">
        <f t="shared" si="25"/>
        <v/>
      </c>
      <c r="AR39" s="30" t="str">
        <f t="shared" si="26"/>
        <v/>
      </c>
      <c r="AS39" s="30" t="str">
        <f t="shared" si="27"/>
        <v/>
      </c>
      <c r="AT39" t="str">
        <f t="shared" si="28"/>
        <v/>
      </c>
      <c r="AU39" t="str">
        <f t="shared" si="29"/>
        <v/>
      </c>
    </row>
    <row r="40" spans="1:47" ht="22" customHeight="1" x14ac:dyDescent="0.2">
      <c r="A40" s="31">
        <v>46199</v>
      </c>
      <c r="B40" s="31">
        <v>46202</v>
      </c>
      <c r="C40" s="32">
        <f t="shared" si="0"/>
        <v>3</v>
      </c>
      <c r="D40" s="33" t="s">
        <v>60</v>
      </c>
      <c r="E40" s="34" t="s">
        <v>102</v>
      </c>
      <c r="F40" s="34" t="s">
        <v>83</v>
      </c>
      <c r="G40" s="34"/>
      <c r="H40" s="35">
        <v>350</v>
      </c>
      <c r="I40" s="35">
        <f t="shared" si="1"/>
        <v>116.66666666666667</v>
      </c>
      <c r="J40" s="35" t="str">
        <f>IF(AND(ISNUMBER(SEARCH("booking",G40)),OR(D40="Via San Rocco",D40="Via Cavour")),H40*0.165,IF(ISNUMBER(SEARCH("airbnb",G40)),H40*0.155,IF(ISNUMBER(SEARCH("booking",G40)),H40*0.15,"")))</f>
        <v/>
      </c>
      <c r="K40" s="34"/>
      <c r="L40" s="35">
        <v>0</v>
      </c>
      <c r="M40" s="61">
        <f>IF(H40&lt;&gt;"",H40*0.1,"")</f>
        <v>35</v>
      </c>
      <c r="N40" s="35"/>
      <c r="O40" s="34"/>
      <c r="P40" s="35"/>
      <c r="Q40" s="35"/>
      <c r="R40" s="36" t="s">
        <v>103</v>
      </c>
      <c r="S40" s="30" t="str">
        <f t="shared" si="2"/>
        <v/>
      </c>
      <c r="T40" s="6" t="str">
        <f>IF($D40="Villa Elena",COUNTIF($D$3:$D40,"Villa Elena"),"")</f>
        <v/>
      </c>
      <c r="U40" s="30" t="str">
        <f t="shared" si="3"/>
        <v/>
      </c>
      <c r="V40" s="30" t="str">
        <f t="shared" si="4"/>
        <v/>
      </c>
      <c r="W40" s="30" t="str">
        <f t="shared" si="5"/>
        <v/>
      </c>
      <c r="X40" s="30" t="str">
        <f t="shared" si="6"/>
        <v/>
      </c>
      <c r="Y40" s="30" t="str">
        <f t="shared" si="7"/>
        <v/>
      </c>
      <c r="Z40" s="30" t="str">
        <f t="shared" si="8"/>
        <v/>
      </c>
      <c r="AA40" s="30" t="str">
        <f t="shared" si="9"/>
        <v/>
      </c>
      <c r="AB40" s="30" t="str">
        <f t="shared" si="10"/>
        <v/>
      </c>
      <c r="AC40" s="30" t="str">
        <f t="shared" si="11"/>
        <v/>
      </c>
      <c r="AD40" s="30" t="str">
        <f t="shared" si="12"/>
        <v/>
      </c>
      <c r="AE40" s="30" t="str">
        <f t="shared" si="13"/>
        <v/>
      </c>
      <c r="AF40" s="30" t="str">
        <f t="shared" si="14"/>
        <v/>
      </c>
      <c r="AG40" s="30" t="str">
        <f t="shared" si="15"/>
        <v/>
      </c>
      <c r="AH40" s="30" t="str">
        <f t="shared" si="16"/>
        <v/>
      </c>
      <c r="AI40" s="30" t="str">
        <f t="shared" si="17"/>
        <v/>
      </c>
      <c r="AJ40" s="30" t="str">
        <f t="shared" si="18"/>
        <v/>
      </c>
      <c r="AK40" s="30" t="str">
        <f t="shared" si="19"/>
        <v/>
      </c>
      <c r="AL40" s="30">
        <f t="shared" si="20"/>
        <v>40</v>
      </c>
      <c r="AM40" s="30" t="str">
        <f t="shared" si="21"/>
        <v/>
      </c>
      <c r="AN40" s="30" t="str">
        <f t="shared" si="22"/>
        <v/>
      </c>
      <c r="AO40" s="30" t="str">
        <f t="shared" si="23"/>
        <v/>
      </c>
      <c r="AP40" s="30" t="str">
        <f t="shared" si="24"/>
        <v/>
      </c>
      <c r="AQ40" s="30" t="str">
        <f t="shared" si="25"/>
        <v/>
      </c>
      <c r="AR40" s="30" t="str">
        <f t="shared" si="26"/>
        <v/>
      </c>
      <c r="AS40" s="30" t="str">
        <f t="shared" si="27"/>
        <v/>
      </c>
      <c r="AT40" t="str">
        <f t="shared" si="28"/>
        <v/>
      </c>
      <c r="AU40" t="str">
        <f t="shared" si="29"/>
        <v/>
      </c>
    </row>
    <row r="41" spans="1:47" ht="22" customHeight="1" x14ac:dyDescent="0.2">
      <c r="A41" s="31">
        <v>46201</v>
      </c>
      <c r="B41" s="31">
        <v>46211</v>
      </c>
      <c r="C41" s="32">
        <f t="shared" si="0"/>
        <v>10</v>
      </c>
      <c r="D41" s="33" t="s">
        <v>93</v>
      </c>
      <c r="E41" s="34" t="s">
        <v>104</v>
      </c>
      <c r="F41" s="34" t="s">
        <v>34</v>
      </c>
      <c r="G41" s="34" t="s">
        <v>35</v>
      </c>
      <c r="H41" s="35">
        <v>1056.78</v>
      </c>
      <c r="I41" s="35">
        <f t="shared" si="1"/>
        <v>105.678</v>
      </c>
      <c r="J41" s="35">
        <f>IF(AND(ISNUMBER(SEARCH("booking",G41)),OR(D41="Via San Rocco",D41="Via Cavour")),H41*0.165,IF(ISNUMBER(SEARCH("airbnb",G41)),H41*0.155,IF(ISNUMBER(SEARCH("booking",G41)),H41*0.15,"")))</f>
        <v>158.517</v>
      </c>
      <c r="K41" s="34" t="s">
        <v>36</v>
      </c>
      <c r="L41" s="35">
        <v>10</v>
      </c>
      <c r="M41" s="61">
        <f t="shared" ref="M41:M47" si="33">IF(H41&lt;&gt;"",H41*0.25,"")</f>
        <v>264.19499999999999</v>
      </c>
      <c r="N41" s="35">
        <v>10</v>
      </c>
      <c r="O41" s="34" t="s">
        <v>71</v>
      </c>
      <c r="P41" s="35">
        <v>10.38</v>
      </c>
      <c r="Q41" s="35"/>
      <c r="R41" s="36"/>
      <c r="S41" s="30" t="str">
        <f t="shared" si="2"/>
        <v/>
      </c>
      <c r="T41" s="6" t="str">
        <f>IF($D41="Villa Elena",COUNTIF($D$3:$D41,"Villa Elena"),"")</f>
        <v/>
      </c>
      <c r="U41" s="30">
        <f t="shared" si="3"/>
        <v>41</v>
      </c>
      <c r="V41" s="30" t="str">
        <f t="shared" si="4"/>
        <v/>
      </c>
      <c r="W41" s="30" t="str">
        <f t="shared" si="5"/>
        <v/>
      </c>
      <c r="X41" s="30" t="str">
        <f t="shared" si="6"/>
        <v/>
      </c>
      <c r="Y41" s="30" t="str">
        <f t="shared" si="7"/>
        <v/>
      </c>
      <c r="Z41" s="30" t="str">
        <f t="shared" si="8"/>
        <v/>
      </c>
      <c r="AA41" s="30" t="str">
        <f t="shared" si="9"/>
        <v/>
      </c>
      <c r="AB41" s="30" t="str">
        <f t="shared" si="10"/>
        <v/>
      </c>
      <c r="AC41" s="30" t="str">
        <f t="shared" si="11"/>
        <v/>
      </c>
      <c r="AD41" s="30" t="str">
        <f t="shared" si="12"/>
        <v/>
      </c>
      <c r="AE41" s="30" t="str">
        <f t="shared" si="13"/>
        <v/>
      </c>
      <c r="AF41" s="30" t="str">
        <f t="shared" si="14"/>
        <v/>
      </c>
      <c r="AG41" s="30" t="str">
        <f t="shared" si="15"/>
        <v/>
      </c>
      <c r="AH41" s="30" t="str">
        <f t="shared" si="16"/>
        <v/>
      </c>
      <c r="AI41" s="30" t="str">
        <f t="shared" si="17"/>
        <v/>
      </c>
      <c r="AJ41" s="30" t="str">
        <f t="shared" si="18"/>
        <v/>
      </c>
      <c r="AK41" s="30" t="str">
        <f t="shared" si="19"/>
        <v/>
      </c>
      <c r="AL41" s="30" t="str">
        <f t="shared" si="20"/>
        <v/>
      </c>
      <c r="AM41" s="30" t="str">
        <f t="shared" si="21"/>
        <v/>
      </c>
      <c r="AN41" s="30" t="str">
        <f t="shared" si="22"/>
        <v/>
      </c>
      <c r="AO41" s="30" t="str">
        <f t="shared" si="23"/>
        <v/>
      </c>
      <c r="AP41" s="30" t="str">
        <f t="shared" si="24"/>
        <v/>
      </c>
      <c r="AQ41" s="30" t="str">
        <f t="shared" si="25"/>
        <v/>
      </c>
      <c r="AR41" s="30" t="str">
        <f t="shared" si="26"/>
        <v/>
      </c>
      <c r="AS41" s="30" t="str">
        <f t="shared" si="27"/>
        <v/>
      </c>
      <c r="AT41" t="str">
        <f t="shared" si="28"/>
        <v/>
      </c>
      <c r="AU41" t="str">
        <f t="shared" si="29"/>
        <v/>
      </c>
    </row>
    <row r="42" spans="1:47" ht="22" customHeight="1" x14ac:dyDescent="0.2">
      <c r="A42" s="31">
        <v>46206</v>
      </c>
      <c r="B42" s="31">
        <v>46213</v>
      </c>
      <c r="C42" s="32">
        <f t="shared" si="0"/>
        <v>7</v>
      </c>
      <c r="D42" s="33" t="s">
        <v>98</v>
      </c>
      <c r="E42" s="34" t="s">
        <v>105</v>
      </c>
      <c r="F42" s="34" t="s">
        <v>106</v>
      </c>
      <c r="G42" s="34" t="s">
        <v>48</v>
      </c>
      <c r="H42" s="35">
        <v>2859.5</v>
      </c>
      <c r="I42" s="35">
        <f t="shared" si="1"/>
        <v>408.5</v>
      </c>
      <c r="J42" s="35">
        <v>0</v>
      </c>
      <c r="K42" s="34" t="s">
        <v>67</v>
      </c>
      <c r="L42" s="35">
        <v>0</v>
      </c>
      <c r="M42" s="61">
        <f t="shared" si="33"/>
        <v>714.875</v>
      </c>
      <c r="N42" s="35">
        <v>40</v>
      </c>
      <c r="O42" s="34" t="s">
        <v>71</v>
      </c>
      <c r="P42" s="35">
        <v>43</v>
      </c>
      <c r="Q42" s="35"/>
      <c r="R42" s="76" t="s">
        <v>310</v>
      </c>
      <c r="S42" s="30" t="str">
        <f t="shared" si="2"/>
        <v/>
      </c>
      <c r="T42" s="6" t="str">
        <f>IF($D42="Villa Elena",COUNTIF($D$3:$D42,"Villa Elena"),"")</f>
        <v/>
      </c>
      <c r="U42" s="30" t="str">
        <f t="shared" si="3"/>
        <v/>
      </c>
      <c r="V42" s="30" t="str">
        <f t="shared" si="4"/>
        <v/>
      </c>
      <c r="W42" s="30" t="str">
        <f t="shared" si="5"/>
        <v/>
      </c>
      <c r="X42" s="30" t="str">
        <f t="shared" si="6"/>
        <v/>
      </c>
      <c r="Y42" s="30" t="str">
        <f t="shared" si="7"/>
        <v/>
      </c>
      <c r="Z42" s="30" t="str">
        <f t="shared" si="8"/>
        <v/>
      </c>
      <c r="AA42" s="30" t="str">
        <f t="shared" si="9"/>
        <v/>
      </c>
      <c r="AB42" s="30" t="str">
        <f t="shared" si="10"/>
        <v/>
      </c>
      <c r="AC42" s="30" t="str">
        <f t="shared" si="11"/>
        <v/>
      </c>
      <c r="AD42" s="30" t="str">
        <f t="shared" si="12"/>
        <v/>
      </c>
      <c r="AE42" s="30">
        <f t="shared" si="13"/>
        <v>42</v>
      </c>
      <c r="AF42" s="30" t="str">
        <f t="shared" si="14"/>
        <v/>
      </c>
      <c r="AG42" s="30" t="str">
        <f t="shared" si="15"/>
        <v/>
      </c>
      <c r="AH42" s="30" t="str">
        <f t="shared" si="16"/>
        <v/>
      </c>
      <c r="AI42" s="30" t="str">
        <f t="shared" si="17"/>
        <v/>
      </c>
      <c r="AJ42" s="30" t="str">
        <f t="shared" si="18"/>
        <v/>
      </c>
      <c r="AK42" s="30" t="str">
        <f t="shared" si="19"/>
        <v/>
      </c>
      <c r="AL42" s="30" t="str">
        <f t="shared" si="20"/>
        <v/>
      </c>
      <c r="AM42" s="30" t="str">
        <f t="shared" si="21"/>
        <v/>
      </c>
      <c r="AN42" s="30" t="str">
        <f t="shared" si="22"/>
        <v/>
      </c>
      <c r="AO42" s="30" t="str">
        <f t="shared" si="23"/>
        <v/>
      </c>
      <c r="AP42" s="30" t="str">
        <f t="shared" si="24"/>
        <v/>
      </c>
      <c r="AQ42" s="30" t="str">
        <f t="shared" si="25"/>
        <v/>
      </c>
      <c r="AR42" s="30" t="str">
        <f t="shared" si="26"/>
        <v/>
      </c>
      <c r="AS42" s="30" t="str">
        <f t="shared" si="27"/>
        <v/>
      </c>
      <c r="AT42" t="str">
        <f t="shared" si="28"/>
        <v/>
      </c>
      <c r="AU42" t="str">
        <f t="shared" si="29"/>
        <v/>
      </c>
    </row>
    <row r="43" spans="1:47" ht="22" customHeight="1" x14ac:dyDescent="0.2">
      <c r="A43" s="31">
        <v>46207</v>
      </c>
      <c r="B43" s="31">
        <v>46214</v>
      </c>
      <c r="C43" s="32">
        <f t="shared" si="0"/>
        <v>7</v>
      </c>
      <c r="D43" s="33" t="s">
        <v>96</v>
      </c>
      <c r="E43" s="34" t="s">
        <v>107</v>
      </c>
      <c r="F43" s="34" t="s">
        <v>34</v>
      </c>
      <c r="G43" s="34" t="s">
        <v>35</v>
      </c>
      <c r="H43" s="35">
        <v>585.22</v>
      </c>
      <c r="I43" s="35">
        <f t="shared" si="1"/>
        <v>83.602857142857147</v>
      </c>
      <c r="J43" s="35">
        <f>IF(AND(ISNUMBER(SEARCH("booking",G43)),OR(D43="Via San Rocco",D43="Via Cavour")),H43*0.165,IF(ISNUMBER(SEARCH("airbnb",G43)),H43*0.155,IF(ISNUMBER(SEARCH("booking",G43)),H43*0.15,"")))</f>
        <v>87.783000000000001</v>
      </c>
      <c r="K43" s="34" t="s">
        <v>367</v>
      </c>
      <c r="L43" s="35">
        <v>21</v>
      </c>
      <c r="M43" s="61">
        <f t="shared" si="33"/>
        <v>146.30500000000001</v>
      </c>
      <c r="N43" s="35">
        <v>20</v>
      </c>
      <c r="O43" s="34" t="s">
        <v>71</v>
      </c>
      <c r="P43" s="35">
        <v>21.69</v>
      </c>
      <c r="Q43" s="35"/>
      <c r="R43" s="36" t="s">
        <v>343</v>
      </c>
      <c r="S43" s="30" t="str">
        <f t="shared" si="2"/>
        <v/>
      </c>
      <c r="T43" s="6" t="str">
        <f>IF($D43="Villa Elena",COUNTIF($D$3:$D43,"Villa Elena"),"")</f>
        <v/>
      </c>
      <c r="U43" s="30" t="str">
        <f t="shared" si="3"/>
        <v/>
      </c>
      <c r="V43" s="30" t="str">
        <f t="shared" si="4"/>
        <v/>
      </c>
      <c r="W43" s="30" t="str">
        <f t="shared" si="5"/>
        <v/>
      </c>
      <c r="X43" s="30" t="str">
        <f t="shared" si="6"/>
        <v/>
      </c>
      <c r="Y43" s="30">
        <f t="shared" si="7"/>
        <v>43</v>
      </c>
      <c r="Z43" s="30" t="str">
        <f t="shared" si="8"/>
        <v/>
      </c>
      <c r="AA43" s="30" t="str">
        <f t="shared" si="9"/>
        <v/>
      </c>
      <c r="AB43" s="30" t="str">
        <f t="shared" si="10"/>
        <v/>
      </c>
      <c r="AC43" s="30" t="str">
        <f t="shared" si="11"/>
        <v/>
      </c>
      <c r="AD43" s="30" t="str">
        <f t="shared" si="12"/>
        <v/>
      </c>
      <c r="AE43" s="30" t="str">
        <f t="shared" si="13"/>
        <v/>
      </c>
      <c r="AF43" s="30" t="str">
        <f t="shared" si="14"/>
        <v/>
      </c>
      <c r="AG43" s="30" t="str">
        <f t="shared" si="15"/>
        <v/>
      </c>
      <c r="AH43" s="30" t="str">
        <f t="shared" si="16"/>
        <v/>
      </c>
      <c r="AI43" s="30" t="str">
        <f t="shared" si="17"/>
        <v/>
      </c>
      <c r="AJ43" s="30" t="str">
        <f t="shared" si="18"/>
        <v/>
      </c>
      <c r="AK43" s="30" t="str">
        <f t="shared" si="19"/>
        <v/>
      </c>
      <c r="AL43" s="30" t="str">
        <f t="shared" si="20"/>
        <v/>
      </c>
      <c r="AM43" s="30" t="str">
        <f t="shared" si="21"/>
        <v/>
      </c>
      <c r="AN43" s="30" t="str">
        <f t="shared" si="22"/>
        <v/>
      </c>
      <c r="AO43" s="30" t="str">
        <f t="shared" si="23"/>
        <v/>
      </c>
      <c r="AP43" s="30" t="str">
        <f t="shared" si="24"/>
        <v/>
      </c>
      <c r="AQ43" s="30" t="str">
        <f t="shared" si="25"/>
        <v/>
      </c>
      <c r="AR43" s="30" t="str">
        <f t="shared" si="26"/>
        <v/>
      </c>
      <c r="AS43" s="30" t="str">
        <f t="shared" si="27"/>
        <v/>
      </c>
      <c r="AT43" t="str">
        <f t="shared" si="28"/>
        <v/>
      </c>
      <c r="AU43" t="str">
        <f t="shared" si="29"/>
        <v/>
      </c>
    </row>
    <row r="44" spans="1:47" ht="22" customHeight="1" x14ac:dyDescent="0.2">
      <c r="A44" s="31">
        <v>46207</v>
      </c>
      <c r="B44" s="31">
        <v>46222</v>
      </c>
      <c r="C44" s="32">
        <f t="shared" si="0"/>
        <v>15</v>
      </c>
      <c r="D44" s="33" t="s">
        <v>32</v>
      </c>
      <c r="E44" s="34" t="s">
        <v>108</v>
      </c>
      <c r="F44" s="34" t="s">
        <v>78</v>
      </c>
      <c r="G44" s="34" t="s">
        <v>35</v>
      </c>
      <c r="H44" s="35">
        <v>2793.19</v>
      </c>
      <c r="I44" s="35">
        <f t="shared" si="1"/>
        <v>186.21266666666668</v>
      </c>
      <c r="J44" s="35">
        <f>IF(AND(ISNUMBER(SEARCH("booking",G44)),OR(D44="Via San Rocco",D44="Via Cavour")),H44*0.165,IF(ISNUMBER(SEARCH("airbnb",G44)),H44*0.155,IF(ISNUMBER(SEARCH("booking",G44)),H44*0.15,"")))</f>
        <v>418.9785</v>
      </c>
      <c r="K44" s="34"/>
      <c r="L44" s="35">
        <v>8</v>
      </c>
      <c r="M44" s="61">
        <f t="shared" si="33"/>
        <v>698.29750000000001</v>
      </c>
      <c r="N44" s="35">
        <v>30</v>
      </c>
      <c r="O44" s="34" t="s">
        <v>71</v>
      </c>
      <c r="P44" s="35">
        <v>32.07</v>
      </c>
      <c r="Q44" s="35"/>
      <c r="R44" s="76" t="s">
        <v>109</v>
      </c>
      <c r="S44" s="30">
        <f t="shared" si="2"/>
        <v>44</v>
      </c>
      <c r="T44" s="6" t="str">
        <f>IF($D44="Villa Elena",COUNTIF($D$3:$D44,"Villa Elena"),"")</f>
        <v/>
      </c>
      <c r="U44" s="30" t="str">
        <f t="shared" si="3"/>
        <v/>
      </c>
      <c r="V44" s="30" t="str">
        <f t="shared" si="4"/>
        <v/>
      </c>
      <c r="W44" s="30" t="str">
        <f t="shared" si="5"/>
        <v/>
      </c>
      <c r="X44" s="30" t="str">
        <f t="shared" si="6"/>
        <v/>
      </c>
      <c r="Y44" s="30" t="str">
        <f t="shared" si="7"/>
        <v/>
      </c>
      <c r="Z44" s="30" t="str">
        <f t="shared" si="8"/>
        <v/>
      </c>
      <c r="AA44" s="30" t="str">
        <f t="shared" si="9"/>
        <v/>
      </c>
      <c r="AB44" s="30" t="str">
        <f t="shared" si="10"/>
        <v/>
      </c>
      <c r="AC44" s="30" t="str">
        <f t="shared" si="11"/>
        <v/>
      </c>
      <c r="AD44" s="30" t="str">
        <f t="shared" si="12"/>
        <v/>
      </c>
      <c r="AE44" s="30" t="str">
        <f t="shared" si="13"/>
        <v/>
      </c>
      <c r="AF44" s="30" t="str">
        <f t="shared" si="14"/>
        <v/>
      </c>
      <c r="AG44" s="30" t="str">
        <f t="shared" si="15"/>
        <v/>
      </c>
      <c r="AH44" s="30" t="str">
        <f t="shared" si="16"/>
        <v/>
      </c>
      <c r="AI44" s="30" t="str">
        <f t="shared" si="17"/>
        <v/>
      </c>
      <c r="AJ44" s="30" t="str">
        <f t="shared" si="18"/>
        <v/>
      </c>
      <c r="AK44" s="30" t="str">
        <f t="shared" si="19"/>
        <v/>
      </c>
      <c r="AL44" s="30" t="str">
        <f t="shared" si="20"/>
        <v/>
      </c>
      <c r="AM44" s="30" t="str">
        <f t="shared" si="21"/>
        <v/>
      </c>
      <c r="AN44" s="30" t="str">
        <f t="shared" si="22"/>
        <v/>
      </c>
      <c r="AO44" s="30" t="str">
        <f t="shared" si="23"/>
        <v/>
      </c>
      <c r="AP44" s="30" t="str">
        <f t="shared" si="24"/>
        <v/>
      </c>
      <c r="AQ44" s="30" t="str">
        <f t="shared" si="25"/>
        <v/>
      </c>
      <c r="AR44" s="30" t="str">
        <f t="shared" si="26"/>
        <v/>
      </c>
      <c r="AS44" s="30" t="str">
        <f t="shared" si="27"/>
        <v/>
      </c>
      <c r="AT44" t="str">
        <f t="shared" si="28"/>
        <v/>
      </c>
      <c r="AU44" t="str">
        <f t="shared" si="29"/>
        <v/>
      </c>
    </row>
    <row r="45" spans="1:47" ht="22" customHeight="1" x14ac:dyDescent="0.2">
      <c r="A45" s="31">
        <v>46207</v>
      </c>
      <c r="B45" s="31">
        <v>46214</v>
      </c>
      <c r="C45" s="32">
        <f t="shared" si="0"/>
        <v>7</v>
      </c>
      <c r="D45" s="33" t="s">
        <v>306</v>
      </c>
      <c r="E45" s="34" t="s">
        <v>327</v>
      </c>
      <c r="F45" s="34" t="s">
        <v>328</v>
      </c>
      <c r="G45" s="34" t="s">
        <v>35</v>
      </c>
      <c r="H45" s="35">
        <v>933.72</v>
      </c>
      <c r="I45" s="35">
        <f t="shared" si="1"/>
        <v>133.38857142857142</v>
      </c>
      <c r="J45" s="35">
        <f>IF(AND(ISNUMBER(SEARCH("booking",G45)),OR(D45="Via San Rocco",D45="Via Cavour")),H45*0.165,IF(ISNUMBER(SEARCH("airbnb",G45)),H45*0.155,IF(ISNUMBER(SEARCH("booking",G45)),H45*0.15,"")))</f>
        <v>140.05799999999999</v>
      </c>
      <c r="K45" s="34"/>
      <c r="L45" s="35">
        <v>35</v>
      </c>
      <c r="M45" s="61">
        <f t="shared" si="33"/>
        <v>233.43</v>
      </c>
      <c r="N45" s="35">
        <v>80</v>
      </c>
      <c r="O45" s="34" t="s">
        <v>71</v>
      </c>
      <c r="P45" s="35">
        <v>29.38</v>
      </c>
      <c r="Q45" s="35"/>
      <c r="R45" s="36"/>
      <c r="S45" s="30" t="str">
        <f t="shared" si="2"/>
        <v/>
      </c>
      <c r="T45" s="6" t="str">
        <f>IF($D45="Villa Elena",COUNTIF($D$3:$D45,"Villa Elena"),"")</f>
        <v/>
      </c>
      <c r="U45" s="30" t="str">
        <f t="shared" si="3"/>
        <v/>
      </c>
      <c r="V45" s="30" t="str">
        <f t="shared" si="4"/>
        <v/>
      </c>
      <c r="W45" s="30" t="str">
        <f t="shared" si="5"/>
        <v/>
      </c>
      <c r="X45" s="30" t="str">
        <f t="shared" si="6"/>
        <v/>
      </c>
      <c r="Y45" s="30" t="str">
        <f t="shared" si="7"/>
        <v/>
      </c>
      <c r="Z45" s="30" t="str">
        <f t="shared" si="8"/>
        <v/>
      </c>
      <c r="AA45" s="30" t="str">
        <f t="shared" si="9"/>
        <v/>
      </c>
      <c r="AB45" s="30" t="str">
        <f t="shared" si="10"/>
        <v/>
      </c>
      <c r="AC45" s="30">
        <f t="shared" si="11"/>
        <v>45</v>
      </c>
      <c r="AD45" s="30" t="str">
        <f t="shared" si="12"/>
        <v/>
      </c>
      <c r="AE45" s="30" t="str">
        <f t="shared" si="13"/>
        <v/>
      </c>
      <c r="AF45" s="30" t="str">
        <f t="shared" si="14"/>
        <v/>
      </c>
      <c r="AG45" s="30" t="str">
        <f t="shared" si="15"/>
        <v/>
      </c>
      <c r="AH45" s="30" t="str">
        <f t="shared" si="16"/>
        <v/>
      </c>
      <c r="AI45" s="30" t="str">
        <f t="shared" si="17"/>
        <v/>
      </c>
      <c r="AJ45" s="30" t="str">
        <f t="shared" si="18"/>
        <v/>
      </c>
      <c r="AK45" s="30" t="str">
        <f t="shared" si="19"/>
        <v/>
      </c>
      <c r="AL45" s="30" t="str">
        <f t="shared" si="20"/>
        <v/>
      </c>
      <c r="AM45" s="30" t="str">
        <f t="shared" si="21"/>
        <v/>
      </c>
      <c r="AN45" s="30" t="str">
        <f t="shared" si="22"/>
        <v/>
      </c>
      <c r="AO45" s="30" t="str">
        <f t="shared" si="23"/>
        <v/>
      </c>
      <c r="AP45" s="30" t="str">
        <f t="shared" si="24"/>
        <v/>
      </c>
      <c r="AQ45" s="30" t="str">
        <f t="shared" si="25"/>
        <v/>
      </c>
      <c r="AR45" s="30" t="str">
        <f t="shared" si="26"/>
        <v/>
      </c>
      <c r="AS45" s="30" t="str">
        <f t="shared" si="27"/>
        <v/>
      </c>
      <c r="AT45" t="str">
        <f t="shared" si="28"/>
        <v/>
      </c>
      <c r="AU45" t="str">
        <f t="shared" si="29"/>
        <v/>
      </c>
    </row>
    <row r="46" spans="1:47" ht="22" customHeight="1" x14ac:dyDescent="0.2">
      <c r="A46" s="31">
        <v>46207</v>
      </c>
      <c r="B46" s="31">
        <v>46214</v>
      </c>
      <c r="C46" s="32">
        <f t="shared" si="0"/>
        <v>7</v>
      </c>
      <c r="D46" s="33" t="s">
        <v>96</v>
      </c>
      <c r="E46" s="34" t="s">
        <v>107</v>
      </c>
      <c r="F46" s="34" t="s">
        <v>41</v>
      </c>
      <c r="G46" s="34" t="s">
        <v>48</v>
      </c>
      <c r="H46" s="35">
        <v>210</v>
      </c>
      <c r="I46" s="35">
        <f t="shared" si="1"/>
        <v>30</v>
      </c>
      <c r="J46" s="35" t="str">
        <f>IF(AND(ISNUMBER(SEARCH("booking",G46)),OR(D46="Via San Rocco",D46="Via Cavour")),H46*0.165,IF(ISNUMBER(SEARCH("airbnb",G46)),H46*0.155,IF(ISNUMBER(SEARCH("booking",G46)),H46*0.15,"")))</f>
        <v/>
      </c>
      <c r="K46" s="34" t="s">
        <v>367</v>
      </c>
      <c r="L46" s="35">
        <v>0</v>
      </c>
      <c r="M46" s="61">
        <f t="shared" si="33"/>
        <v>52.5</v>
      </c>
      <c r="N46" s="35">
        <v>20</v>
      </c>
      <c r="O46" s="34" t="s">
        <v>71</v>
      </c>
      <c r="P46" s="35">
        <v>0</v>
      </c>
      <c r="Q46" s="35"/>
      <c r="R46" s="36" t="s">
        <v>342</v>
      </c>
      <c r="S46" s="30" t="str">
        <f t="shared" si="2"/>
        <v/>
      </c>
      <c r="T46" s="6" t="str">
        <f>IF($D46="Villa Elena",COUNTIF($D$3:$D46,"Villa Elena"),"")</f>
        <v/>
      </c>
      <c r="U46" s="30" t="str">
        <f t="shared" si="3"/>
        <v/>
      </c>
      <c r="V46" s="30" t="str">
        <f t="shared" si="4"/>
        <v/>
      </c>
      <c r="W46" s="30" t="str">
        <f t="shared" si="5"/>
        <v/>
      </c>
      <c r="X46" s="30" t="str">
        <f t="shared" si="6"/>
        <v/>
      </c>
      <c r="Y46" s="30">
        <f t="shared" si="7"/>
        <v>46</v>
      </c>
      <c r="Z46" s="30" t="str">
        <f t="shared" si="8"/>
        <v/>
      </c>
      <c r="AA46" s="30" t="str">
        <f t="shared" si="9"/>
        <v/>
      </c>
      <c r="AB46" s="30" t="str">
        <f t="shared" si="10"/>
        <v/>
      </c>
      <c r="AC46" s="30" t="str">
        <f t="shared" si="11"/>
        <v/>
      </c>
      <c r="AD46" s="30" t="str">
        <f t="shared" si="12"/>
        <v/>
      </c>
      <c r="AE46" s="30" t="str">
        <f t="shared" si="13"/>
        <v/>
      </c>
      <c r="AF46" s="30" t="str">
        <f t="shared" si="14"/>
        <v/>
      </c>
      <c r="AG46" s="30" t="str">
        <f t="shared" si="15"/>
        <v/>
      </c>
      <c r="AH46" s="30" t="str">
        <f t="shared" si="16"/>
        <v/>
      </c>
      <c r="AI46" s="30" t="str">
        <f t="shared" si="17"/>
        <v/>
      </c>
      <c r="AJ46" s="30" t="str">
        <f t="shared" si="18"/>
        <v/>
      </c>
      <c r="AK46" s="30" t="str">
        <f t="shared" si="19"/>
        <v/>
      </c>
      <c r="AL46" s="30" t="str">
        <f t="shared" si="20"/>
        <v/>
      </c>
      <c r="AM46" s="30" t="str">
        <f t="shared" si="21"/>
        <v/>
      </c>
      <c r="AN46" s="30" t="str">
        <f t="shared" si="22"/>
        <v/>
      </c>
      <c r="AO46" s="30" t="str">
        <f t="shared" si="23"/>
        <v/>
      </c>
      <c r="AP46" s="30" t="str">
        <f t="shared" si="24"/>
        <v/>
      </c>
      <c r="AQ46" s="30" t="str">
        <f t="shared" si="25"/>
        <v/>
      </c>
      <c r="AR46" s="30" t="str">
        <f t="shared" si="26"/>
        <v/>
      </c>
      <c r="AS46" s="30" t="str">
        <f t="shared" si="27"/>
        <v/>
      </c>
      <c r="AT46" t="str">
        <f t="shared" si="28"/>
        <v/>
      </c>
      <c r="AU46" t="str">
        <f t="shared" si="29"/>
        <v/>
      </c>
    </row>
    <row r="47" spans="1:47" ht="22" customHeight="1" x14ac:dyDescent="0.2">
      <c r="A47" s="31">
        <v>46213</v>
      </c>
      <c r="B47" s="31">
        <v>46218</v>
      </c>
      <c r="C47" s="32">
        <f t="shared" si="0"/>
        <v>5</v>
      </c>
      <c r="D47" s="33" t="s">
        <v>93</v>
      </c>
      <c r="E47" s="34" t="s">
        <v>301</v>
      </c>
      <c r="F47" s="34" t="s">
        <v>34</v>
      </c>
      <c r="G47" s="34" t="s">
        <v>48</v>
      </c>
      <c r="H47" s="35">
        <v>500</v>
      </c>
      <c r="I47" s="35">
        <f t="shared" si="1"/>
        <v>100</v>
      </c>
      <c r="J47" s="35">
        <v>0</v>
      </c>
      <c r="K47" s="34" t="s">
        <v>49</v>
      </c>
      <c r="L47" s="35">
        <v>10</v>
      </c>
      <c r="M47" s="61">
        <f t="shared" si="33"/>
        <v>125</v>
      </c>
      <c r="N47" s="35">
        <v>20</v>
      </c>
      <c r="O47" s="34" t="s">
        <v>71</v>
      </c>
      <c r="P47" s="35">
        <v>15.76</v>
      </c>
      <c r="Q47" s="35"/>
      <c r="R47" s="36"/>
      <c r="S47" s="30" t="str">
        <f t="shared" si="2"/>
        <v/>
      </c>
      <c r="T47" s="6" t="str">
        <f>IF($D47="Villa Elena",COUNTIF($D$3:$D47,"Villa Elena"),"")</f>
        <v/>
      </c>
      <c r="U47" s="30">
        <f t="shared" si="3"/>
        <v>47</v>
      </c>
      <c r="V47" s="30" t="str">
        <f t="shared" si="4"/>
        <v/>
      </c>
      <c r="W47" s="30" t="str">
        <f t="shared" si="5"/>
        <v/>
      </c>
      <c r="X47" s="30" t="str">
        <f t="shared" si="6"/>
        <v/>
      </c>
      <c r="Y47" s="30" t="str">
        <f t="shared" si="7"/>
        <v/>
      </c>
      <c r="Z47" s="30" t="str">
        <f t="shared" si="8"/>
        <v/>
      </c>
      <c r="AA47" s="30" t="str">
        <f t="shared" si="9"/>
        <v/>
      </c>
      <c r="AB47" s="30" t="str">
        <f t="shared" si="10"/>
        <v/>
      </c>
      <c r="AC47" s="30" t="str">
        <f t="shared" si="11"/>
        <v/>
      </c>
      <c r="AD47" s="30" t="str">
        <f t="shared" si="12"/>
        <v/>
      </c>
      <c r="AE47" s="30" t="str">
        <f t="shared" si="13"/>
        <v/>
      </c>
      <c r="AF47" s="30" t="str">
        <f t="shared" si="14"/>
        <v/>
      </c>
      <c r="AG47" s="30" t="str">
        <f t="shared" si="15"/>
        <v/>
      </c>
      <c r="AH47" s="30" t="str">
        <f t="shared" si="16"/>
        <v/>
      </c>
      <c r="AI47" s="30" t="str">
        <f t="shared" si="17"/>
        <v/>
      </c>
      <c r="AJ47" s="30" t="str">
        <f t="shared" si="18"/>
        <v/>
      </c>
      <c r="AK47" s="30" t="str">
        <f t="shared" si="19"/>
        <v/>
      </c>
      <c r="AL47" s="30" t="str">
        <f t="shared" si="20"/>
        <v/>
      </c>
      <c r="AM47" s="30" t="str">
        <f t="shared" si="21"/>
        <v/>
      </c>
      <c r="AN47" s="30" t="str">
        <f t="shared" si="22"/>
        <v/>
      </c>
      <c r="AO47" s="30" t="str">
        <f t="shared" si="23"/>
        <v/>
      </c>
      <c r="AP47" s="30" t="str">
        <f t="shared" si="24"/>
        <v/>
      </c>
      <c r="AQ47" s="30" t="str">
        <f t="shared" si="25"/>
        <v/>
      </c>
      <c r="AR47" s="30" t="str">
        <f t="shared" si="26"/>
        <v/>
      </c>
      <c r="AS47" s="30" t="str">
        <f t="shared" si="27"/>
        <v/>
      </c>
      <c r="AT47" t="str">
        <f t="shared" si="28"/>
        <v/>
      </c>
      <c r="AU47" t="str">
        <f t="shared" si="29"/>
        <v/>
      </c>
    </row>
    <row r="48" spans="1:47" ht="22" customHeight="1" x14ac:dyDescent="0.2">
      <c r="A48" s="31">
        <v>46213</v>
      </c>
      <c r="B48" s="31">
        <v>46216</v>
      </c>
      <c r="C48" s="32">
        <v>4</v>
      </c>
      <c r="D48" s="33" t="s">
        <v>51</v>
      </c>
      <c r="E48" s="34" t="s">
        <v>347</v>
      </c>
      <c r="F48" s="34" t="s">
        <v>34</v>
      </c>
      <c r="G48" s="34"/>
      <c r="H48" s="35">
        <v>320</v>
      </c>
      <c r="I48" s="35">
        <f t="shared" si="1"/>
        <v>80</v>
      </c>
      <c r="J48" s="35" t="str">
        <f>IF(AND(ISNUMBER(SEARCH("booking",G48)),OR(D48="Via San Rocco",D48="Via Cavour")),H48*0.165,IF(ISNUMBER(SEARCH("airbnb",G48)),H48*0.155,IF(ISNUMBER(SEARCH("booking",G48)),H48*0.15,"")))</f>
        <v/>
      </c>
      <c r="K48" s="34"/>
      <c r="L48" s="35">
        <v>4</v>
      </c>
      <c r="M48" s="61">
        <f>IF(H48&lt;&gt;"",H48*0.1,"")</f>
        <v>32</v>
      </c>
      <c r="N48" s="35"/>
      <c r="O48" s="34"/>
      <c r="P48" s="35"/>
      <c r="Q48" s="35"/>
      <c r="R48" s="36"/>
      <c r="S48" s="30" t="str">
        <f t="shared" si="2"/>
        <v/>
      </c>
      <c r="T48" s="6" t="str">
        <f>IF($D48="Villa Elena",COUNTIF($D$3:$D48,"Villa Elena"),"")</f>
        <v/>
      </c>
      <c r="U48" s="30" t="str">
        <f t="shared" si="3"/>
        <v/>
      </c>
      <c r="V48" s="30" t="str">
        <f t="shared" si="4"/>
        <v/>
      </c>
      <c r="W48" s="30" t="str">
        <f t="shared" si="5"/>
        <v/>
      </c>
      <c r="X48" s="30" t="str">
        <f t="shared" si="6"/>
        <v/>
      </c>
      <c r="Y48" s="30" t="str">
        <f t="shared" si="7"/>
        <v/>
      </c>
      <c r="Z48" s="30" t="str">
        <f t="shared" si="8"/>
        <v/>
      </c>
      <c r="AA48" s="30" t="str">
        <f t="shared" si="9"/>
        <v/>
      </c>
      <c r="AB48" s="30" t="str">
        <f t="shared" si="10"/>
        <v/>
      </c>
      <c r="AC48" s="30" t="str">
        <f t="shared" si="11"/>
        <v/>
      </c>
      <c r="AD48" s="30" t="str">
        <f t="shared" si="12"/>
        <v/>
      </c>
      <c r="AE48" s="30" t="str">
        <f t="shared" si="13"/>
        <v/>
      </c>
      <c r="AF48" s="30" t="str">
        <f t="shared" si="14"/>
        <v/>
      </c>
      <c r="AG48" s="30" t="str">
        <f t="shared" si="15"/>
        <v/>
      </c>
      <c r="AH48" s="30" t="str">
        <f t="shared" si="16"/>
        <v/>
      </c>
      <c r="AI48" s="30" t="str">
        <f t="shared" si="17"/>
        <v/>
      </c>
      <c r="AJ48" s="30" t="str">
        <f t="shared" si="18"/>
        <v/>
      </c>
      <c r="AK48" s="30">
        <f t="shared" si="19"/>
        <v>48</v>
      </c>
      <c r="AL48" s="30" t="str">
        <f t="shared" si="20"/>
        <v/>
      </c>
      <c r="AM48" s="30" t="str">
        <f t="shared" si="21"/>
        <v/>
      </c>
      <c r="AN48" s="30" t="str">
        <f t="shared" si="22"/>
        <v/>
      </c>
      <c r="AO48" s="30" t="str">
        <f t="shared" si="23"/>
        <v/>
      </c>
      <c r="AP48" s="30" t="str">
        <f t="shared" si="24"/>
        <v/>
      </c>
      <c r="AQ48" s="30" t="str">
        <f t="shared" si="25"/>
        <v/>
      </c>
      <c r="AR48" s="30" t="str">
        <f t="shared" si="26"/>
        <v/>
      </c>
      <c r="AS48" s="30" t="str">
        <f t="shared" si="27"/>
        <v/>
      </c>
      <c r="AT48" t="str">
        <f t="shared" si="28"/>
        <v/>
      </c>
      <c r="AU48" t="str">
        <f t="shared" si="29"/>
        <v/>
      </c>
    </row>
    <row r="49" spans="1:47" ht="22" customHeight="1" x14ac:dyDescent="0.2">
      <c r="A49" s="31">
        <v>46214</v>
      </c>
      <c r="B49" s="31">
        <v>46220</v>
      </c>
      <c r="C49" s="32">
        <f t="shared" ref="C49:C80" si="34">IF(A49&lt;&gt;"",B49-A49,"")</f>
        <v>6</v>
      </c>
      <c r="D49" s="33" t="s">
        <v>96</v>
      </c>
      <c r="E49" s="34" t="s">
        <v>365</v>
      </c>
      <c r="F49" s="34" t="s">
        <v>78</v>
      </c>
      <c r="G49" s="34" t="s">
        <v>35</v>
      </c>
      <c r="H49" s="35">
        <v>702.54</v>
      </c>
      <c r="I49" s="35">
        <f t="shared" si="1"/>
        <v>117.08999999999999</v>
      </c>
      <c r="J49" s="35">
        <f>IF(AND(ISNUMBER(SEARCH("booking",G49)),OR(D49="Via San Rocco",D49="Via Cavour")),H49*0.165,IF(ISNUMBER(SEARCH("airbnb",G49)),H49*0.155,IF(ISNUMBER(SEARCH("booking",G49)),H49*0.15,"")))</f>
        <v>105.38099999999999</v>
      </c>
      <c r="K49" s="34" t="s">
        <v>42</v>
      </c>
      <c r="L49" s="35">
        <v>12</v>
      </c>
      <c r="M49" s="61">
        <f>IF(H49&lt;&gt;"",H49*0.25,"")</f>
        <v>175.63499999999999</v>
      </c>
      <c r="N49" s="35">
        <v>20</v>
      </c>
      <c r="O49" s="34" t="s">
        <v>71</v>
      </c>
      <c r="P49" s="35">
        <v>28.66</v>
      </c>
      <c r="Q49" s="35"/>
      <c r="R49" s="36"/>
      <c r="S49" s="30" t="str">
        <f t="shared" si="2"/>
        <v/>
      </c>
      <c r="T49" s="6" t="str">
        <f>IF($D49="Villa Elena",COUNTIF($D$3:$D49,"Villa Elena"),"")</f>
        <v/>
      </c>
      <c r="U49" s="30" t="str">
        <f t="shared" si="3"/>
        <v/>
      </c>
      <c r="V49" s="30" t="str">
        <f t="shared" si="4"/>
        <v/>
      </c>
      <c r="W49" s="30" t="str">
        <f t="shared" si="5"/>
        <v/>
      </c>
      <c r="X49" s="30" t="str">
        <f t="shared" si="6"/>
        <v/>
      </c>
      <c r="Y49" s="30">
        <f t="shared" si="7"/>
        <v>49</v>
      </c>
      <c r="Z49" s="30" t="str">
        <f t="shared" si="8"/>
        <v/>
      </c>
      <c r="AA49" s="30" t="str">
        <f t="shared" si="9"/>
        <v/>
      </c>
      <c r="AB49" s="30" t="str">
        <f t="shared" si="10"/>
        <v/>
      </c>
      <c r="AC49" s="30" t="str">
        <f t="shared" si="11"/>
        <v/>
      </c>
      <c r="AD49" s="30" t="str">
        <f t="shared" si="12"/>
        <v/>
      </c>
      <c r="AE49" s="30" t="str">
        <f t="shared" si="13"/>
        <v/>
      </c>
      <c r="AF49" s="30" t="str">
        <f t="shared" si="14"/>
        <v/>
      </c>
      <c r="AG49" s="30" t="str">
        <f t="shared" si="15"/>
        <v/>
      </c>
      <c r="AH49" s="30" t="str">
        <f t="shared" si="16"/>
        <v/>
      </c>
      <c r="AI49" s="30" t="str">
        <f t="shared" si="17"/>
        <v/>
      </c>
      <c r="AJ49" s="30" t="str">
        <f t="shared" si="18"/>
        <v/>
      </c>
      <c r="AK49" s="30" t="str">
        <f t="shared" si="19"/>
        <v/>
      </c>
      <c r="AL49" s="30" t="str">
        <f t="shared" si="20"/>
        <v/>
      </c>
      <c r="AM49" s="30" t="str">
        <f t="shared" si="21"/>
        <v/>
      </c>
      <c r="AN49" s="30" t="str">
        <f t="shared" si="22"/>
        <v/>
      </c>
      <c r="AO49" s="30" t="str">
        <f t="shared" si="23"/>
        <v/>
      </c>
      <c r="AP49" s="30" t="str">
        <f t="shared" si="24"/>
        <v/>
      </c>
      <c r="AQ49" s="30" t="str">
        <f t="shared" si="25"/>
        <v/>
      </c>
      <c r="AR49" s="30" t="str">
        <f t="shared" si="26"/>
        <v/>
      </c>
      <c r="AS49" s="30" t="str">
        <f t="shared" si="27"/>
        <v/>
      </c>
      <c r="AT49" t="str">
        <f t="shared" si="28"/>
        <v/>
      </c>
      <c r="AU49" t="str">
        <f t="shared" si="29"/>
        <v/>
      </c>
    </row>
    <row r="50" spans="1:47" ht="22" customHeight="1" x14ac:dyDescent="0.2">
      <c r="A50" s="31">
        <v>46218</v>
      </c>
      <c r="B50" s="31">
        <v>46225</v>
      </c>
      <c r="C50" s="32">
        <f t="shared" si="34"/>
        <v>7</v>
      </c>
      <c r="D50" s="33" t="s">
        <v>115</v>
      </c>
      <c r="E50" s="34" t="s">
        <v>315</v>
      </c>
      <c r="F50" s="34" t="s">
        <v>316</v>
      </c>
      <c r="G50" s="34" t="s">
        <v>35</v>
      </c>
      <c r="H50" s="35">
        <v>1060.6300000000001</v>
      </c>
      <c r="I50" s="35">
        <f t="shared" si="1"/>
        <v>151.51857142857145</v>
      </c>
      <c r="J50" s="35">
        <f>IF(AND(ISNUMBER(SEARCH("booking",G50)),OR(D50="Via San Rocco",D50="Via Cavour")),H50*0.165,IF(ISNUMBER(SEARCH("airbnb",G50)),H50*0.155,IF(ISNUMBER(SEARCH("booking",G50)),H50*0.15,"")))</f>
        <v>159.09450000000001</v>
      </c>
      <c r="K50" s="34" t="s">
        <v>49</v>
      </c>
      <c r="L50" s="35">
        <v>20</v>
      </c>
      <c r="M50" s="61">
        <f>IF(H50&lt;&gt;"",H50*0.25,"")</f>
        <v>265.15750000000003</v>
      </c>
      <c r="N50" s="35">
        <v>40</v>
      </c>
      <c r="O50" s="34" t="s">
        <v>71</v>
      </c>
      <c r="P50" s="35">
        <v>20.76</v>
      </c>
      <c r="Q50" s="35"/>
      <c r="R50" s="36"/>
      <c r="S50" s="30" t="str">
        <f t="shared" si="2"/>
        <v/>
      </c>
      <c r="T50" s="6" t="str">
        <f>IF($D50="Villa Elena",COUNTIF($D$3:$D50,"Villa Elena"),"")</f>
        <v/>
      </c>
      <c r="U50" s="30" t="str">
        <f t="shared" si="3"/>
        <v/>
      </c>
      <c r="V50" s="30" t="str">
        <f t="shared" si="4"/>
        <v/>
      </c>
      <c r="W50" s="30" t="str">
        <f t="shared" si="5"/>
        <v/>
      </c>
      <c r="X50" s="30" t="str">
        <f t="shared" si="6"/>
        <v/>
      </c>
      <c r="Y50" s="30" t="str">
        <f t="shared" si="7"/>
        <v/>
      </c>
      <c r="Z50" s="30" t="str">
        <f t="shared" si="8"/>
        <v/>
      </c>
      <c r="AA50" s="30" t="str">
        <f t="shared" si="9"/>
        <v/>
      </c>
      <c r="AB50" s="30">
        <f t="shared" si="10"/>
        <v>50</v>
      </c>
      <c r="AC50" s="30" t="str">
        <f t="shared" si="11"/>
        <v/>
      </c>
      <c r="AD50" s="30" t="str">
        <f t="shared" si="12"/>
        <v/>
      </c>
      <c r="AE50" s="30" t="str">
        <f t="shared" si="13"/>
        <v/>
      </c>
      <c r="AF50" s="30" t="str">
        <f t="shared" si="14"/>
        <v/>
      </c>
      <c r="AG50" s="30" t="str">
        <f t="shared" si="15"/>
        <v/>
      </c>
      <c r="AH50" s="30" t="str">
        <f t="shared" si="16"/>
        <v/>
      </c>
      <c r="AI50" s="30" t="str">
        <f t="shared" si="17"/>
        <v/>
      </c>
      <c r="AJ50" s="30" t="str">
        <f t="shared" si="18"/>
        <v/>
      </c>
      <c r="AK50" s="30" t="str">
        <f t="shared" si="19"/>
        <v/>
      </c>
      <c r="AL50" s="30" t="str">
        <f t="shared" si="20"/>
        <v/>
      </c>
      <c r="AM50" s="30" t="str">
        <f t="shared" si="21"/>
        <v/>
      </c>
      <c r="AN50" s="30" t="str">
        <f t="shared" si="22"/>
        <v/>
      </c>
      <c r="AO50" s="30" t="str">
        <f t="shared" si="23"/>
        <v/>
      </c>
      <c r="AP50" s="30" t="str">
        <f t="shared" si="24"/>
        <v/>
      </c>
      <c r="AQ50" s="30" t="str">
        <f t="shared" si="25"/>
        <v/>
      </c>
      <c r="AR50" s="30" t="str">
        <f t="shared" si="26"/>
        <v/>
      </c>
      <c r="AS50" s="30" t="str">
        <f t="shared" si="27"/>
        <v/>
      </c>
      <c r="AT50" t="str">
        <f t="shared" si="28"/>
        <v/>
      </c>
      <c r="AU50" t="str">
        <f t="shared" si="29"/>
        <v/>
      </c>
    </row>
    <row r="51" spans="1:47" ht="22" customHeight="1" x14ac:dyDescent="0.2">
      <c r="A51" s="31">
        <v>46220</v>
      </c>
      <c r="B51" s="31">
        <v>46228</v>
      </c>
      <c r="C51" s="32">
        <f t="shared" si="34"/>
        <v>8</v>
      </c>
      <c r="D51" s="33" t="s">
        <v>93</v>
      </c>
      <c r="E51" s="34" t="s">
        <v>110</v>
      </c>
      <c r="F51" s="34" t="s">
        <v>83</v>
      </c>
      <c r="G51" s="34" t="s">
        <v>48</v>
      </c>
      <c r="H51" s="35">
        <v>1000</v>
      </c>
      <c r="I51" s="35">
        <f t="shared" si="1"/>
        <v>125</v>
      </c>
      <c r="J51" s="35">
        <v>0</v>
      </c>
      <c r="K51" s="34" t="s">
        <v>42</v>
      </c>
      <c r="L51" s="35">
        <v>15</v>
      </c>
      <c r="M51" s="61">
        <f>IF(H51&lt;&gt;"",H51*0.25,"")</f>
        <v>250</v>
      </c>
      <c r="N51" s="35">
        <v>10</v>
      </c>
      <c r="O51" s="34" t="s">
        <v>71</v>
      </c>
      <c r="P51" s="35">
        <v>19</v>
      </c>
      <c r="Q51" s="35"/>
      <c r="R51" s="36"/>
      <c r="S51" s="30" t="str">
        <f t="shared" si="2"/>
        <v/>
      </c>
      <c r="T51" s="6" t="str">
        <f>IF($D51="Villa Elena",COUNTIF($D$3:$D51,"Villa Elena"),"")</f>
        <v/>
      </c>
      <c r="U51" s="30">
        <f t="shared" si="3"/>
        <v>51</v>
      </c>
      <c r="V51" s="30" t="str">
        <f t="shared" si="4"/>
        <v/>
      </c>
      <c r="W51" s="30" t="str">
        <f t="shared" si="5"/>
        <v/>
      </c>
      <c r="X51" s="30" t="str">
        <f t="shared" si="6"/>
        <v/>
      </c>
      <c r="Y51" s="30" t="str">
        <f t="shared" si="7"/>
        <v/>
      </c>
      <c r="Z51" s="30" t="str">
        <f t="shared" si="8"/>
        <v/>
      </c>
      <c r="AA51" s="30" t="str">
        <f t="shared" si="9"/>
        <v/>
      </c>
      <c r="AB51" s="30" t="str">
        <f t="shared" si="10"/>
        <v/>
      </c>
      <c r="AC51" s="30" t="str">
        <f t="shared" si="11"/>
        <v/>
      </c>
      <c r="AD51" s="30" t="str">
        <f t="shared" si="12"/>
        <v/>
      </c>
      <c r="AE51" s="30" t="str">
        <f t="shared" si="13"/>
        <v/>
      </c>
      <c r="AF51" s="30" t="str">
        <f t="shared" si="14"/>
        <v/>
      </c>
      <c r="AG51" s="30" t="str">
        <f t="shared" si="15"/>
        <v/>
      </c>
      <c r="AH51" s="30" t="str">
        <f t="shared" si="16"/>
        <v/>
      </c>
      <c r="AI51" s="30" t="str">
        <f t="shared" si="17"/>
        <v/>
      </c>
      <c r="AJ51" s="30" t="str">
        <f t="shared" si="18"/>
        <v/>
      </c>
      <c r="AK51" s="30" t="str">
        <f t="shared" si="19"/>
        <v/>
      </c>
      <c r="AL51" s="30" t="str">
        <f t="shared" si="20"/>
        <v/>
      </c>
      <c r="AM51" s="30" t="str">
        <f t="shared" si="21"/>
        <v/>
      </c>
      <c r="AN51" s="30" t="str">
        <f t="shared" si="22"/>
        <v/>
      </c>
      <c r="AO51" s="30" t="str">
        <f t="shared" si="23"/>
        <v/>
      </c>
      <c r="AP51" s="30" t="str">
        <f t="shared" si="24"/>
        <v/>
      </c>
      <c r="AQ51" s="30" t="str">
        <f t="shared" si="25"/>
        <v/>
      </c>
      <c r="AR51" s="30" t="str">
        <f t="shared" si="26"/>
        <v/>
      </c>
      <c r="AS51" s="30" t="str">
        <f t="shared" si="27"/>
        <v/>
      </c>
      <c r="AT51" t="str">
        <f t="shared" si="28"/>
        <v/>
      </c>
      <c r="AU51" t="str">
        <f t="shared" si="29"/>
        <v/>
      </c>
    </row>
    <row r="52" spans="1:47" ht="22" customHeight="1" x14ac:dyDescent="0.2">
      <c r="A52" s="31">
        <v>46220</v>
      </c>
      <c r="B52" s="31">
        <v>46223</v>
      </c>
      <c r="C52" s="32">
        <f t="shared" si="34"/>
        <v>3</v>
      </c>
      <c r="D52" s="33" t="s">
        <v>51</v>
      </c>
      <c r="E52" s="34" t="s">
        <v>347</v>
      </c>
      <c r="F52" s="34" t="s">
        <v>34</v>
      </c>
      <c r="G52" s="34"/>
      <c r="H52" s="35">
        <v>240</v>
      </c>
      <c r="I52" s="35">
        <f t="shared" si="1"/>
        <v>80</v>
      </c>
      <c r="J52" s="35" t="str">
        <f t="shared" ref="J52:J68" si="35">IF(AND(ISNUMBER(SEARCH("booking",G52)),OR(D52="Via San Rocco",D52="Via Cavour")),H52*0.165,IF(ISNUMBER(SEARCH("airbnb",G52)),H52*0.155,IF(ISNUMBER(SEARCH("booking",G52)),H52*0.15,"")))</f>
        <v/>
      </c>
      <c r="K52" s="34"/>
      <c r="L52" s="35"/>
      <c r="M52" s="61">
        <f>IF(H52&lt;&gt;"",H52*0.1,"")</f>
        <v>24</v>
      </c>
      <c r="N52" s="35"/>
      <c r="O52" s="34"/>
      <c r="P52" s="35"/>
      <c r="Q52" s="35"/>
      <c r="R52" s="36"/>
      <c r="S52" s="30" t="str">
        <f t="shared" si="2"/>
        <v/>
      </c>
      <c r="T52" s="6" t="str">
        <f>IF($D52="Villa Elena",COUNTIF($D$3:$D52,"Villa Elena"),"")</f>
        <v/>
      </c>
      <c r="U52" s="30" t="str">
        <f t="shared" si="3"/>
        <v/>
      </c>
      <c r="V52" s="30" t="str">
        <f t="shared" si="4"/>
        <v/>
      </c>
      <c r="W52" s="30" t="str">
        <f t="shared" si="5"/>
        <v/>
      </c>
      <c r="X52" s="30" t="str">
        <f t="shared" si="6"/>
        <v/>
      </c>
      <c r="Y52" s="30" t="str">
        <f t="shared" si="7"/>
        <v/>
      </c>
      <c r="Z52" s="30" t="str">
        <f t="shared" si="8"/>
        <v/>
      </c>
      <c r="AA52" s="30" t="str">
        <f t="shared" si="9"/>
        <v/>
      </c>
      <c r="AB52" s="30" t="str">
        <f t="shared" si="10"/>
        <v/>
      </c>
      <c r="AC52" s="30" t="str">
        <f t="shared" si="11"/>
        <v/>
      </c>
      <c r="AD52" s="30" t="str">
        <f t="shared" si="12"/>
        <v/>
      </c>
      <c r="AE52" s="30" t="str">
        <f t="shared" si="13"/>
        <v/>
      </c>
      <c r="AF52" s="30" t="str">
        <f t="shared" si="14"/>
        <v/>
      </c>
      <c r="AG52" s="30" t="str">
        <f t="shared" si="15"/>
        <v/>
      </c>
      <c r="AH52" s="30" t="str">
        <f t="shared" si="16"/>
        <v/>
      </c>
      <c r="AI52" s="30" t="str">
        <f t="shared" si="17"/>
        <v/>
      </c>
      <c r="AJ52" s="30" t="str">
        <f t="shared" si="18"/>
        <v/>
      </c>
      <c r="AK52" s="30">
        <f t="shared" si="19"/>
        <v>52</v>
      </c>
      <c r="AL52" s="30" t="str">
        <f t="shared" si="20"/>
        <v/>
      </c>
      <c r="AM52" s="30" t="str">
        <f t="shared" si="21"/>
        <v/>
      </c>
      <c r="AN52" s="30" t="str">
        <f t="shared" si="22"/>
        <v/>
      </c>
      <c r="AO52" s="30" t="str">
        <f t="shared" si="23"/>
        <v/>
      </c>
      <c r="AP52" s="30" t="str">
        <f t="shared" si="24"/>
        <v/>
      </c>
      <c r="AQ52" s="30" t="str">
        <f t="shared" si="25"/>
        <v/>
      </c>
      <c r="AR52" s="30" t="str">
        <f t="shared" si="26"/>
        <v/>
      </c>
      <c r="AS52" s="30" t="str">
        <f t="shared" si="27"/>
        <v/>
      </c>
      <c r="AT52" t="str">
        <f t="shared" si="28"/>
        <v/>
      </c>
      <c r="AU52" t="str">
        <f t="shared" si="29"/>
        <v/>
      </c>
    </row>
    <row r="53" spans="1:47" ht="22" customHeight="1" x14ac:dyDescent="0.2">
      <c r="A53" s="31">
        <v>46221</v>
      </c>
      <c r="B53" s="31">
        <v>46229</v>
      </c>
      <c r="C53" s="32">
        <f t="shared" si="34"/>
        <v>8</v>
      </c>
      <c r="D53" s="33" t="s">
        <v>39</v>
      </c>
      <c r="E53" s="34" t="s">
        <v>355</v>
      </c>
      <c r="F53" s="34" t="s">
        <v>41</v>
      </c>
      <c r="G53" s="34"/>
      <c r="H53" s="35">
        <v>520</v>
      </c>
      <c r="I53" s="35">
        <f t="shared" si="1"/>
        <v>65</v>
      </c>
      <c r="J53" s="35" t="str">
        <f t="shared" si="35"/>
        <v/>
      </c>
      <c r="K53" s="34" t="s">
        <v>42</v>
      </c>
      <c r="L53" s="35"/>
      <c r="M53" s="61">
        <f>IF(H53&lt;&gt;"",H53*0.25,"")</f>
        <v>130</v>
      </c>
      <c r="N53" s="35">
        <v>40</v>
      </c>
      <c r="O53" s="34" t="s">
        <v>71</v>
      </c>
      <c r="P53" s="35">
        <v>10.38</v>
      </c>
      <c r="Q53" s="35"/>
      <c r="R53" s="36"/>
      <c r="S53" s="30" t="str">
        <f t="shared" si="2"/>
        <v/>
      </c>
      <c r="T53" s="6" t="str">
        <f>IF($D53="Villa Elena",COUNTIF($D$3:$D53,"Villa Elena"),"")</f>
        <v/>
      </c>
      <c r="U53" s="30" t="str">
        <f t="shared" si="3"/>
        <v/>
      </c>
      <c r="V53" s="30" t="str">
        <f t="shared" si="4"/>
        <v/>
      </c>
      <c r="W53" s="30" t="str">
        <f t="shared" si="5"/>
        <v/>
      </c>
      <c r="X53" s="30" t="str">
        <f t="shared" si="6"/>
        <v/>
      </c>
      <c r="Y53" s="30" t="str">
        <f t="shared" si="7"/>
        <v/>
      </c>
      <c r="Z53" s="30" t="str">
        <f t="shared" si="8"/>
        <v/>
      </c>
      <c r="AA53" s="30" t="str">
        <f t="shared" si="9"/>
        <v/>
      </c>
      <c r="AB53" s="30" t="str">
        <f t="shared" si="10"/>
        <v/>
      </c>
      <c r="AC53" s="30" t="str">
        <f t="shared" si="11"/>
        <v/>
      </c>
      <c r="AD53" s="30" t="str">
        <f t="shared" si="12"/>
        <v/>
      </c>
      <c r="AE53" s="30" t="str">
        <f t="shared" si="13"/>
        <v/>
      </c>
      <c r="AF53" s="30" t="str">
        <f t="shared" si="14"/>
        <v/>
      </c>
      <c r="AG53" s="30" t="str">
        <f t="shared" si="15"/>
        <v/>
      </c>
      <c r="AH53" s="30" t="str">
        <f t="shared" si="16"/>
        <v/>
      </c>
      <c r="AI53" s="30" t="str">
        <f t="shared" si="17"/>
        <v/>
      </c>
      <c r="AJ53" s="30">
        <f t="shared" si="18"/>
        <v>53</v>
      </c>
      <c r="AK53" s="30" t="str">
        <f t="shared" si="19"/>
        <v/>
      </c>
      <c r="AL53" s="30" t="str">
        <f t="shared" si="20"/>
        <v/>
      </c>
      <c r="AM53" s="30" t="str">
        <f t="shared" si="21"/>
        <v/>
      </c>
      <c r="AN53" s="30" t="str">
        <f t="shared" si="22"/>
        <v/>
      </c>
      <c r="AO53" s="30" t="str">
        <f t="shared" si="23"/>
        <v/>
      </c>
      <c r="AP53" s="30" t="str">
        <f t="shared" si="24"/>
        <v/>
      </c>
      <c r="AQ53" s="30" t="str">
        <f t="shared" si="25"/>
        <v/>
      </c>
      <c r="AR53" s="30" t="str">
        <f t="shared" si="26"/>
        <v/>
      </c>
      <c r="AS53" s="30" t="str">
        <f t="shared" si="27"/>
        <v/>
      </c>
      <c r="AT53" t="str">
        <f t="shared" si="28"/>
        <v/>
      </c>
      <c r="AU53" t="str">
        <f t="shared" si="29"/>
        <v/>
      </c>
    </row>
    <row r="54" spans="1:47" ht="22" customHeight="1" x14ac:dyDescent="0.2">
      <c r="A54" s="31">
        <v>46222</v>
      </c>
      <c r="B54" s="31">
        <v>46229</v>
      </c>
      <c r="C54" s="32">
        <f t="shared" si="34"/>
        <v>7</v>
      </c>
      <c r="D54" s="33" t="s">
        <v>60</v>
      </c>
      <c r="E54" s="34" t="s">
        <v>317</v>
      </c>
      <c r="F54" s="34" t="s">
        <v>34</v>
      </c>
      <c r="G54" s="34" t="s">
        <v>35</v>
      </c>
      <c r="H54" s="35">
        <v>935.41</v>
      </c>
      <c r="I54" s="35">
        <f t="shared" si="1"/>
        <v>133.63</v>
      </c>
      <c r="J54" s="35">
        <f t="shared" si="35"/>
        <v>154.34264999999999</v>
      </c>
      <c r="K54" s="34"/>
      <c r="L54" s="35">
        <v>4</v>
      </c>
      <c r="M54" s="61">
        <f>IF(H54&lt;&gt;"",H54*0.1,"")</f>
        <v>93.540999999999997</v>
      </c>
      <c r="N54" s="35"/>
      <c r="O54" s="34"/>
      <c r="P54" s="35"/>
      <c r="Q54" s="35"/>
      <c r="R54" s="36"/>
      <c r="S54" s="30" t="str">
        <f t="shared" si="2"/>
        <v/>
      </c>
      <c r="T54" s="6" t="str">
        <f>IF($D54="Villa Elena",COUNTIF($D$3:$D54,"Villa Elena"),"")</f>
        <v/>
      </c>
      <c r="U54" s="30" t="str">
        <f t="shared" si="3"/>
        <v/>
      </c>
      <c r="V54" s="30" t="str">
        <f t="shared" si="4"/>
        <v/>
      </c>
      <c r="W54" s="30" t="str">
        <f t="shared" si="5"/>
        <v/>
      </c>
      <c r="X54" s="30">
        <f t="shared" si="6"/>
        <v>54</v>
      </c>
      <c r="Y54" s="30" t="str">
        <f t="shared" si="7"/>
        <v/>
      </c>
      <c r="Z54" s="30" t="str">
        <f t="shared" si="8"/>
        <v/>
      </c>
      <c r="AA54" s="30" t="str">
        <f t="shared" si="9"/>
        <v/>
      </c>
      <c r="AB54" s="30" t="str">
        <f t="shared" si="10"/>
        <v/>
      </c>
      <c r="AC54" s="30" t="str">
        <f t="shared" si="11"/>
        <v/>
      </c>
      <c r="AD54" s="30" t="str">
        <f t="shared" si="12"/>
        <v/>
      </c>
      <c r="AE54" s="30" t="str">
        <f t="shared" si="13"/>
        <v/>
      </c>
      <c r="AF54" s="30" t="str">
        <f t="shared" si="14"/>
        <v/>
      </c>
      <c r="AG54" s="30" t="str">
        <f t="shared" si="15"/>
        <v/>
      </c>
      <c r="AH54" s="30" t="str">
        <f t="shared" si="16"/>
        <v/>
      </c>
      <c r="AI54" s="30" t="str">
        <f t="shared" si="17"/>
        <v/>
      </c>
      <c r="AJ54" s="30" t="str">
        <f t="shared" si="18"/>
        <v/>
      </c>
      <c r="AK54" s="30" t="str">
        <f t="shared" si="19"/>
        <v/>
      </c>
      <c r="AL54" s="30" t="str">
        <f t="shared" si="20"/>
        <v/>
      </c>
      <c r="AM54" s="30" t="str">
        <f t="shared" si="21"/>
        <v/>
      </c>
      <c r="AN54" s="30" t="str">
        <f t="shared" si="22"/>
        <v/>
      </c>
      <c r="AO54" s="30" t="str">
        <f t="shared" si="23"/>
        <v/>
      </c>
      <c r="AP54" s="30" t="str">
        <f t="shared" si="24"/>
        <v/>
      </c>
      <c r="AQ54" s="30" t="str">
        <f t="shared" si="25"/>
        <v/>
      </c>
      <c r="AR54" s="30" t="str">
        <f t="shared" si="26"/>
        <v/>
      </c>
      <c r="AS54" s="30" t="str">
        <f t="shared" si="27"/>
        <v/>
      </c>
      <c r="AT54" t="str">
        <f t="shared" si="28"/>
        <v/>
      </c>
      <c r="AU54" t="str">
        <f t="shared" si="29"/>
        <v/>
      </c>
    </row>
    <row r="55" spans="1:47" ht="22" customHeight="1" x14ac:dyDescent="0.2">
      <c r="A55" s="31">
        <v>46223</v>
      </c>
      <c r="B55" s="31">
        <v>46231</v>
      </c>
      <c r="C55" s="32">
        <f t="shared" si="34"/>
        <v>8</v>
      </c>
      <c r="D55" s="33" t="s">
        <v>96</v>
      </c>
      <c r="E55" s="34" t="s">
        <v>360</v>
      </c>
      <c r="F55" s="34" t="s">
        <v>47</v>
      </c>
      <c r="G55" s="34" t="s">
        <v>48</v>
      </c>
      <c r="H55" s="35">
        <v>1552</v>
      </c>
      <c r="I55" s="35">
        <f t="shared" si="1"/>
        <v>194</v>
      </c>
      <c r="J55" s="35" t="str">
        <f t="shared" si="35"/>
        <v/>
      </c>
      <c r="K55" s="34" t="s">
        <v>67</v>
      </c>
      <c r="L55" s="35">
        <v>32</v>
      </c>
      <c r="M55" s="61">
        <f>IF(H55&lt;&gt;"",H55*0.25,"")</f>
        <v>388</v>
      </c>
      <c r="N55" s="35">
        <v>40</v>
      </c>
      <c r="O55" s="34" t="s">
        <v>71</v>
      </c>
      <c r="P55" s="35">
        <v>28.17</v>
      </c>
      <c r="Q55" s="35"/>
      <c r="R55" s="36"/>
      <c r="S55" s="30" t="str">
        <f t="shared" si="2"/>
        <v/>
      </c>
      <c r="T55" s="6" t="str">
        <f>IF($D55="Villa Elena",COUNTIF($D$3:$D55,"Villa Elena"),"")</f>
        <v/>
      </c>
      <c r="U55" s="30" t="str">
        <f t="shared" si="3"/>
        <v/>
      </c>
      <c r="V55" s="30" t="str">
        <f t="shared" si="4"/>
        <v/>
      </c>
      <c r="W55" s="30" t="str">
        <f t="shared" si="5"/>
        <v/>
      </c>
      <c r="X55" s="30" t="str">
        <f t="shared" si="6"/>
        <v/>
      </c>
      <c r="Y55" s="30">
        <f t="shared" si="7"/>
        <v>55</v>
      </c>
      <c r="Z55" s="30" t="str">
        <f t="shared" si="8"/>
        <v/>
      </c>
      <c r="AA55" s="30" t="str">
        <f t="shared" si="9"/>
        <v/>
      </c>
      <c r="AB55" s="30" t="str">
        <f t="shared" si="10"/>
        <v/>
      </c>
      <c r="AC55" s="30" t="str">
        <f t="shared" si="11"/>
        <v/>
      </c>
      <c r="AD55" s="30" t="str">
        <f t="shared" si="12"/>
        <v/>
      </c>
      <c r="AE55" s="30" t="str">
        <f t="shared" si="13"/>
        <v/>
      </c>
      <c r="AF55" s="30" t="str">
        <f t="shared" si="14"/>
        <v/>
      </c>
      <c r="AG55" s="30" t="str">
        <f t="shared" si="15"/>
        <v/>
      </c>
      <c r="AH55" s="30" t="str">
        <f t="shared" si="16"/>
        <v/>
      </c>
      <c r="AI55" s="30" t="str">
        <f t="shared" si="17"/>
        <v/>
      </c>
      <c r="AJ55" s="30" t="str">
        <f t="shared" si="18"/>
        <v/>
      </c>
      <c r="AK55" s="30" t="str">
        <f t="shared" si="19"/>
        <v/>
      </c>
      <c r="AL55" s="30" t="str">
        <f t="shared" si="20"/>
        <v/>
      </c>
      <c r="AM55" s="30" t="str">
        <f t="shared" si="21"/>
        <v/>
      </c>
      <c r="AN55" s="30" t="str">
        <f t="shared" si="22"/>
        <v/>
      </c>
      <c r="AO55" s="30" t="str">
        <f t="shared" si="23"/>
        <v/>
      </c>
      <c r="AP55" s="30" t="str">
        <f t="shared" si="24"/>
        <v/>
      </c>
      <c r="AQ55" s="30" t="str">
        <f t="shared" si="25"/>
        <v/>
      </c>
      <c r="AR55" s="30" t="str">
        <f t="shared" si="26"/>
        <v/>
      </c>
      <c r="AS55" s="30" t="str">
        <f t="shared" si="27"/>
        <v/>
      </c>
      <c r="AT55" t="str">
        <f t="shared" si="28"/>
        <v/>
      </c>
      <c r="AU55" t="str">
        <f t="shared" si="29"/>
        <v/>
      </c>
    </row>
    <row r="56" spans="1:47" ht="22" customHeight="1" x14ac:dyDescent="0.2">
      <c r="A56" s="31">
        <v>46224</v>
      </c>
      <c r="B56" s="31">
        <v>46237</v>
      </c>
      <c r="C56" s="32">
        <f t="shared" si="34"/>
        <v>13</v>
      </c>
      <c r="D56" s="33" t="s">
        <v>32</v>
      </c>
      <c r="E56" s="34" t="s">
        <v>344</v>
      </c>
      <c r="F56" s="34" t="s">
        <v>34</v>
      </c>
      <c r="G56" s="34" t="s">
        <v>44</v>
      </c>
      <c r="H56" s="35">
        <v>2172.64</v>
      </c>
      <c r="I56" s="35">
        <f t="shared" si="1"/>
        <v>167.12615384615384</v>
      </c>
      <c r="J56" s="35">
        <f t="shared" si="35"/>
        <v>336.75919999999996</v>
      </c>
      <c r="K56" s="34"/>
      <c r="L56" s="35">
        <v>4</v>
      </c>
      <c r="M56" s="61">
        <f>IF(H56&lt;&gt;"",H56*0.25,"")</f>
        <v>543.16</v>
      </c>
      <c r="N56" s="35">
        <v>30</v>
      </c>
      <c r="O56" s="34" t="s">
        <v>71</v>
      </c>
      <c r="P56" s="35">
        <v>14.28</v>
      </c>
      <c r="Q56" s="35"/>
      <c r="R56" s="36" t="s">
        <v>345</v>
      </c>
      <c r="S56" s="30">
        <f t="shared" si="2"/>
        <v>56</v>
      </c>
      <c r="T56" s="6" t="str">
        <f>IF($D56="Villa Elena",COUNTIF($D$3:$D56,"Villa Elena"),"")</f>
        <v/>
      </c>
      <c r="U56" s="30" t="str">
        <f t="shared" si="3"/>
        <v/>
      </c>
      <c r="V56" s="30" t="str">
        <f t="shared" si="4"/>
        <v/>
      </c>
      <c r="W56" s="30" t="str">
        <f t="shared" si="5"/>
        <v/>
      </c>
      <c r="X56" s="30" t="str">
        <f t="shared" si="6"/>
        <v/>
      </c>
      <c r="Y56" s="30" t="str">
        <f t="shared" si="7"/>
        <v/>
      </c>
      <c r="Z56" s="30" t="str">
        <f t="shared" si="8"/>
        <v/>
      </c>
      <c r="AA56" s="30" t="str">
        <f t="shared" si="9"/>
        <v/>
      </c>
      <c r="AB56" s="30" t="str">
        <f t="shared" si="10"/>
        <v/>
      </c>
      <c r="AC56" s="30" t="str">
        <f t="shared" si="11"/>
        <v/>
      </c>
      <c r="AD56" s="30" t="str">
        <f t="shared" si="12"/>
        <v/>
      </c>
      <c r="AE56" s="30" t="str">
        <f t="shared" si="13"/>
        <v/>
      </c>
      <c r="AF56" s="30" t="str">
        <f t="shared" si="14"/>
        <v/>
      </c>
      <c r="AG56" s="30" t="str">
        <f t="shared" si="15"/>
        <v/>
      </c>
      <c r="AH56" s="30" t="str">
        <f t="shared" si="16"/>
        <v/>
      </c>
      <c r="AI56" s="30" t="str">
        <f t="shared" si="17"/>
        <v/>
      </c>
      <c r="AJ56" s="30" t="str">
        <f t="shared" si="18"/>
        <v/>
      </c>
      <c r="AK56" s="30" t="str">
        <f t="shared" si="19"/>
        <v/>
      </c>
      <c r="AL56" s="30" t="str">
        <f t="shared" si="20"/>
        <v/>
      </c>
      <c r="AM56" s="30" t="str">
        <f t="shared" si="21"/>
        <v/>
      </c>
      <c r="AN56" s="30" t="str">
        <f t="shared" si="22"/>
        <v/>
      </c>
      <c r="AO56" s="30" t="str">
        <f t="shared" si="23"/>
        <v/>
      </c>
      <c r="AP56" s="30" t="str">
        <f t="shared" si="24"/>
        <v/>
      </c>
      <c r="AQ56" s="30" t="str">
        <f t="shared" si="25"/>
        <v/>
      </c>
      <c r="AR56" s="30" t="str">
        <f t="shared" si="26"/>
        <v/>
      </c>
      <c r="AS56" s="30" t="str">
        <f t="shared" si="27"/>
        <v/>
      </c>
      <c r="AT56" t="str">
        <f t="shared" si="28"/>
        <v/>
      </c>
      <c r="AU56" t="str">
        <f t="shared" si="29"/>
        <v/>
      </c>
    </row>
    <row r="57" spans="1:47" ht="22" customHeight="1" x14ac:dyDescent="0.2">
      <c r="A57" s="31">
        <v>46224</v>
      </c>
      <c r="B57" s="31">
        <v>46229</v>
      </c>
      <c r="C57" s="32">
        <f t="shared" si="34"/>
        <v>5</v>
      </c>
      <c r="D57" s="33" t="s">
        <v>51</v>
      </c>
      <c r="E57" s="34" t="s">
        <v>348</v>
      </c>
      <c r="F57" s="34" t="s">
        <v>65</v>
      </c>
      <c r="G57" s="34" t="s">
        <v>35</v>
      </c>
      <c r="H57" s="35">
        <v>538.12</v>
      </c>
      <c r="I57" s="35">
        <f t="shared" si="1"/>
        <v>107.624</v>
      </c>
      <c r="J57" s="35">
        <f t="shared" si="35"/>
        <v>88.7898</v>
      </c>
      <c r="K57" s="34"/>
      <c r="L57" s="35">
        <v>4</v>
      </c>
      <c r="M57" s="61">
        <f>IF(H57&lt;&gt;"",H57*0.1,"")</f>
        <v>53.812000000000005</v>
      </c>
      <c r="N57" s="35"/>
      <c r="O57" s="34"/>
      <c r="P57" s="35"/>
      <c r="Q57" s="35"/>
      <c r="R57" s="36"/>
      <c r="S57" s="30" t="str">
        <f t="shared" si="2"/>
        <v/>
      </c>
      <c r="T57" s="6" t="str">
        <f>IF($D57="Villa Elena",COUNTIF($D$3:$D57,"Villa Elena"),"")</f>
        <v/>
      </c>
      <c r="U57" s="30" t="str">
        <f t="shared" si="3"/>
        <v/>
      </c>
      <c r="V57" s="30" t="str">
        <f t="shared" si="4"/>
        <v/>
      </c>
      <c r="W57" s="30">
        <f t="shared" si="5"/>
        <v>57</v>
      </c>
      <c r="X57" s="30" t="str">
        <f t="shared" si="6"/>
        <v/>
      </c>
      <c r="Y57" s="30" t="str">
        <f t="shared" si="7"/>
        <v/>
      </c>
      <c r="Z57" s="30" t="str">
        <f t="shared" si="8"/>
        <v/>
      </c>
      <c r="AA57" s="30" t="str">
        <f t="shared" si="9"/>
        <v/>
      </c>
      <c r="AB57" s="30" t="str">
        <f t="shared" si="10"/>
        <v/>
      </c>
      <c r="AC57" s="30" t="str">
        <f t="shared" si="11"/>
        <v/>
      </c>
      <c r="AD57" s="30" t="str">
        <f t="shared" si="12"/>
        <v/>
      </c>
      <c r="AE57" s="30" t="str">
        <f t="shared" si="13"/>
        <v/>
      </c>
      <c r="AF57" s="30" t="str">
        <f t="shared" si="14"/>
        <v/>
      </c>
      <c r="AG57" s="30" t="str">
        <f t="shared" si="15"/>
        <v/>
      </c>
      <c r="AH57" s="30" t="str">
        <f t="shared" si="16"/>
        <v/>
      </c>
      <c r="AI57" s="30" t="str">
        <f t="shared" si="17"/>
        <v/>
      </c>
      <c r="AJ57" s="30" t="str">
        <f t="shared" si="18"/>
        <v/>
      </c>
      <c r="AK57" s="30" t="str">
        <f t="shared" si="19"/>
        <v/>
      </c>
      <c r="AL57" s="30" t="str">
        <f t="shared" si="20"/>
        <v/>
      </c>
      <c r="AM57" s="30" t="str">
        <f t="shared" si="21"/>
        <v/>
      </c>
      <c r="AN57" s="30" t="str">
        <f t="shared" si="22"/>
        <v/>
      </c>
      <c r="AO57" s="30" t="str">
        <f t="shared" si="23"/>
        <v/>
      </c>
      <c r="AP57" s="30" t="str">
        <f t="shared" si="24"/>
        <v/>
      </c>
      <c r="AQ57" s="30" t="str">
        <f t="shared" si="25"/>
        <v/>
      </c>
      <c r="AR57" s="30" t="str">
        <f t="shared" si="26"/>
        <v/>
      </c>
      <c r="AS57" s="30" t="str">
        <f t="shared" si="27"/>
        <v/>
      </c>
      <c r="AT57" t="str">
        <f t="shared" si="28"/>
        <v/>
      </c>
      <c r="AU57" t="str">
        <f t="shared" si="29"/>
        <v/>
      </c>
    </row>
    <row r="58" spans="1:47" ht="22" customHeight="1" x14ac:dyDescent="0.2">
      <c r="A58" s="31">
        <v>46225</v>
      </c>
      <c r="B58" s="31">
        <v>46236</v>
      </c>
      <c r="C58" s="32">
        <f t="shared" si="34"/>
        <v>11</v>
      </c>
      <c r="D58" s="33" t="s">
        <v>98</v>
      </c>
      <c r="E58" s="34" t="s">
        <v>340</v>
      </c>
      <c r="F58" s="34" t="s">
        <v>341</v>
      </c>
      <c r="G58" s="34" t="s">
        <v>35</v>
      </c>
      <c r="H58" s="35">
        <v>5189.41</v>
      </c>
      <c r="I58" s="35">
        <f t="shared" si="1"/>
        <v>471.76454545454544</v>
      </c>
      <c r="J58" s="35">
        <f t="shared" si="35"/>
        <v>778.41149999999993</v>
      </c>
      <c r="K58" s="34" t="s">
        <v>49</v>
      </c>
      <c r="L58" s="35">
        <v>0</v>
      </c>
      <c r="M58" s="61">
        <f t="shared" ref="M58:M64" si="36">IF(H58&lt;&gt;"",H58*0.25,"")</f>
        <v>1297.3525</v>
      </c>
      <c r="N58" s="35">
        <v>50</v>
      </c>
      <c r="O58" s="34" t="s">
        <v>71</v>
      </c>
      <c r="P58" s="35">
        <v>33.28</v>
      </c>
      <c r="Q58" s="35"/>
      <c r="R58" s="76" t="s">
        <v>55</v>
      </c>
      <c r="S58" s="30" t="str">
        <f t="shared" si="2"/>
        <v/>
      </c>
      <c r="T58" s="6" t="str">
        <f>IF($D58="Villa Elena",COUNTIF($D$3:$D58,"Villa Elena"),"")</f>
        <v/>
      </c>
      <c r="U58" s="30" t="str">
        <f t="shared" si="3"/>
        <v/>
      </c>
      <c r="V58" s="30" t="str">
        <f t="shared" si="4"/>
        <v/>
      </c>
      <c r="W58" s="30" t="str">
        <f t="shared" si="5"/>
        <v/>
      </c>
      <c r="X58" s="30" t="str">
        <f t="shared" si="6"/>
        <v/>
      </c>
      <c r="Y58" s="30" t="str">
        <f t="shared" si="7"/>
        <v/>
      </c>
      <c r="Z58" s="30" t="str">
        <f t="shared" si="8"/>
        <v/>
      </c>
      <c r="AA58" s="30" t="str">
        <f t="shared" si="9"/>
        <v/>
      </c>
      <c r="AB58" s="30" t="str">
        <f t="shared" si="10"/>
        <v/>
      </c>
      <c r="AC58" s="30" t="str">
        <f t="shared" si="11"/>
        <v/>
      </c>
      <c r="AD58" s="30" t="str">
        <f t="shared" si="12"/>
        <v/>
      </c>
      <c r="AE58" s="30">
        <f t="shared" si="13"/>
        <v>58</v>
      </c>
      <c r="AF58" s="30" t="str">
        <f t="shared" ref="AF58:AF106" si="37">IF(AND($D58="Villa Elena",$G58&lt;&gt;""),ROW(),"")</f>
        <v/>
      </c>
      <c r="AG58" s="30" t="str">
        <f t="shared" ref="AG58:AG106" si="38">IF(AND($D58="Sotto la Quercia",$G58=""),ROW(),"")</f>
        <v/>
      </c>
      <c r="AH58" s="30" t="str">
        <f t="shared" ref="AH58:AH106" si="39">IF(AND($D58="Villa Elena",$G58=""),ROW(),"")</f>
        <v/>
      </c>
      <c r="AI58" s="30" t="str">
        <f t="shared" ref="AI58:AI106" si="40">IF(AND($D58="Casa Letizia",$G58=""),ROW(),"")</f>
        <v/>
      </c>
      <c r="AJ58" s="30" t="str">
        <f t="shared" ref="AJ58:AJ106" si="41">IF(AND($D58="Casa nel Borgo",$G58=""),ROW(),"")</f>
        <v/>
      </c>
      <c r="AK58" s="30" t="str">
        <f t="shared" ref="AK58:AK106" si="42">IF(AND($D58="Via San Rocco",$G58=""),ROW(),"")</f>
        <v/>
      </c>
      <c r="AL58" s="30" t="str">
        <f t="shared" ref="AL58:AL106" si="43">IF(AND($D58="Via Cavour",$G58=""),ROW(),"")</f>
        <v/>
      </c>
      <c r="AM58" s="30" t="str">
        <f t="shared" ref="AM58:AM106" si="44">IF(AND($D58="Miramare",$G58=""),ROW(),"")</f>
        <v/>
      </c>
      <c r="AN58" s="30" t="str">
        <f t="shared" ref="AN58:AN106" si="45">IF(AND($D58="Agantonio",$G58=""),ROW(),"")</f>
        <v/>
      </c>
      <c r="AO58" s="30" t="str">
        <f t="shared" ref="AO58:AO106" si="46">IF(AND($D58="Casa Bella Gialla",$G58=""),ROW(),"")</f>
        <v/>
      </c>
      <c r="AP58" s="30" t="str">
        <f t="shared" ref="AP58:AP106" si="47">IF(AND($D58="Casa Verde Oliva",$G58=""),ROW(),"")</f>
        <v/>
      </c>
      <c r="AQ58" s="30" t="str">
        <f t="shared" ref="AQ58:AQ106" si="48">IF(AND($D58="Casa Nicola",$G58=""),ROW(),"")</f>
        <v/>
      </c>
      <c r="AR58" s="30" t="str">
        <f t="shared" ref="AR58:AR106" si="49">IF(AND($D58="White Cottage",$G58=""),ROW(),"")</f>
        <v/>
      </c>
      <c r="AS58" s="30" t="str">
        <f t="shared" ref="AS58:AS106" si="50">IF(AND($D58="Villa Nella",$G58=""),ROW(),"")</f>
        <v/>
      </c>
      <c r="AT58" t="str">
        <f t="shared" ref="AT58:AT106" si="51">IF(AND($D58="Nel Cuore di Lanciano",$G58&lt;&gt;""),ROW(),"")</f>
        <v/>
      </c>
      <c r="AU58" t="str">
        <f t="shared" ref="AU58:AU106" si="52">IF(AND($D58="Nel Cuore di Lanciano",$G58=""),ROW(),"")</f>
        <v/>
      </c>
    </row>
    <row r="59" spans="1:47" ht="22" customHeight="1" x14ac:dyDescent="0.2">
      <c r="A59" s="31">
        <v>46227</v>
      </c>
      <c r="B59" s="31">
        <v>46233</v>
      </c>
      <c r="C59" s="32">
        <f t="shared" si="34"/>
        <v>6</v>
      </c>
      <c r="D59" s="33" t="s">
        <v>69</v>
      </c>
      <c r="E59" s="34" t="s">
        <v>111</v>
      </c>
      <c r="F59" s="34" t="s">
        <v>34</v>
      </c>
      <c r="G59" s="34" t="s">
        <v>35</v>
      </c>
      <c r="H59" s="35">
        <v>530.67999999999995</v>
      </c>
      <c r="I59" s="35">
        <f t="shared" si="1"/>
        <v>88.446666666666658</v>
      </c>
      <c r="J59" s="35">
        <f t="shared" si="35"/>
        <v>79.60199999999999</v>
      </c>
      <c r="K59" s="34" t="s">
        <v>36</v>
      </c>
      <c r="L59" s="35">
        <v>12</v>
      </c>
      <c r="M59" s="61">
        <f t="shared" si="36"/>
        <v>132.66999999999999</v>
      </c>
      <c r="N59" s="35">
        <v>20</v>
      </c>
      <c r="O59" s="34" t="s">
        <v>71</v>
      </c>
      <c r="P59" s="35">
        <v>10.38</v>
      </c>
      <c r="Q59" s="35"/>
      <c r="R59" s="36"/>
      <c r="S59" s="30" t="str">
        <f t="shared" si="2"/>
        <v/>
      </c>
      <c r="T59" s="6" t="str">
        <f>IF($D59="Villa Elena",COUNTIF($D$3:$D59,"Villa Elena"),"")</f>
        <v/>
      </c>
      <c r="U59" s="30" t="str">
        <f t="shared" si="3"/>
        <v/>
      </c>
      <c r="V59" s="30" t="str">
        <f t="shared" si="4"/>
        <v/>
      </c>
      <c r="W59" s="30" t="str">
        <f t="shared" si="5"/>
        <v/>
      </c>
      <c r="X59" s="30" t="str">
        <f t="shared" si="6"/>
        <v/>
      </c>
      <c r="Y59" s="30" t="str">
        <f t="shared" si="7"/>
        <v/>
      </c>
      <c r="Z59" s="30">
        <f t="shared" si="8"/>
        <v>59</v>
      </c>
      <c r="AA59" s="30" t="str">
        <f t="shared" si="9"/>
        <v/>
      </c>
      <c r="AB59" s="30" t="str">
        <f t="shared" si="10"/>
        <v/>
      </c>
      <c r="AC59" s="30" t="str">
        <f t="shared" si="11"/>
        <v/>
      </c>
      <c r="AD59" s="30" t="str">
        <f t="shared" si="12"/>
        <v/>
      </c>
      <c r="AE59" s="30" t="str">
        <f t="shared" si="13"/>
        <v/>
      </c>
      <c r="AF59" s="30" t="str">
        <f t="shared" si="37"/>
        <v/>
      </c>
      <c r="AG59" s="30" t="str">
        <f t="shared" si="38"/>
        <v/>
      </c>
      <c r="AH59" s="30" t="str">
        <f t="shared" si="39"/>
        <v/>
      </c>
      <c r="AI59" s="30" t="str">
        <f t="shared" si="40"/>
        <v/>
      </c>
      <c r="AJ59" s="30" t="str">
        <f t="shared" si="41"/>
        <v/>
      </c>
      <c r="AK59" s="30" t="str">
        <f t="shared" si="42"/>
        <v/>
      </c>
      <c r="AL59" s="30" t="str">
        <f t="shared" si="43"/>
        <v/>
      </c>
      <c r="AM59" s="30" t="str">
        <f t="shared" si="44"/>
        <v/>
      </c>
      <c r="AN59" s="30" t="str">
        <f t="shared" si="45"/>
        <v/>
      </c>
      <c r="AO59" s="30" t="str">
        <f t="shared" si="46"/>
        <v/>
      </c>
      <c r="AP59" s="30" t="str">
        <f t="shared" si="47"/>
        <v/>
      </c>
      <c r="AQ59" s="30" t="str">
        <f t="shared" si="48"/>
        <v/>
      </c>
      <c r="AR59" s="30" t="str">
        <f t="shared" si="49"/>
        <v/>
      </c>
      <c r="AS59" s="30" t="str">
        <f t="shared" si="50"/>
        <v/>
      </c>
      <c r="AT59" t="str">
        <f t="shared" si="51"/>
        <v/>
      </c>
      <c r="AU59" t="str">
        <f t="shared" si="52"/>
        <v/>
      </c>
    </row>
    <row r="60" spans="1:47" ht="22" customHeight="1" x14ac:dyDescent="0.2">
      <c r="A60" s="31">
        <v>46229</v>
      </c>
      <c r="B60" s="31">
        <v>46235</v>
      </c>
      <c r="C60" s="32">
        <f t="shared" si="34"/>
        <v>6</v>
      </c>
      <c r="D60" s="33" t="s">
        <v>93</v>
      </c>
      <c r="E60" s="34" t="s">
        <v>112</v>
      </c>
      <c r="F60" s="34" t="s">
        <v>113</v>
      </c>
      <c r="G60" s="34" t="s">
        <v>35</v>
      </c>
      <c r="H60" s="35">
        <v>687.31</v>
      </c>
      <c r="I60" s="35">
        <f t="shared" si="1"/>
        <v>114.55166666666666</v>
      </c>
      <c r="J60" s="35">
        <f t="shared" si="35"/>
        <v>103.09649999999999</v>
      </c>
      <c r="K60" s="34" t="s">
        <v>36</v>
      </c>
      <c r="L60" s="35">
        <v>10</v>
      </c>
      <c r="M60" s="61">
        <f t="shared" si="36"/>
        <v>171.82749999999999</v>
      </c>
      <c r="N60" s="35">
        <v>20</v>
      </c>
      <c r="O60" s="34" t="s">
        <v>71</v>
      </c>
      <c r="P60" s="35">
        <v>26.14</v>
      </c>
      <c r="Q60" s="35"/>
      <c r="R60" s="76" t="s">
        <v>114</v>
      </c>
      <c r="S60" s="30" t="str">
        <f t="shared" si="2"/>
        <v/>
      </c>
      <c r="T60" s="6" t="str">
        <f>IF($D60="Villa Elena",COUNTIF($D$3:$D60,"Villa Elena"),"")</f>
        <v/>
      </c>
      <c r="U60" s="30">
        <f t="shared" si="3"/>
        <v>60</v>
      </c>
      <c r="V60" s="30" t="str">
        <f t="shared" si="4"/>
        <v/>
      </c>
      <c r="W60" s="30" t="str">
        <f t="shared" si="5"/>
        <v/>
      </c>
      <c r="X60" s="30" t="str">
        <f t="shared" si="6"/>
        <v/>
      </c>
      <c r="Y60" s="30" t="str">
        <f t="shared" si="7"/>
        <v/>
      </c>
      <c r="Z60" s="30" t="str">
        <f t="shared" si="8"/>
        <v/>
      </c>
      <c r="AA60" s="30" t="str">
        <f t="shared" si="9"/>
        <v/>
      </c>
      <c r="AB60" s="30" t="str">
        <f t="shared" si="10"/>
        <v/>
      </c>
      <c r="AC60" s="30" t="str">
        <f t="shared" si="11"/>
        <v/>
      </c>
      <c r="AD60" s="30" t="str">
        <f t="shared" si="12"/>
        <v/>
      </c>
      <c r="AE60" s="30" t="str">
        <f t="shared" si="13"/>
        <v/>
      </c>
      <c r="AF60" s="30" t="str">
        <f t="shared" si="37"/>
        <v/>
      </c>
      <c r="AG60" s="30" t="str">
        <f t="shared" si="38"/>
        <v/>
      </c>
      <c r="AH60" s="30" t="str">
        <f t="shared" si="39"/>
        <v/>
      </c>
      <c r="AI60" s="30" t="str">
        <f t="shared" si="40"/>
        <v/>
      </c>
      <c r="AJ60" s="30" t="str">
        <f t="shared" si="41"/>
        <v/>
      </c>
      <c r="AK60" s="30" t="str">
        <f t="shared" si="42"/>
        <v/>
      </c>
      <c r="AL60" s="30" t="str">
        <f t="shared" si="43"/>
        <v/>
      </c>
      <c r="AM60" s="30" t="str">
        <f t="shared" si="44"/>
        <v/>
      </c>
      <c r="AN60" s="30" t="str">
        <f t="shared" si="45"/>
        <v/>
      </c>
      <c r="AO60" s="30" t="str">
        <f t="shared" si="46"/>
        <v/>
      </c>
      <c r="AP60" s="30" t="str">
        <f t="shared" si="47"/>
        <v/>
      </c>
      <c r="AQ60" s="30" t="str">
        <f t="shared" si="48"/>
        <v/>
      </c>
      <c r="AR60" s="30" t="str">
        <f t="shared" si="49"/>
        <v/>
      </c>
      <c r="AS60" s="30" t="str">
        <f t="shared" si="50"/>
        <v/>
      </c>
      <c r="AT60" t="str">
        <f t="shared" si="51"/>
        <v/>
      </c>
      <c r="AU60" t="str">
        <f t="shared" si="52"/>
        <v/>
      </c>
    </row>
    <row r="61" spans="1:47" ht="22" customHeight="1" x14ac:dyDescent="0.2">
      <c r="A61" s="31">
        <v>46229</v>
      </c>
      <c r="B61" s="31">
        <v>46234</v>
      </c>
      <c r="C61" s="32">
        <f t="shared" si="34"/>
        <v>5</v>
      </c>
      <c r="D61" s="33" t="s">
        <v>115</v>
      </c>
      <c r="E61" s="34" t="s">
        <v>364</v>
      </c>
      <c r="F61" s="34" t="s">
        <v>34</v>
      </c>
      <c r="G61" s="34" t="s">
        <v>35</v>
      </c>
      <c r="H61" s="35">
        <v>807.3</v>
      </c>
      <c r="I61" s="35">
        <f t="shared" si="1"/>
        <v>161.45999999999998</v>
      </c>
      <c r="J61" s="35">
        <f t="shared" si="35"/>
        <v>121.09499999999998</v>
      </c>
      <c r="K61" s="34"/>
      <c r="L61" s="35">
        <v>10</v>
      </c>
      <c r="M61" s="61">
        <f t="shared" si="36"/>
        <v>201.82499999999999</v>
      </c>
      <c r="N61" s="35">
        <v>20</v>
      </c>
      <c r="O61" s="34" t="s">
        <v>71</v>
      </c>
      <c r="P61" s="35">
        <v>10.38</v>
      </c>
      <c r="Q61" s="35"/>
      <c r="R61" s="36"/>
      <c r="S61" s="30" t="str">
        <f t="shared" si="2"/>
        <v/>
      </c>
      <c r="T61" s="6" t="str">
        <f>IF($D61="Villa Elena",COUNTIF($D$3:$D61,"Villa Elena"),"")</f>
        <v/>
      </c>
      <c r="U61" s="30" t="str">
        <f t="shared" si="3"/>
        <v/>
      </c>
      <c r="V61" s="30" t="str">
        <f t="shared" si="4"/>
        <v/>
      </c>
      <c r="W61" s="30" t="str">
        <f t="shared" si="5"/>
        <v/>
      </c>
      <c r="X61" s="30" t="str">
        <f t="shared" si="6"/>
        <v/>
      </c>
      <c r="Y61" s="30" t="str">
        <f t="shared" si="7"/>
        <v/>
      </c>
      <c r="Z61" s="30" t="str">
        <f t="shared" si="8"/>
        <v/>
      </c>
      <c r="AA61" s="30" t="str">
        <f t="shared" si="9"/>
        <v/>
      </c>
      <c r="AB61" s="30">
        <f t="shared" si="10"/>
        <v>61</v>
      </c>
      <c r="AC61" s="30" t="str">
        <f t="shared" si="11"/>
        <v/>
      </c>
      <c r="AD61" s="30" t="str">
        <f t="shared" si="12"/>
        <v/>
      </c>
      <c r="AE61" s="30" t="str">
        <f t="shared" si="13"/>
        <v/>
      </c>
      <c r="AF61" s="30" t="str">
        <f t="shared" si="37"/>
        <v/>
      </c>
      <c r="AG61" s="30" t="str">
        <f t="shared" si="38"/>
        <v/>
      </c>
      <c r="AH61" s="30" t="str">
        <f t="shared" si="39"/>
        <v/>
      </c>
      <c r="AI61" s="30" t="str">
        <f t="shared" si="40"/>
        <v/>
      </c>
      <c r="AJ61" s="30" t="str">
        <f t="shared" si="41"/>
        <v/>
      </c>
      <c r="AK61" s="30" t="str">
        <f t="shared" si="42"/>
        <v/>
      </c>
      <c r="AL61" s="30" t="str">
        <f t="shared" si="43"/>
        <v/>
      </c>
      <c r="AM61" s="30" t="str">
        <f t="shared" si="44"/>
        <v/>
      </c>
      <c r="AN61" s="30" t="str">
        <f t="shared" si="45"/>
        <v/>
      </c>
      <c r="AO61" s="30" t="str">
        <f t="shared" si="46"/>
        <v/>
      </c>
      <c r="AP61" s="30" t="str">
        <f t="shared" si="47"/>
        <v/>
      </c>
      <c r="AQ61" s="30" t="str">
        <f t="shared" si="48"/>
        <v/>
      </c>
      <c r="AR61" s="30" t="str">
        <f t="shared" si="49"/>
        <v/>
      </c>
      <c r="AS61" s="30" t="str">
        <f t="shared" si="50"/>
        <v/>
      </c>
      <c r="AT61" t="str">
        <f t="shared" si="51"/>
        <v/>
      </c>
      <c r="AU61" t="str">
        <f t="shared" si="52"/>
        <v/>
      </c>
    </row>
    <row r="62" spans="1:47" ht="22" customHeight="1" x14ac:dyDescent="0.2">
      <c r="A62" s="31">
        <v>46230</v>
      </c>
      <c r="B62" s="31">
        <v>46237</v>
      </c>
      <c r="C62" s="32">
        <f t="shared" si="34"/>
        <v>7</v>
      </c>
      <c r="D62" s="33" t="s">
        <v>125</v>
      </c>
      <c r="E62" s="34" t="s">
        <v>326</v>
      </c>
      <c r="F62" s="34" t="s">
        <v>34</v>
      </c>
      <c r="G62" s="34" t="s">
        <v>35</v>
      </c>
      <c r="H62" s="35">
        <v>554.4</v>
      </c>
      <c r="I62" s="35">
        <f t="shared" si="1"/>
        <v>79.2</v>
      </c>
      <c r="J62" s="35">
        <f t="shared" si="35"/>
        <v>83.16</v>
      </c>
      <c r="K62" s="34"/>
      <c r="L62" s="35">
        <v>4</v>
      </c>
      <c r="M62" s="61">
        <f t="shared" si="36"/>
        <v>138.6</v>
      </c>
      <c r="N62" s="35">
        <v>50</v>
      </c>
      <c r="O62" s="34" t="s">
        <v>71</v>
      </c>
      <c r="P62" s="35">
        <v>27.72</v>
      </c>
      <c r="Q62" s="35"/>
      <c r="R62" s="36"/>
      <c r="S62" s="30" t="str">
        <f t="shared" si="2"/>
        <v/>
      </c>
      <c r="T62" s="6" t="str">
        <f>IF($D62="Villa Elena",COUNTIF($D$3:$D62,"Villa Elena"),"")</f>
        <v/>
      </c>
      <c r="U62" s="30" t="str">
        <f t="shared" si="3"/>
        <v/>
      </c>
      <c r="V62" s="30" t="str">
        <f t="shared" si="4"/>
        <v/>
      </c>
      <c r="W62" s="30" t="str">
        <f t="shared" si="5"/>
        <v/>
      </c>
      <c r="X62" s="30" t="str">
        <f t="shared" si="6"/>
        <v/>
      </c>
      <c r="Y62" s="30" t="str">
        <f t="shared" si="7"/>
        <v/>
      </c>
      <c r="Z62" s="30" t="str">
        <f t="shared" si="8"/>
        <v/>
      </c>
      <c r="AA62" s="30" t="str">
        <f t="shared" si="9"/>
        <v/>
      </c>
      <c r="AB62" s="30" t="str">
        <f t="shared" si="10"/>
        <v/>
      </c>
      <c r="AC62" s="30" t="str">
        <f t="shared" si="11"/>
        <v/>
      </c>
      <c r="AD62" s="30" t="str">
        <f t="shared" si="12"/>
        <v/>
      </c>
      <c r="AE62" s="30" t="str">
        <f t="shared" si="13"/>
        <v/>
      </c>
      <c r="AF62" s="30" t="str">
        <f t="shared" si="37"/>
        <v/>
      </c>
      <c r="AG62" s="30" t="str">
        <f t="shared" si="38"/>
        <v/>
      </c>
      <c r="AH62" s="30" t="str">
        <f t="shared" si="39"/>
        <v/>
      </c>
      <c r="AI62" s="30" t="str">
        <f t="shared" si="40"/>
        <v/>
      </c>
      <c r="AJ62" s="30" t="str">
        <f t="shared" si="41"/>
        <v/>
      </c>
      <c r="AK62" s="30" t="str">
        <f t="shared" si="42"/>
        <v/>
      </c>
      <c r="AL62" s="30" t="str">
        <f t="shared" si="43"/>
        <v/>
      </c>
      <c r="AM62" s="30" t="str">
        <f t="shared" si="44"/>
        <v/>
      </c>
      <c r="AN62" s="30" t="str">
        <f t="shared" si="45"/>
        <v/>
      </c>
      <c r="AO62" s="30" t="str">
        <f t="shared" si="46"/>
        <v/>
      </c>
      <c r="AP62" s="30" t="str">
        <f t="shared" si="47"/>
        <v/>
      </c>
      <c r="AQ62" s="30" t="str">
        <f t="shared" si="48"/>
        <v/>
      </c>
      <c r="AR62" s="30" t="str">
        <f t="shared" si="49"/>
        <v/>
      </c>
      <c r="AS62" s="30" t="str">
        <f t="shared" si="50"/>
        <v/>
      </c>
      <c r="AT62">
        <f t="shared" si="51"/>
        <v>62</v>
      </c>
      <c r="AU62" t="str">
        <f t="shared" si="52"/>
        <v/>
      </c>
    </row>
    <row r="63" spans="1:47" ht="22" customHeight="1" x14ac:dyDescent="0.2">
      <c r="A63" s="31">
        <v>46231</v>
      </c>
      <c r="B63" s="31">
        <v>46237</v>
      </c>
      <c r="C63" s="32">
        <f t="shared" si="34"/>
        <v>6</v>
      </c>
      <c r="D63" s="33" t="s">
        <v>39</v>
      </c>
      <c r="E63" s="34" t="s">
        <v>362</v>
      </c>
      <c r="F63" s="34" t="s">
        <v>34</v>
      </c>
      <c r="G63" s="34" t="s">
        <v>48</v>
      </c>
      <c r="H63" s="35">
        <v>420</v>
      </c>
      <c r="I63" s="35">
        <f t="shared" si="1"/>
        <v>70</v>
      </c>
      <c r="J63" s="35" t="str">
        <f t="shared" si="35"/>
        <v/>
      </c>
      <c r="K63" s="34" t="s">
        <v>49</v>
      </c>
      <c r="L63" s="35">
        <v>4</v>
      </c>
      <c r="M63" s="61">
        <f t="shared" si="36"/>
        <v>105</v>
      </c>
      <c r="N63" s="35">
        <v>20</v>
      </c>
      <c r="O63" s="34" t="s">
        <v>71</v>
      </c>
      <c r="P63" s="35">
        <v>12.15</v>
      </c>
      <c r="Q63" s="35"/>
      <c r="R63" s="36"/>
      <c r="S63" s="30" t="str">
        <f t="shared" si="2"/>
        <v/>
      </c>
      <c r="T63" s="6" t="str">
        <f>IF($D63="Villa Elena",COUNTIF($D$3:$D63,"Villa Elena"),"")</f>
        <v/>
      </c>
      <c r="U63" s="30" t="str">
        <f t="shared" si="3"/>
        <v/>
      </c>
      <c r="V63" s="30">
        <f t="shared" si="4"/>
        <v>63</v>
      </c>
      <c r="W63" s="30" t="str">
        <f t="shared" si="5"/>
        <v/>
      </c>
      <c r="X63" s="30" t="str">
        <f t="shared" si="6"/>
        <v/>
      </c>
      <c r="Y63" s="30" t="str">
        <f t="shared" si="7"/>
        <v/>
      </c>
      <c r="Z63" s="30" t="str">
        <f t="shared" si="8"/>
        <v/>
      </c>
      <c r="AA63" s="30" t="str">
        <f t="shared" si="9"/>
        <v/>
      </c>
      <c r="AB63" s="30" t="str">
        <f t="shared" si="10"/>
        <v/>
      </c>
      <c r="AC63" s="30" t="str">
        <f t="shared" si="11"/>
        <v/>
      </c>
      <c r="AD63" s="30" t="str">
        <f t="shared" si="12"/>
        <v/>
      </c>
      <c r="AE63" s="30" t="str">
        <f t="shared" si="13"/>
        <v/>
      </c>
      <c r="AF63" s="30" t="str">
        <f t="shared" si="37"/>
        <v/>
      </c>
      <c r="AG63" s="30" t="str">
        <f t="shared" si="38"/>
        <v/>
      </c>
      <c r="AH63" s="30" t="str">
        <f t="shared" si="39"/>
        <v/>
      </c>
      <c r="AI63" s="30" t="str">
        <f t="shared" si="40"/>
        <v/>
      </c>
      <c r="AJ63" s="30" t="str">
        <f t="shared" si="41"/>
        <v/>
      </c>
      <c r="AK63" s="30" t="str">
        <f t="shared" si="42"/>
        <v/>
      </c>
      <c r="AL63" s="30" t="str">
        <f t="shared" si="43"/>
        <v/>
      </c>
      <c r="AM63" s="30" t="str">
        <f t="shared" si="44"/>
        <v/>
      </c>
      <c r="AN63" s="30" t="str">
        <f t="shared" si="45"/>
        <v/>
      </c>
      <c r="AO63" s="30" t="str">
        <f t="shared" si="46"/>
        <v/>
      </c>
      <c r="AP63" s="30" t="str">
        <f t="shared" si="47"/>
        <v/>
      </c>
      <c r="AQ63" s="30" t="str">
        <f t="shared" si="48"/>
        <v/>
      </c>
      <c r="AR63" s="30" t="str">
        <f t="shared" si="49"/>
        <v/>
      </c>
      <c r="AS63" s="30" t="str">
        <f t="shared" si="50"/>
        <v/>
      </c>
      <c r="AT63" t="str">
        <f t="shared" si="51"/>
        <v/>
      </c>
      <c r="AU63" t="str">
        <f t="shared" si="52"/>
        <v/>
      </c>
    </row>
    <row r="64" spans="1:47" ht="22" customHeight="1" x14ac:dyDescent="0.2">
      <c r="A64" s="31">
        <v>46231</v>
      </c>
      <c r="B64" s="31">
        <v>46234</v>
      </c>
      <c r="C64" s="32">
        <f t="shared" si="34"/>
        <v>3</v>
      </c>
      <c r="D64" s="33" t="s">
        <v>96</v>
      </c>
      <c r="E64" s="34" t="s">
        <v>360</v>
      </c>
      <c r="F64" s="34" t="s">
        <v>47</v>
      </c>
      <c r="G64" s="34" t="s">
        <v>48</v>
      </c>
      <c r="H64" s="35">
        <v>582</v>
      </c>
      <c r="I64" s="35">
        <f t="shared" si="1"/>
        <v>194</v>
      </c>
      <c r="J64" s="35" t="str">
        <f t="shared" si="35"/>
        <v/>
      </c>
      <c r="K64" s="34" t="s">
        <v>67</v>
      </c>
      <c r="L64" s="35">
        <v>12</v>
      </c>
      <c r="M64" s="61">
        <f t="shared" si="36"/>
        <v>145.5</v>
      </c>
      <c r="N64" s="35">
        <v>0</v>
      </c>
      <c r="O64" s="34" t="s">
        <v>71</v>
      </c>
      <c r="P64" s="35">
        <v>0</v>
      </c>
      <c r="Q64" s="35"/>
      <c r="R64" s="36" t="s">
        <v>368</v>
      </c>
      <c r="S64" s="30" t="str">
        <f t="shared" si="2"/>
        <v/>
      </c>
      <c r="T64" s="6" t="str">
        <f>IF($D64="Villa Elena",COUNTIF($D$3:$D64,"Villa Elena"),"")</f>
        <v/>
      </c>
      <c r="U64" s="30" t="str">
        <f t="shared" si="3"/>
        <v/>
      </c>
      <c r="V64" s="30" t="str">
        <f t="shared" si="4"/>
        <v/>
      </c>
      <c r="W64" s="30" t="str">
        <f t="shared" si="5"/>
        <v/>
      </c>
      <c r="X64" s="30" t="str">
        <f t="shared" si="6"/>
        <v/>
      </c>
      <c r="Y64" s="30">
        <f t="shared" si="7"/>
        <v>64</v>
      </c>
      <c r="Z64" s="30" t="str">
        <f t="shared" si="8"/>
        <v/>
      </c>
      <c r="AA64" s="30" t="str">
        <f t="shared" si="9"/>
        <v/>
      </c>
      <c r="AB64" s="30" t="str">
        <f t="shared" si="10"/>
        <v/>
      </c>
      <c r="AC64" s="30" t="str">
        <f t="shared" si="11"/>
        <v/>
      </c>
      <c r="AD64" s="30" t="str">
        <f t="shared" si="12"/>
        <v/>
      </c>
      <c r="AE64" s="30" t="str">
        <f t="shared" si="13"/>
        <v/>
      </c>
      <c r="AF64" s="30" t="str">
        <f t="shared" si="37"/>
        <v/>
      </c>
      <c r="AG64" s="30" t="str">
        <f t="shared" si="38"/>
        <v/>
      </c>
      <c r="AH64" s="30" t="str">
        <f t="shared" si="39"/>
        <v/>
      </c>
      <c r="AI64" s="30" t="str">
        <f t="shared" si="40"/>
        <v/>
      </c>
      <c r="AJ64" s="30" t="str">
        <f t="shared" si="41"/>
        <v/>
      </c>
      <c r="AK64" s="30" t="str">
        <f t="shared" si="42"/>
        <v/>
      </c>
      <c r="AL64" s="30" t="str">
        <f t="shared" si="43"/>
        <v/>
      </c>
      <c r="AM64" s="30" t="str">
        <f t="shared" si="44"/>
        <v/>
      </c>
      <c r="AN64" s="30" t="str">
        <f t="shared" si="45"/>
        <v/>
      </c>
      <c r="AO64" s="30" t="str">
        <f t="shared" si="46"/>
        <v/>
      </c>
      <c r="AP64" s="30" t="str">
        <f t="shared" si="47"/>
        <v/>
      </c>
      <c r="AQ64" s="30" t="str">
        <f t="shared" si="48"/>
        <v/>
      </c>
      <c r="AR64" s="30" t="str">
        <f t="shared" si="49"/>
        <v/>
      </c>
      <c r="AS64" s="30" t="str">
        <f t="shared" si="50"/>
        <v/>
      </c>
      <c r="AT64" t="str">
        <f t="shared" si="51"/>
        <v/>
      </c>
      <c r="AU64" t="str">
        <f t="shared" si="52"/>
        <v/>
      </c>
    </row>
    <row r="65" spans="1:47" ht="22" customHeight="1" x14ac:dyDescent="0.2">
      <c r="A65" s="31">
        <v>46232</v>
      </c>
      <c r="B65" s="31">
        <v>46237</v>
      </c>
      <c r="C65" s="32">
        <f t="shared" si="34"/>
        <v>5</v>
      </c>
      <c r="D65" s="33" t="s">
        <v>51</v>
      </c>
      <c r="E65" s="34" t="s">
        <v>357</v>
      </c>
      <c r="F65" s="34" t="s">
        <v>34</v>
      </c>
      <c r="G65" s="34" t="s">
        <v>48</v>
      </c>
      <c r="H65" s="35">
        <v>475</v>
      </c>
      <c r="I65" s="35">
        <f t="shared" si="1"/>
        <v>95</v>
      </c>
      <c r="J65" s="35" t="str">
        <f t="shared" si="35"/>
        <v/>
      </c>
      <c r="K65" s="34"/>
      <c r="L65" s="35"/>
      <c r="M65" s="61">
        <f>IF(H65&lt;&gt;"",H65*0.1,"")</f>
        <v>47.5</v>
      </c>
      <c r="N65" s="35"/>
      <c r="O65" s="34"/>
      <c r="P65" s="35"/>
      <c r="Q65" s="35"/>
      <c r="R65" s="36"/>
      <c r="S65" s="30" t="str">
        <f t="shared" si="2"/>
        <v/>
      </c>
      <c r="T65" s="6" t="str">
        <f>IF($D65="Villa Elena",COUNTIF($D$3:$D65,"Villa Elena"),"")</f>
        <v/>
      </c>
      <c r="U65" s="30" t="str">
        <f t="shared" si="3"/>
        <v/>
      </c>
      <c r="V65" s="30" t="str">
        <f t="shared" si="4"/>
        <v/>
      </c>
      <c r="W65" s="30">
        <f t="shared" si="5"/>
        <v>65</v>
      </c>
      <c r="X65" s="30" t="str">
        <f t="shared" si="6"/>
        <v/>
      </c>
      <c r="Y65" s="30" t="str">
        <f t="shared" si="7"/>
        <v/>
      </c>
      <c r="Z65" s="30" t="str">
        <f t="shared" si="8"/>
        <v/>
      </c>
      <c r="AA65" s="30" t="str">
        <f t="shared" si="9"/>
        <v/>
      </c>
      <c r="AB65" s="30" t="str">
        <f t="shared" si="10"/>
        <v/>
      </c>
      <c r="AC65" s="30" t="str">
        <f t="shared" si="11"/>
        <v/>
      </c>
      <c r="AD65" s="30" t="str">
        <f t="shared" si="12"/>
        <v/>
      </c>
      <c r="AE65" s="30" t="str">
        <f t="shared" si="13"/>
        <v/>
      </c>
      <c r="AF65" s="30" t="str">
        <f t="shared" si="37"/>
        <v/>
      </c>
      <c r="AG65" s="30" t="str">
        <f t="shared" si="38"/>
        <v/>
      </c>
      <c r="AH65" s="30" t="str">
        <f t="shared" si="39"/>
        <v/>
      </c>
      <c r="AI65" s="30" t="str">
        <f t="shared" si="40"/>
        <v/>
      </c>
      <c r="AJ65" s="30" t="str">
        <f t="shared" si="41"/>
        <v/>
      </c>
      <c r="AK65" s="30" t="str">
        <f t="shared" si="42"/>
        <v/>
      </c>
      <c r="AL65" s="30" t="str">
        <f t="shared" si="43"/>
        <v/>
      </c>
      <c r="AM65" s="30" t="str">
        <f t="shared" si="44"/>
        <v/>
      </c>
      <c r="AN65" s="30" t="str">
        <f t="shared" si="45"/>
        <v/>
      </c>
      <c r="AO65" s="30" t="str">
        <f t="shared" si="46"/>
        <v/>
      </c>
      <c r="AP65" s="30" t="str">
        <f t="shared" si="47"/>
        <v/>
      </c>
      <c r="AQ65" s="30" t="str">
        <f t="shared" si="48"/>
        <v/>
      </c>
      <c r="AR65" s="30" t="str">
        <f t="shared" si="49"/>
        <v/>
      </c>
      <c r="AS65" s="30" t="str">
        <f t="shared" si="50"/>
        <v/>
      </c>
      <c r="AT65" t="str">
        <f t="shared" si="51"/>
        <v/>
      </c>
      <c r="AU65" t="str">
        <f t="shared" si="52"/>
        <v/>
      </c>
    </row>
    <row r="66" spans="1:47" ht="22" customHeight="1" x14ac:dyDescent="0.2">
      <c r="A66" s="31">
        <v>46235</v>
      </c>
      <c r="B66" s="31">
        <v>46241</v>
      </c>
      <c r="C66" s="32">
        <f t="shared" si="34"/>
        <v>6</v>
      </c>
      <c r="D66" s="33" t="s">
        <v>115</v>
      </c>
      <c r="E66" s="34" t="s">
        <v>116</v>
      </c>
      <c r="F66" s="34" t="s">
        <v>83</v>
      </c>
      <c r="G66" s="34" t="s">
        <v>35</v>
      </c>
      <c r="H66" s="35">
        <v>458</v>
      </c>
      <c r="I66" s="35">
        <f t="shared" si="1"/>
        <v>76.333333333333329</v>
      </c>
      <c r="J66" s="35">
        <f t="shared" si="35"/>
        <v>68.7</v>
      </c>
      <c r="K66" s="34" t="s">
        <v>49</v>
      </c>
      <c r="L66" s="35">
        <v>15</v>
      </c>
      <c r="M66" s="61">
        <f t="shared" ref="M66:M74" si="53">IF(H66&lt;&gt;"",H66*0.25,"")</f>
        <v>114.5</v>
      </c>
      <c r="N66" s="35">
        <v>20</v>
      </c>
      <c r="O66" s="34" t="s">
        <v>71</v>
      </c>
      <c r="P66" s="35">
        <v>17.52</v>
      </c>
      <c r="Q66" s="35"/>
      <c r="R66" s="36"/>
      <c r="S66" s="30" t="str">
        <f t="shared" si="2"/>
        <v/>
      </c>
      <c r="T66" s="6" t="str">
        <f>IF($D66="Villa Elena",COUNTIF($D$3:$D66,"Villa Elena"),"")</f>
        <v/>
      </c>
      <c r="U66" s="30" t="str">
        <f t="shared" si="3"/>
        <v/>
      </c>
      <c r="V66" s="30" t="str">
        <f t="shared" si="4"/>
        <v/>
      </c>
      <c r="W66" s="30" t="str">
        <f t="shared" si="5"/>
        <v/>
      </c>
      <c r="X66" s="30" t="str">
        <f t="shared" si="6"/>
        <v/>
      </c>
      <c r="Y66" s="30" t="str">
        <f t="shared" si="7"/>
        <v/>
      </c>
      <c r="Z66" s="30" t="str">
        <f t="shared" si="8"/>
        <v/>
      </c>
      <c r="AA66" s="30" t="str">
        <f t="shared" si="9"/>
        <v/>
      </c>
      <c r="AB66" s="30">
        <f t="shared" si="10"/>
        <v>66</v>
      </c>
      <c r="AC66" s="30" t="str">
        <f t="shared" si="11"/>
        <v/>
      </c>
      <c r="AD66" s="30" t="str">
        <f t="shared" si="12"/>
        <v/>
      </c>
      <c r="AE66" s="30" t="str">
        <f t="shared" si="13"/>
        <v/>
      </c>
      <c r="AF66" s="30" t="str">
        <f t="shared" si="37"/>
        <v/>
      </c>
      <c r="AG66" s="30" t="str">
        <f t="shared" si="38"/>
        <v/>
      </c>
      <c r="AH66" s="30" t="str">
        <f t="shared" si="39"/>
        <v/>
      </c>
      <c r="AI66" s="30" t="str">
        <f t="shared" si="40"/>
        <v/>
      </c>
      <c r="AJ66" s="30" t="str">
        <f t="shared" si="41"/>
        <v/>
      </c>
      <c r="AK66" s="30" t="str">
        <f t="shared" si="42"/>
        <v/>
      </c>
      <c r="AL66" s="30" t="str">
        <f t="shared" si="43"/>
        <v/>
      </c>
      <c r="AM66" s="30" t="str">
        <f t="shared" si="44"/>
        <v/>
      </c>
      <c r="AN66" s="30" t="str">
        <f t="shared" si="45"/>
        <v/>
      </c>
      <c r="AO66" s="30" t="str">
        <f t="shared" si="46"/>
        <v/>
      </c>
      <c r="AP66" s="30" t="str">
        <f t="shared" si="47"/>
        <v/>
      </c>
      <c r="AQ66" s="30" t="str">
        <f t="shared" si="48"/>
        <v/>
      </c>
      <c r="AR66" s="30" t="str">
        <f t="shared" si="49"/>
        <v/>
      </c>
      <c r="AS66" s="30" t="str">
        <f t="shared" si="50"/>
        <v/>
      </c>
      <c r="AT66" t="str">
        <f t="shared" si="51"/>
        <v/>
      </c>
      <c r="AU66" t="str">
        <f t="shared" si="52"/>
        <v/>
      </c>
    </row>
    <row r="67" spans="1:47" ht="22" customHeight="1" x14ac:dyDescent="0.2">
      <c r="A67" s="31">
        <v>46235</v>
      </c>
      <c r="B67" s="31">
        <v>46242</v>
      </c>
      <c r="C67" s="32">
        <f t="shared" si="34"/>
        <v>7</v>
      </c>
      <c r="D67" s="33" t="s">
        <v>96</v>
      </c>
      <c r="E67" s="34" t="s">
        <v>305</v>
      </c>
      <c r="F67" s="34" t="s">
        <v>34</v>
      </c>
      <c r="G67" s="34" t="s">
        <v>35</v>
      </c>
      <c r="H67" s="35">
        <v>830.76</v>
      </c>
      <c r="I67" s="35">
        <f t="shared" ref="I67:I130" si="54">IF(AND(H67&lt;&gt;"",C67&lt;&gt;"",C67&lt;&gt;0),H67/C67,"")</f>
        <v>118.67999999999999</v>
      </c>
      <c r="J67" s="35">
        <f t="shared" si="35"/>
        <v>124.61399999999999</v>
      </c>
      <c r="K67" s="34" t="s">
        <v>42</v>
      </c>
      <c r="L67" s="35">
        <v>14</v>
      </c>
      <c r="M67" s="61">
        <f t="shared" si="53"/>
        <v>207.69</v>
      </c>
      <c r="N67" s="35">
        <v>40</v>
      </c>
      <c r="O67" s="34" t="s">
        <v>71</v>
      </c>
      <c r="P67" s="35">
        <v>10.38</v>
      </c>
      <c r="Q67" s="35"/>
      <c r="R67" s="36"/>
      <c r="S67" s="30" t="str">
        <f t="shared" ref="S67:S130" si="55">IF(AND($D67="Sotto la Quercia",$G67&lt;&gt;""),ROW(),"")</f>
        <v/>
      </c>
      <c r="T67" s="6" t="str">
        <f>IF($D67="Villa Elena",COUNTIF($D$3:$D67,"Villa Elena"),"")</f>
        <v/>
      </c>
      <c r="U67" s="30" t="str">
        <f t="shared" ref="U67:U130" si="56">IF(AND($D67="Casa Letizia",$G67&lt;&gt;""),ROW(),"")</f>
        <v/>
      </c>
      <c r="V67" s="30" t="str">
        <f t="shared" ref="V67:V130" si="57">IF(AND($D67="Casa nel Borgo",$G67&lt;&gt;""),ROW(),"")</f>
        <v/>
      </c>
      <c r="W67" s="30" t="str">
        <f t="shared" ref="W67:W130" si="58">IF(AND($D67="Via San Rocco",$G67&lt;&gt;""),ROW(),"")</f>
        <v/>
      </c>
      <c r="X67" s="30" t="str">
        <f t="shared" ref="X67:X130" si="59">IF(AND($D67="Via Cavour",$G67&lt;&gt;""),ROW(),"")</f>
        <v/>
      </c>
      <c r="Y67" s="30">
        <f t="shared" ref="Y67:Y130" si="60">IF(AND($D67="Miramare",$G67&lt;&gt;""),ROW(),"")</f>
        <v>67</v>
      </c>
      <c r="Z67" s="30" t="str">
        <f t="shared" ref="Z67:Z130" si="61">IF(AND($D67="Agantonio",$G67&lt;&gt;""),ROW(),"")</f>
        <v/>
      </c>
      <c r="AA67" s="30" t="str">
        <f t="shared" ref="AA67:AA130" si="62">IF(AND($D67="Casa Bella Gialla",$G67&lt;&gt;""),ROW(),"")</f>
        <v/>
      </c>
      <c r="AB67" s="30" t="str">
        <f t="shared" ref="AB67:AB130" si="63">IF(AND($D67="Casa Verde Oliva",$G67&lt;&gt;""),ROW(),"")</f>
        <v/>
      </c>
      <c r="AC67" s="30" t="str">
        <f t="shared" ref="AC67:AC130" si="64">IF(AND($D67="Casa Nicola",$G67&lt;&gt;""),ROW(),"")</f>
        <v/>
      </c>
      <c r="AD67" s="30" t="str">
        <f t="shared" ref="AD67:AD130" si="65">IF(AND($D67="White Cottage",$G67&lt;&gt;""),ROW(),"")</f>
        <v/>
      </c>
      <c r="AE67" s="30" t="str">
        <f t="shared" ref="AE67:AE130" si="66">IF(AND($D67="Villa Nella",$G67&lt;&gt;""),ROW(),"")</f>
        <v/>
      </c>
      <c r="AF67" s="30" t="str">
        <f t="shared" si="37"/>
        <v/>
      </c>
      <c r="AG67" s="30" t="str">
        <f t="shared" si="38"/>
        <v/>
      </c>
      <c r="AH67" s="30" t="str">
        <f t="shared" si="39"/>
        <v/>
      </c>
      <c r="AI67" s="30" t="str">
        <f t="shared" si="40"/>
        <v/>
      </c>
      <c r="AJ67" s="30" t="str">
        <f t="shared" si="41"/>
        <v/>
      </c>
      <c r="AK67" s="30" t="str">
        <f t="shared" si="42"/>
        <v/>
      </c>
      <c r="AL67" s="30" t="str">
        <f t="shared" si="43"/>
        <v/>
      </c>
      <c r="AM67" s="30" t="str">
        <f t="shared" si="44"/>
        <v/>
      </c>
      <c r="AN67" s="30" t="str">
        <f t="shared" si="45"/>
        <v/>
      </c>
      <c r="AO67" s="30" t="str">
        <f t="shared" si="46"/>
        <v/>
      </c>
      <c r="AP67" s="30" t="str">
        <f t="shared" si="47"/>
        <v/>
      </c>
      <c r="AQ67" s="30" t="str">
        <f t="shared" si="48"/>
        <v/>
      </c>
      <c r="AR67" s="30" t="str">
        <f t="shared" si="49"/>
        <v/>
      </c>
      <c r="AS67" s="30" t="str">
        <f t="shared" si="50"/>
        <v/>
      </c>
      <c r="AT67" t="str">
        <f t="shared" si="51"/>
        <v/>
      </c>
      <c r="AU67" t="str">
        <f t="shared" si="52"/>
        <v/>
      </c>
    </row>
    <row r="68" spans="1:47" ht="22" customHeight="1" x14ac:dyDescent="0.2">
      <c r="A68" s="31">
        <v>46236</v>
      </c>
      <c r="B68" s="31">
        <v>46242</v>
      </c>
      <c r="C68" s="32">
        <f t="shared" si="34"/>
        <v>6</v>
      </c>
      <c r="D68" s="33" t="s">
        <v>93</v>
      </c>
      <c r="E68" s="34" t="s">
        <v>325</v>
      </c>
      <c r="F68" s="34" t="s">
        <v>34</v>
      </c>
      <c r="G68" s="34" t="s">
        <v>35</v>
      </c>
      <c r="H68" s="35">
        <v>706.96</v>
      </c>
      <c r="I68" s="35">
        <f t="shared" si="54"/>
        <v>117.82666666666667</v>
      </c>
      <c r="J68" s="35">
        <f t="shared" si="35"/>
        <v>106.044</v>
      </c>
      <c r="K68" s="34" t="s">
        <v>49</v>
      </c>
      <c r="L68" s="35">
        <v>10</v>
      </c>
      <c r="M68" s="61">
        <f t="shared" si="53"/>
        <v>176.74</v>
      </c>
      <c r="N68" s="35">
        <v>20</v>
      </c>
      <c r="O68" s="34" t="s">
        <v>71</v>
      </c>
      <c r="P68" s="35">
        <v>13.56</v>
      </c>
      <c r="Q68" s="35"/>
      <c r="R68" s="36"/>
      <c r="S68" s="30" t="str">
        <f t="shared" si="55"/>
        <v/>
      </c>
      <c r="T68" s="6" t="str">
        <f>IF($D68="Villa Elena",COUNTIF($D$3:$D68,"Villa Elena"),"")</f>
        <v/>
      </c>
      <c r="U68" s="30">
        <f t="shared" si="56"/>
        <v>68</v>
      </c>
      <c r="V68" s="30" t="str">
        <f t="shared" si="57"/>
        <v/>
      </c>
      <c r="W68" s="30" t="str">
        <f t="shared" si="58"/>
        <v/>
      </c>
      <c r="X68" s="30" t="str">
        <f t="shared" si="59"/>
        <v/>
      </c>
      <c r="Y68" s="30" t="str">
        <f t="shared" si="60"/>
        <v/>
      </c>
      <c r="Z68" s="30" t="str">
        <f t="shared" si="61"/>
        <v/>
      </c>
      <c r="AA68" s="30" t="str">
        <f t="shared" si="62"/>
        <v/>
      </c>
      <c r="AB68" s="30" t="str">
        <f t="shared" si="63"/>
        <v/>
      </c>
      <c r="AC68" s="30" t="str">
        <f t="shared" si="64"/>
        <v/>
      </c>
      <c r="AD68" s="30" t="str">
        <f t="shared" si="65"/>
        <v/>
      </c>
      <c r="AE68" s="30" t="str">
        <f t="shared" si="66"/>
        <v/>
      </c>
      <c r="AF68" s="30" t="str">
        <f t="shared" si="37"/>
        <v/>
      </c>
      <c r="AG68" s="30" t="str">
        <f t="shared" si="38"/>
        <v/>
      </c>
      <c r="AH68" s="30" t="str">
        <f t="shared" si="39"/>
        <v/>
      </c>
      <c r="AI68" s="30" t="str">
        <f t="shared" si="40"/>
        <v/>
      </c>
      <c r="AJ68" s="30" t="str">
        <f t="shared" si="41"/>
        <v/>
      </c>
      <c r="AK68" s="30" t="str">
        <f t="shared" si="42"/>
        <v/>
      </c>
      <c r="AL68" s="30" t="str">
        <f t="shared" si="43"/>
        <v/>
      </c>
      <c r="AM68" s="30" t="str">
        <f t="shared" si="44"/>
        <v/>
      </c>
      <c r="AN68" s="30" t="str">
        <f t="shared" si="45"/>
        <v/>
      </c>
      <c r="AO68" s="30" t="str">
        <f t="shared" si="46"/>
        <v/>
      </c>
      <c r="AP68" s="30" t="str">
        <f t="shared" si="47"/>
        <v/>
      </c>
      <c r="AQ68" s="30" t="str">
        <f t="shared" si="48"/>
        <v/>
      </c>
      <c r="AR68" s="30" t="str">
        <f t="shared" si="49"/>
        <v/>
      </c>
      <c r="AS68" s="30" t="str">
        <f t="shared" si="50"/>
        <v/>
      </c>
      <c r="AT68" t="str">
        <f t="shared" si="51"/>
        <v/>
      </c>
      <c r="AU68" t="str">
        <f t="shared" si="52"/>
        <v/>
      </c>
    </row>
    <row r="69" spans="1:47" ht="22" customHeight="1" x14ac:dyDescent="0.2">
      <c r="A69" s="31">
        <v>46237</v>
      </c>
      <c r="B69" s="31">
        <v>46244</v>
      </c>
      <c r="C69" s="32">
        <f t="shared" si="34"/>
        <v>7</v>
      </c>
      <c r="D69" s="33" t="s">
        <v>98</v>
      </c>
      <c r="E69" s="34" t="s">
        <v>314</v>
      </c>
      <c r="F69" s="34">
        <v>8</v>
      </c>
      <c r="G69" s="34" t="s">
        <v>48</v>
      </c>
      <c r="H69" s="35">
        <v>3400</v>
      </c>
      <c r="I69" s="35">
        <f t="shared" si="54"/>
        <v>485.71428571428572</v>
      </c>
      <c r="J69" s="35">
        <v>0</v>
      </c>
      <c r="K69" s="34" t="s">
        <v>382</v>
      </c>
      <c r="L69" s="35"/>
      <c r="M69" s="61">
        <f t="shared" si="53"/>
        <v>850</v>
      </c>
      <c r="N69" s="35">
        <v>60</v>
      </c>
      <c r="O69" s="34" t="s">
        <v>71</v>
      </c>
      <c r="P69" s="35">
        <v>43</v>
      </c>
      <c r="Q69" s="35"/>
      <c r="R69" s="36"/>
      <c r="S69" s="30" t="str">
        <f t="shared" si="55"/>
        <v/>
      </c>
      <c r="T69" s="6" t="str">
        <f>IF($D69="Villa Elena",COUNTIF($D$3:$D69,"Villa Elena"),"")</f>
        <v/>
      </c>
      <c r="U69" s="30" t="str">
        <f t="shared" si="56"/>
        <v/>
      </c>
      <c r="V69" s="30" t="str">
        <f t="shared" si="57"/>
        <v/>
      </c>
      <c r="W69" s="30" t="str">
        <f t="shared" si="58"/>
        <v/>
      </c>
      <c r="X69" s="30" t="str">
        <f t="shared" si="59"/>
        <v/>
      </c>
      <c r="Y69" s="30" t="str">
        <f t="shared" si="60"/>
        <v/>
      </c>
      <c r="Z69" s="30" t="str">
        <f t="shared" si="61"/>
        <v/>
      </c>
      <c r="AA69" s="30" t="str">
        <f t="shared" si="62"/>
        <v/>
      </c>
      <c r="AB69" s="30" t="str">
        <f t="shared" si="63"/>
        <v/>
      </c>
      <c r="AC69" s="30" t="str">
        <f t="shared" si="64"/>
        <v/>
      </c>
      <c r="AD69" s="30" t="str">
        <f t="shared" si="65"/>
        <v/>
      </c>
      <c r="AE69" s="30">
        <f t="shared" si="66"/>
        <v>69</v>
      </c>
      <c r="AF69" s="30" t="str">
        <f t="shared" si="37"/>
        <v/>
      </c>
      <c r="AG69" s="30" t="str">
        <f t="shared" si="38"/>
        <v/>
      </c>
      <c r="AH69" s="30" t="str">
        <f t="shared" si="39"/>
        <v/>
      </c>
      <c r="AI69" s="30" t="str">
        <f t="shared" si="40"/>
        <v/>
      </c>
      <c r="AJ69" s="30" t="str">
        <f t="shared" si="41"/>
        <v/>
      </c>
      <c r="AK69" s="30" t="str">
        <f t="shared" si="42"/>
        <v/>
      </c>
      <c r="AL69" s="30" t="str">
        <f t="shared" si="43"/>
        <v/>
      </c>
      <c r="AM69" s="30" t="str">
        <f t="shared" si="44"/>
        <v/>
      </c>
      <c r="AN69" s="30" t="str">
        <f t="shared" si="45"/>
        <v/>
      </c>
      <c r="AO69" s="30" t="str">
        <f t="shared" si="46"/>
        <v/>
      </c>
      <c r="AP69" s="30" t="str">
        <f t="shared" si="47"/>
        <v/>
      </c>
      <c r="AQ69" s="30" t="str">
        <f t="shared" si="48"/>
        <v/>
      </c>
      <c r="AR69" s="30" t="str">
        <f t="shared" si="49"/>
        <v/>
      </c>
      <c r="AS69" s="30" t="str">
        <f t="shared" si="50"/>
        <v/>
      </c>
      <c r="AT69" t="str">
        <f t="shared" si="51"/>
        <v/>
      </c>
      <c r="AU69" t="str">
        <f t="shared" si="52"/>
        <v/>
      </c>
    </row>
    <row r="70" spans="1:47" ht="22" customHeight="1" x14ac:dyDescent="0.2">
      <c r="A70" s="31">
        <v>46237</v>
      </c>
      <c r="B70" s="31">
        <v>46245</v>
      </c>
      <c r="C70" s="32">
        <f t="shared" si="34"/>
        <v>8</v>
      </c>
      <c r="D70" s="33" t="s">
        <v>125</v>
      </c>
      <c r="E70" s="34" t="s">
        <v>337</v>
      </c>
      <c r="F70" s="34" t="s">
        <v>34</v>
      </c>
      <c r="G70" s="34" t="s">
        <v>35</v>
      </c>
      <c r="H70" s="35">
        <v>657</v>
      </c>
      <c r="I70" s="35">
        <f t="shared" si="54"/>
        <v>82.125</v>
      </c>
      <c r="J70" s="35">
        <f>IF(AND(ISNUMBER(SEARCH("booking",G70)),OR(D70="Via San Rocco",D70="Via Cavour")),H70*0.165,IF(ISNUMBER(SEARCH("airbnb",G70)),H70*0.155,IF(ISNUMBER(SEARCH("booking",G70)),H70*0.15,"")))</f>
        <v>98.55</v>
      </c>
      <c r="K70" s="34" t="s">
        <v>49</v>
      </c>
      <c r="L70" s="35">
        <v>4</v>
      </c>
      <c r="M70" s="61">
        <f t="shared" si="53"/>
        <v>164.25</v>
      </c>
      <c r="N70" s="35">
        <v>30</v>
      </c>
      <c r="O70" s="34" t="s">
        <v>71</v>
      </c>
      <c r="P70" s="35">
        <v>10.38</v>
      </c>
      <c r="Q70" s="35"/>
      <c r="R70" s="36"/>
      <c r="S70" s="30" t="str">
        <f t="shared" si="55"/>
        <v/>
      </c>
      <c r="T70" s="6" t="str">
        <f>IF($D70="Villa Elena",COUNTIF($D$3:$D70,"Villa Elena"),"")</f>
        <v/>
      </c>
      <c r="U70" s="30" t="str">
        <f t="shared" si="56"/>
        <v/>
      </c>
      <c r="V70" s="30" t="str">
        <f t="shared" si="57"/>
        <v/>
      </c>
      <c r="W70" s="30" t="str">
        <f t="shared" si="58"/>
        <v/>
      </c>
      <c r="X70" s="30" t="str">
        <f t="shared" si="59"/>
        <v/>
      </c>
      <c r="Y70" s="30" t="str">
        <f t="shared" si="60"/>
        <v/>
      </c>
      <c r="Z70" s="30" t="str">
        <f t="shared" si="61"/>
        <v/>
      </c>
      <c r="AA70" s="30" t="str">
        <f t="shared" si="62"/>
        <v/>
      </c>
      <c r="AB70" s="30" t="str">
        <f t="shared" si="63"/>
        <v/>
      </c>
      <c r="AC70" s="30" t="str">
        <f t="shared" si="64"/>
        <v/>
      </c>
      <c r="AD70" s="30" t="str">
        <f t="shared" si="65"/>
        <v/>
      </c>
      <c r="AE70" s="30" t="str">
        <f t="shared" si="66"/>
        <v/>
      </c>
      <c r="AF70" s="30" t="str">
        <f t="shared" si="37"/>
        <v/>
      </c>
      <c r="AG70" s="30" t="str">
        <f t="shared" si="38"/>
        <v/>
      </c>
      <c r="AH70" s="30" t="str">
        <f t="shared" si="39"/>
        <v/>
      </c>
      <c r="AI70" s="30" t="str">
        <f t="shared" si="40"/>
        <v/>
      </c>
      <c r="AJ70" s="30" t="str">
        <f t="shared" si="41"/>
        <v/>
      </c>
      <c r="AK70" s="30" t="str">
        <f t="shared" si="42"/>
        <v/>
      </c>
      <c r="AL70" s="30" t="str">
        <f t="shared" si="43"/>
        <v/>
      </c>
      <c r="AM70" s="30" t="str">
        <f t="shared" si="44"/>
        <v/>
      </c>
      <c r="AN70" s="30" t="str">
        <f t="shared" si="45"/>
        <v/>
      </c>
      <c r="AO70" s="30" t="str">
        <f t="shared" si="46"/>
        <v/>
      </c>
      <c r="AP70" s="30" t="str">
        <f t="shared" si="47"/>
        <v/>
      </c>
      <c r="AQ70" s="30" t="str">
        <f t="shared" si="48"/>
        <v/>
      </c>
      <c r="AR70" s="30" t="str">
        <f t="shared" si="49"/>
        <v/>
      </c>
      <c r="AS70" s="30" t="str">
        <f t="shared" si="50"/>
        <v/>
      </c>
      <c r="AT70">
        <f t="shared" si="51"/>
        <v>70</v>
      </c>
      <c r="AU70" t="str">
        <f t="shared" si="52"/>
        <v/>
      </c>
    </row>
    <row r="71" spans="1:47" ht="22" customHeight="1" x14ac:dyDescent="0.2">
      <c r="A71" s="31">
        <v>46237</v>
      </c>
      <c r="B71" s="31">
        <v>46241</v>
      </c>
      <c r="C71" s="32">
        <f t="shared" si="34"/>
        <v>4</v>
      </c>
      <c r="D71" s="33" t="s">
        <v>39</v>
      </c>
      <c r="E71" s="34" t="s">
        <v>358</v>
      </c>
      <c r="F71" s="34" t="s">
        <v>34</v>
      </c>
      <c r="G71" s="34" t="s">
        <v>35</v>
      </c>
      <c r="H71" s="35">
        <v>345.34</v>
      </c>
      <c r="I71" s="35">
        <f t="shared" si="54"/>
        <v>86.334999999999994</v>
      </c>
      <c r="J71" s="35">
        <f>IF(AND(ISNUMBER(SEARCH("booking",G71)),OR(D71="Via San Rocco",D71="Via Cavour")),H71*0.165,IF(ISNUMBER(SEARCH("airbnb",G71)),H71*0.155,IF(ISNUMBER(SEARCH("booking",G71)),H71*0.15,"")))</f>
        <v>51.800999999999995</v>
      </c>
      <c r="K71" s="34" t="s">
        <v>49</v>
      </c>
      <c r="L71" s="35">
        <v>4</v>
      </c>
      <c r="M71" s="61">
        <f t="shared" si="53"/>
        <v>86.334999999999994</v>
      </c>
      <c r="N71" s="35">
        <v>20</v>
      </c>
      <c r="O71" s="34" t="s">
        <v>71</v>
      </c>
      <c r="P71" s="35">
        <v>10.38</v>
      </c>
      <c r="Q71" s="35"/>
      <c r="R71" s="36"/>
      <c r="S71" s="30" t="str">
        <f t="shared" si="55"/>
        <v/>
      </c>
      <c r="T71" s="6" t="str">
        <f>IF($D71="Villa Elena",COUNTIF($D$3:$D71,"Villa Elena"),"")</f>
        <v/>
      </c>
      <c r="U71" s="30" t="str">
        <f t="shared" si="56"/>
        <v/>
      </c>
      <c r="V71" s="30">
        <f t="shared" si="57"/>
        <v>71</v>
      </c>
      <c r="W71" s="30" t="str">
        <f t="shared" si="58"/>
        <v/>
      </c>
      <c r="X71" s="30" t="str">
        <f t="shared" si="59"/>
        <v/>
      </c>
      <c r="Y71" s="30" t="str">
        <f t="shared" si="60"/>
        <v/>
      </c>
      <c r="Z71" s="30" t="str">
        <f t="shared" si="61"/>
        <v/>
      </c>
      <c r="AA71" s="30" t="str">
        <f t="shared" si="62"/>
        <v/>
      </c>
      <c r="AB71" s="30" t="str">
        <f t="shared" si="63"/>
        <v/>
      </c>
      <c r="AC71" s="30" t="str">
        <f t="shared" si="64"/>
        <v/>
      </c>
      <c r="AD71" s="30" t="str">
        <f t="shared" si="65"/>
        <v/>
      </c>
      <c r="AE71" s="30" t="str">
        <f t="shared" si="66"/>
        <v/>
      </c>
      <c r="AF71" s="30" t="str">
        <f t="shared" si="37"/>
        <v/>
      </c>
      <c r="AG71" s="30" t="str">
        <f t="shared" si="38"/>
        <v/>
      </c>
      <c r="AH71" s="30" t="str">
        <f t="shared" si="39"/>
        <v/>
      </c>
      <c r="AI71" s="30" t="str">
        <f t="shared" si="40"/>
        <v/>
      </c>
      <c r="AJ71" s="30" t="str">
        <f t="shared" si="41"/>
        <v/>
      </c>
      <c r="AK71" s="30" t="str">
        <f t="shared" si="42"/>
        <v/>
      </c>
      <c r="AL71" s="30" t="str">
        <f t="shared" si="43"/>
        <v/>
      </c>
      <c r="AM71" s="30" t="str">
        <f t="shared" si="44"/>
        <v/>
      </c>
      <c r="AN71" s="30" t="str">
        <f t="shared" si="45"/>
        <v/>
      </c>
      <c r="AO71" s="30" t="str">
        <f t="shared" si="46"/>
        <v/>
      </c>
      <c r="AP71" s="30" t="str">
        <f t="shared" si="47"/>
        <v/>
      </c>
      <c r="AQ71" s="30" t="str">
        <f t="shared" si="48"/>
        <v/>
      </c>
      <c r="AR71" s="30" t="str">
        <f t="shared" si="49"/>
        <v/>
      </c>
      <c r="AS71" s="30" t="str">
        <f t="shared" si="50"/>
        <v/>
      </c>
      <c r="AT71" t="str">
        <f t="shared" si="51"/>
        <v/>
      </c>
      <c r="AU71" t="str">
        <f t="shared" si="52"/>
        <v/>
      </c>
    </row>
    <row r="72" spans="1:47" ht="22" customHeight="1" x14ac:dyDescent="0.2">
      <c r="A72" s="31">
        <v>46241</v>
      </c>
      <c r="B72" s="31">
        <v>46251</v>
      </c>
      <c r="C72" s="32">
        <f t="shared" si="34"/>
        <v>10</v>
      </c>
      <c r="D72" s="33" t="s">
        <v>32</v>
      </c>
      <c r="E72" s="34" t="s">
        <v>363</v>
      </c>
      <c r="F72" s="34" t="s">
        <v>34</v>
      </c>
      <c r="G72" s="34" t="s">
        <v>35</v>
      </c>
      <c r="H72" s="35">
        <v>1694.07</v>
      </c>
      <c r="I72" s="35">
        <f t="shared" si="54"/>
        <v>169.40699999999998</v>
      </c>
      <c r="J72" s="35">
        <f>IF(AND(ISNUMBER(SEARCH("booking",G72)),OR(D72="Via San Rocco",D72="Via Cavour")),H72*0.165,IF(ISNUMBER(SEARCH("airbnb",G72)),H72*0.155,IF(ISNUMBER(SEARCH("booking",G72)),H72*0.15,"")))</f>
        <v>254.11049999999997</v>
      </c>
      <c r="K72" s="34" t="s">
        <v>42</v>
      </c>
      <c r="L72" s="35">
        <v>4</v>
      </c>
      <c r="M72" s="61">
        <f t="shared" si="53"/>
        <v>423.51749999999998</v>
      </c>
      <c r="N72" s="35">
        <v>40</v>
      </c>
      <c r="O72" s="34" t="s">
        <v>71</v>
      </c>
      <c r="P72" s="35"/>
      <c r="Q72" s="35"/>
      <c r="R72" s="36"/>
      <c r="S72" s="30">
        <f t="shared" si="55"/>
        <v>72</v>
      </c>
      <c r="T72" s="6" t="str">
        <f>IF($D72="Villa Elena",COUNTIF($D$3:$D72,"Villa Elena"),"")</f>
        <v/>
      </c>
      <c r="U72" s="30" t="str">
        <f t="shared" si="56"/>
        <v/>
      </c>
      <c r="V72" s="30" t="str">
        <f t="shared" si="57"/>
        <v/>
      </c>
      <c r="W72" s="30" t="str">
        <f t="shared" si="58"/>
        <v/>
      </c>
      <c r="X72" s="30" t="str">
        <f t="shared" si="59"/>
        <v/>
      </c>
      <c r="Y72" s="30" t="str">
        <f t="shared" si="60"/>
        <v/>
      </c>
      <c r="Z72" s="30" t="str">
        <f t="shared" si="61"/>
        <v/>
      </c>
      <c r="AA72" s="30" t="str">
        <f t="shared" si="62"/>
        <v/>
      </c>
      <c r="AB72" s="30" t="str">
        <f t="shared" si="63"/>
        <v/>
      </c>
      <c r="AC72" s="30" t="str">
        <f t="shared" si="64"/>
        <v/>
      </c>
      <c r="AD72" s="30" t="str">
        <f t="shared" si="65"/>
        <v/>
      </c>
      <c r="AE72" s="30" t="str">
        <f t="shared" si="66"/>
        <v/>
      </c>
      <c r="AF72" s="30" t="str">
        <f t="shared" si="37"/>
        <v/>
      </c>
      <c r="AG72" s="30" t="str">
        <f t="shared" si="38"/>
        <v/>
      </c>
      <c r="AH72" s="30" t="str">
        <f t="shared" si="39"/>
        <v/>
      </c>
      <c r="AI72" s="30" t="str">
        <f t="shared" si="40"/>
        <v/>
      </c>
      <c r="AJ72" s="30" t="str">
        <f t="shared" si="41"/>
        <v/>
      </c>
      <c r="AK72" s="30" t="str">
        <f t="shared" si="42"/>
        <v/>
      </c>
      <c r="AL72" s="30" t="str">
        <f t="shared" si="43"/>
        <v/>
      </c>
      <c r="AM72" s="30" t="str">
        <f t="shared" si="44"/>
        <v/>
      </c>
      <c r="AN72" s="30" t="str">
        <f t="shared" si="45"/>
        <v/>
      </c>
      <c r="AO72" s="30" t="str">
        <f t="shared" si="46"/>
        <v/>
      </c>
      <c r="AP72" s="30" t="str">
        <f t="shared" si="47"/>
        <v/>
      </c>
      <c r="AQ72" s="30" t="str">
        <f t="shared" si="48"/>
        <v/>
      </c>
      <c r="AR72" s="30" t="str">
        <f t="shared" si="49"/>
        <v/>
      </c>
      <c r="AS72" s="30" t="str">
        <f t="shared" si="50"/>
        <v/>
      </c>
      <c r="AT72" t="str">
        <f t="shared" si="51"/>
        <v/>
      </c>
      <c r="AU72" t="str">
        <f t="shared" si="52"/>
        <v/>
      </c>
    </row>
    <row r="73" spans="1:47" ht="22" customHeight="1" x14ac:dyDescent="0.2">
      <c r="A73" s="31">
        <v>46242</v>
      </c>
      <c r="B73" s="31">
        <v>46252</v>
      </c>
      <c r="C73" s="32">
        <f t="shared" si="34"/>
        <v>10</v>
      </c>
      <c r="D73" s="33" t="s">
        <v>96</v>
      </c>
      <c r="E73" s="34" t="s">
        <v>117</v>
      </c>
      <c r="F73" s="34" t="s">
        <v>53</v>
      </c>
      <c r="G73" s="34" t="s">
        <v>48</v>
      </c>
      <c r="H73" s="35">
        <v>1000</v>
      </c>
      <c r="I73" s="35">
        <f t="shared" si="54"/>
        <v>100</v>
      </c>
      <c r="J73" s="35">
        <v>0</v>
      </c>
      <c r="K73" s="34" t="s">
        <v>42</v>
      </c>
      <c r="L73" s="35">
        <v>20</v>
      </c>
      <c r="M73" s="61">
        <f t="shared" si="53"/>
        <v>250</v>
      </c>
      <c r="N73" s="35">
        <v>20</v>
      </c>
      <c r="O73" s="34" t="s">
        <v>71</v>
      </c>
      <c r="P73" s="35"/>
      <c r="Q73" s="35"/>
      <c r="R73" s="36"/>
      <c r="S73" s="30" t="str">
        <f t="shared" si="55"/>
        <v/>
      </c>
      <c r="T73" s="6" t="str">
        <f>IF($D73="Villa Elena",COUNTIF($D$3:$D73,"Villa Elena"),"")</f>
        <v/>
      </c>
      <c r="U73" s="30" t="str">
        <f t="shared" si="56"/>
        <v/>
      </c>
      <c r="V73" s="30" t="str">
        <f t="shared" si="57"/>
        <v/>
      </c>
      <c r="W73" s="30" t="str">
        <f t="shared" si="58"/>
        <v/>
      </c>
      <c r="X73" s="30" t="str">
        <f t="shared" si="59"/>
        <v/>
      </c>
      <c r="Y73" s="30">
        <f t="shared" si="60"/>
        <v>73</v>
      </c>
      <c r="Z73" s="30" t="str">
        <f t="shared" si="61"/>
        <v/>
      </c>
      <c r="AA73" s="30" t="str">
        <f t="shared" si="62"/>
        <v/>
      </c>
      <c r="AB73" s="30" t="str">
        <f t="shared" si="63"/>
        <v/>
      </c>
      <c r="AC73" s="30" t="str">
        <f t="shared" si="64"/>
        <v/>
      </c>
      <c r="AD73" s="30" t="str">
        <f t="shared" si="65"/>
        <v/>
      </c>
      <c r="AE73" s="30" t="str">
        <f t="shared" si="66"/>
        <v/>
      </c>
      <c r="AF73" s="30" t="str">
        <f t="shared" si="37"/>
        <v/>
      </c>
      <c r="AG73" s="30" t="str">
        <f t="shared" si="38"/>
        <v/>
      </c>
      <c r="AH73" s="30" t="str">
        <f t="shared" si="39"/>
        <v/>
      </c>
      <c r="AI73" s="30" t="str">
        <f t="shared" si="40"/>
        <v/>
      </c>
      <c r="AJ73" s="30" t="str">
        <f t="shared" si="41"/>
        <v/>
      </c>
      <c r="AK73" s="30" t="str">
        <f t="shared" si="42"/>
        <v/>
      </c>
      <c r="AL73" s="30" t="str">
        <f t="shared" si="43"/>
        <v/>
      </c>
      <c r="AM73" s="30" t="str">
        <f t="shared" si="44"/>
        <v/>
      </c>
      <c r="AN73" s="30" t="str">
        <f t="shared" si="45"/>
        <v/>
      </c>
      <c r="AO73" s="30" t="str">
        <f t="shared" si="46"/>
        <v/>
      </c>
      <c r="AP73" s="30" t="str">
        <f t="shared" si="47"/>
        <v/>
      </c>
      <c r="AQ73" s="30" t="str">
        <f t="shared" si="48"/>
        <v/>
      </c>
      <c r="AR73" s="30" t="str">
        <f t="shared" si="49"/>
        <v/>
      </c>
      <c r="AS73" s="30" t="str">
        <f t="shared" si="50"/>
        <v/>
      </c>
      <c r="AT73" t="str">
        <f t="shared" si="51"/>
        <v/>
      </c>
      <c r="AU73" t="str">
        <f t="shared" si="52"/>
        <v/>
      </c>
    </row>
    <row r="74" spans="1:47" ht="22" customHeight="1" x14ac:dyDescent="0.2">
      <c r="A74" s="31">
        <v>46242</v>
      </c>
      <c r="B74" s="31">
        <v>46250</v>
      </c>
      <c r="C74" s="32">
        <f t="shared" si="34"/>
        <v>8</v>
      </c>
      <c r="D74" s="33" t="s">
        <v>39</v>
      </c>
      <c r="E74" s="34" t="s">
        <v>302</v>
      </c>
      <c r="F74" s="34" t="s">
        <v>65</v>
      </c>
      <c r="G74" s="34" t="s">
        <v>35</v>
      </c>
      <c r="H74" s="35">
        <v>1029.02</v>
      </c>
      <c r="I74" s="35">
        <f t="shared" si="54"/>
        <v>128.6275</v>
      </c>
      <c r="J74" s="35">
        <f>IF(AND(ISNUMBER(SEARCH("booking",G74)),OR(D74="Via San Rocco",D74="Via Cavour")),H74*0.165,IF(ISNUMBER(SEARCH("airbnb",G74)),H74*0.155,IF(ISNUMBER(SEARCH("booking",G74)),H74*0.15,"")))</f>
        <v>154.35299999999998</v>
      </c>
      <c r="K74" s="34" t="s">
        <v>383</v>
      </c>
      <c r="L74" s="35">
        <v>6</v>
      </c>
      <c r="M74" s="61">
        <f t="shared" si="53"/>
        <v>257.255</v>
      </c>
      <c r="N74" s="35">
        <v>20</v>
      </c>
      <c r="O74" s="34" t="s">
        <v>71</v>
      </c>
      <c r="P74" s="35"/>
      <c r="Q74" s="35"/>
      <c r="R74" s="36"/>
      <c r="S74" s="30" t="str">
        <f t="shared" si="55"/>
        <v/>
      </c>
      <c r="T74" s="6" t="str">
        <f>IF($D74="Villa Elena",COUNTIF($D$3:$D74,"Villa Elena"),"")</f>
        <v/>
      </c>
      <c r="U74" s="30" t="str">
        <f t="shared" si="56"/>
        <v/>
      </c>
      <c r="V74" s="30">
        <f t="shared" si="57"/>
        <v>74</v>
      </c>
      <c r="W74" s="30" t="str">
        <f t="shared" si="58"/>
        <v/>
      </c>
      <c r="X74" s="30" t="str">
        <f t="shared" si="59"/>
        <v/>
      </c>
      <c r="Y74" s="30" t="str">
        <f t="shared" si="60"/>
        <v/>
      </c>
      <c r="Z74" s="30" t="str">
        <f t="shared" si="61"/>
        <v/>
      </c>
      <c r="AA74" s="30" t="str">
        <f t="shared" si="62"/>
        <v/>
      </c>
      <c r="AB74" s="30" t="str">
        <f t="shared" si="63"/>
        <v/>
      </c>
      <c r="AC74" s="30" t="str">
        <f t="shared" si="64"/>
        <v/>
      </c>
      <c r="AD74" s="30" t="str">
        <f t="shared" si="65"/>
        <v/>
      </c>
      <c r="AE74" s="30" t="str">
        <f t="shared" si="66"/>
        <v/>
      </c>
      <c r="AF74" s="30" t="str">
        <f t="shared" si="37"/>
        <v/>
      </c>
      <c r="AG74" s="30" t="str">
        <f t="shared" si="38"/>
        <v/>
      </c>
      <c r="AH74" s="30" t="str">
        <f t="shared" si="39"/>
        <v/>
      </c>
      <c r="AI74" s="30" t="str">
        <f t="shared" si="40"/>
        <v/>
      </c>
      <c r="AJ74" s="30" t="str">
        <f t="shared" si="41"/>
        <v/>
      </c>
      <c r="AK74" s="30" t="str">
        <f t="shared" si="42"/>
        <v/>
      </c>
      <c r="AL74" s="30" t="str">
        <f t="shared" si="43"/>
        <v/>
      </c>
      <c r="AM74" s="30" t="str">
        <f t="shared" si="44"/>
        <v/>
      </c>
      <c r="AN74" s="30" t="str">
        <f t="shared" si="45"/>
        <v/>
      </c>
      <c r="AO74" s="30" t="str">
        <f t="shared" si="46"/>
        <v/>
      </c>
      <c r="AP74" s="30" t="str">
        <f t="shared" si="47"/>
        <v/>
      </c>
      <c r="AQ74" s="30" t="str">
        <f t="shared" si="48"/>
        <v/>
      </c>
      <c r="AR74" s="30" t="str">
        <f t="shared" si="49"/>
        <v/>
      </c>
      <c r="AS74" s="30" t="str">
        <f t="shared" si="50"/>
        <v/>
      </c>
      <c r="AT74" t="str">
        <f t="shared" si="51"/>
        <v/>
      </c>
      <c r="AU74" t="str">
        <f t="shared" si="52"/>
        <v/>
      </c>
    </row>
    <row r="75" spans="1:47" ht="22" customHeight="1" x14ac:dyDescent="0.2">
      <c r="A75" s="31">
        <v>46243</v>
      </c>
      <c r="B75" s="31">
        <v>46250</v>
      </c>
      <c r="C75" s="32">
        <f t="shared" si="34"/>
        <v>7</v>
      </c>
      <c r="D75" s="33" t="s">
        <v>51</v>
      </c>
      <c r="E75" s="34" t="s">
        <v>118</v>
      </c>
      <c r="F75" s="34" t="s">
        <v>34</v>
      </c>
      <c r="G75" s="34" t="s">
        <v>48</v>
      </c>
      <c r="H75" s="35">
        <v>700</v>
      </c>
      <c r="I75" s="35">
        <f t="shared" si="54"/>
        <v>100</v>
      </c>
      <c r="J75" s="35">
        <v>0</v>
      </c>
      <c r="K75" s="34"/>
      <c r="L75" s="35"/>
      <c r="M75" s="61">
        <f>IF(H75&lt;&gt;"",H75*0.1,"")</f>
        <v>70</v>
      </c>
      <c r="N75" s="35"/>
      <c r="O75" s="34"/>
      <c r="P75" s="35"/>
      <c r="Q75" s="35"/>
      <c r="R75" s="36"/>
      <c r="S75" s="30" t="str">
        <f t="shared" si="55"/>
        <v/>
      </c>
      <c r="T75" s="6" t="str">
        <f>IF($D75="Villa Elena",COUNTIF($D$3:$D75,"Villa Elena"),"")</f>
        <v/>
      </c>
      <c r="U75" s="30" t="str">
        <f t="shared" si="56"/>
        <v/>
      </c>
      <c r="V75" s="30" t="str">
        <f t="shared" si="57"/>
        <v/>
      </c>
      <c r="W75" s="30">
        <f t="shared" si="58"/>
        <v>75</v>
      </c>
      <c r="X75" s="30" t="str">
        <f t="shared" si="59"/>
        <v/>
      </c>
      <c r="Y75" s="30" t="str">
        <f t="shared" si="60"/>
        <v/>
      </c>
      <c r="Z75" s="30" t="str">
        <f t="shared" si="61"/>
        <v/>
      </c>
      <c r="AA75" s="30" t="str">
        <f t="shared" si="62"/>
        <v/>
      </c>
      <c r="AB75" s="30" t="str">
        <f t="shared" si="63"/>
        <v/>
      </c>
      <c r="AC75" s="30" t="str">
        <f t="shared" si="64"/>
        <v/>
      </c>
      <c r="AD75" s="30" t="str">
        <f t="shared" si="65"/>
        <v/>
      </c>
      <c r="AE75" s="30" t="str">
        <f t="shared" si="66"/>
        <v/>
      </c>
      <c r="AF75" s="30" t="str">
        <f t="shared" si="37"/>
        <v/>
      </c>
      <c r="AG75" s="30" t="str">
        <f t="shared" si="38"/>
        <v/>
      </c>
      <c r="AH75" s="30" t="str">
        <f t="shared" si="39"/>
        <v/>
      </c>
      <c r="AI75" s="30" t="str">
        <f t="shared" si="40"/>
        <v/>
      </c>
      <c r="AJ75" s="30" t="str">
        <f t="shared" si="41"/>
        <v/>
      </c>
      <c r="AK75" s="30" t="str">
        <f t="shared" si="42"/>
        <v/>
      </c>
      <c r="AL75" s="30" t="str">
        <f t="shared" si="43"/>
        <v/>
      </c>
      <c r="AM75" s="30" t="str">
        <f t="shared" si="44"/>
        <v/>
      </c>
      <c r="AN75" s="30" t="str">
        <f t="shared" si="45"/>
        <v/>
      </c>
      <c r="AO75" s="30" t="str">
        <f t="shared" si="46"/>
        <v/>
      </c>
      <c r="AP75" s="30" t="str">
        <f t="shared" si="47"/>
        <v/>
      </c>
      <c r="AQ75" s="30" t="str">
        <f t="shared" si="48"/>
        <v/>
      </c>
      <c r="AR75" s="30" t="str">
        <f t="shared" si="49"/>
        <v/>
      </c>
      <c r="AS75" s="30" t="str">
        <f t="shared" si="50"/>
        <v/>
      </c>
      <c r="AT75" t="str">
        <f t="shared" si="51"/>
        <v/>
      </c>
      <c r="AU75" t="str">
        <f t="shared" si="52"/>
        <v/>
      </c>
    </row>
    <row r="76" spans="1:47" ht="22" customHeight="1" x14ac:dyDescent="0.2">
      <c r="A76" s="31">
        <v>46243</v>
      </c>
      <c r="B76" s="31">
        <v>46253</v>
      </c>
      <c r="C76" s="32">
        <f t="shared" si="34"/>
        <v>10</v>
      </c>
      <c r="D76" s="33" t="s">
        <v>69</v>
      </c>
      <c r="E76" s="34" t="s">
        <v>119</v>
      </c>
      <c r="F76" s="34" t="s">
        <v>34</v>
      </c>
      <c r="G76" s="34" t="s">
        <v>35</v>
      </c>
      <c r="H76" s="35">
        <v>1285.92</v>
      </c>
      <c r="I76" s="35">
        <f t="shared" si="54"/>
        <v>128.59200000000001</v>
      </c>
      <c r="J76" s="35">
        <f>IF(AND(ISNUMBER(SEARCH("booking",G76)),OR(D76="Via San Rocco",D76="Via Cavour")),H76*0.165,IF(ISNUMBER(SEARCH("airbnb",G76)),H76*0.155,IF(ISNUMBER(SEARCH("booking",G76)),H76*0.15,"")))</f>
        <v>192.88800000000001</v>
      </c>
      <c r="K76" s="34"/>
      <c r="L76" s="35">
        <v>10</v>
      </c>
      <c r="M76" s="61">
        <f>IF(H76&lt;&gt;"",H76*0.25,"")</f>
        <v>321.48</v>
      </c>
      <c r="N76" s="35">
        <v>20</v>
      </c>
      <c r="O76" s="34" t="s">
        <v>71</v>
      </c>
      <c r="P76" s="35"/>
      <c r="Q76" s="35"/>
      <c r="R76" s="36" t="s">
        <v>101</v>
      </c>
      <c r="S76" s="30" t="str">
        <f t="shared" si="55"/>
        <v/>
      </c>
      <c r="T76" s="6" t="str">
        <f>IF($D76="Villa Elena",COUNTIF($D$3:$D76,"Villa Elena"),"")</f>
        <v/>
      </c>
      <c r="U76" s="30" t="str">
        <f t="shared" si="56"/>
        <v/>
      </c>
      <c r="V76" s="30" t="str">
        <f t="shared" si="57"/>
        <v/>
      </c>
      <c r="W76" s="30" t="str">
        <f t="shared" si="58"/>
        <v/>
      </c>
      <c r="X76" s="30" t="str">
        <f t="shared" si="59"/>
        <v/>
      </c>
      <c r="Y76" s="30" t="str">
        <f t="shared" si="60"/>
        <v/>
      </c>
      <c r="Z76" s="30">
        <f t="shared" si="61"/>
        <v>76</v>
      </c>
      <c r="AA76" s="30" t="str">
        <f t="shared" si="62"/>
        <v/>
      </c>
      <c r="AB76" s="30" t="str">
        <f t="shared" si="63"/>
        <v/>
      </c>
      <c r="AC76" s="30" t="str">
        <f t="shared" si="64"/>
        <v/>
      </c>
      <c r="AD76" s="30" t="str">
        <f t="shared" si="65"/>
        <v/>
      </c>
      <c r="AE76" s="30" t="str">
        <f t="shared" si="66"/>
        <v/>
      </c>
      <c r="AF76" s="30" t="str">
        <f t="shared" si="37"/>
        <v/>
      </c>
      <c r="AG76" s="30" t="str">
        <f t="shared" si="38"/>
        <v/>
      </c>
      <c r="AH76" s="30" t="str">
        <f t="shared" si="39"/>
        <v/>
      </c>
      <c r="AI76" s="30" t="str">
        <f t="shared" si="40"/>
        <v/>
      </c>
      <c r="AJ76" s="30" t="str">
        <f t="shared" si="41"/>
        <v/>
      </c>
      <c r="AK76" s="30" t="str">
        <f t="shared" si="42"/>
        <v/>
      </c>
      <c r="AL76" s="30" t="str">
        <f t="shared" si="43"/>
        <v/>
      </c>
      <c r="AM76" s="30" t="str">
        <f t="shared" si="44"/>
        <v/>
      </c>
      <c r="AN76" s="30" t="str">
        <f t="shared" si="45"/>
        <v/>
      </c>
      <c r="AO76" s="30" t="str">
        <f t="shared" si="46"/>
        <v/>
      </c>
      <c r="AP76" s="30" t="str">
        <f t="shared" si="47"/>
        <v/>
      </c>
      <c r="AQ76" s="30" t="str">
        <f t="shared" si="48"/>
        <v/>
      </c>
      <c r="AR76" s="30" t="str">
        <f t="shared" si="49"/>
        <v/>
      </c>
      <c r="AS76" s="30" t="str">
        <f t="shared" si="50"/>
        <v/>
      </c>
      <c r="AT76" t="str">
        <f t="shared" si="51"/>
        <v/>
      </c>
      <c r="AU76" t="str">
        <f t="shared" si="52"/>
        <v/>
      </c>
    </row>
    <row r="77" spans="1:47" ht="22" customHeight="1" x14ac:dyDescent="0.2">
      <c r="A77" s="31">
        <v>46243</v>
      </c>
      <c r="B77" s="31">
        <v>46256</v>
      </c>
      <c r="C77" s="32">
        <f t="shared" si="34"/>
        <v>13</v>
      </c>
      <c r="D77" s="33" t="s">
        <v>63</v>
      </c>
      <c r="E77" s="34" t="s">
        <v>120</v>
      </c>
      <c r="F77" s="34" t="s">
        <v>65</v>
      </c>
      <c r="G77" s="34" t="s">
        <v>48</v>
      </c>
      <c r="H77" s="35">
        <v>1365</v>
      </c>
      <c r="I77" s="35">
        <f t="shared" si="54"/>
        <v>105</v>
      </c>
      <c r="J77" s="35">
        <v>0</v>
      </c>
      <c r="K77" s="34" t="s">
        <v>42</v>
      </c>
      <c r="L77" s="35">
        <v>4</v>
      </c>
      <c r="M77" s="61">
        <f>IF(H77&lt;&gt;"",H77*0.25,"")</f>
        <v>341.25</v>
      </c>
      <c r="N77" s="35">
        <v>60</v>
      </c>
      <c r="O77" s="34" t="s">
        <v>71</v>
      </c>
      <c r="P77" s="35"/>
      <c r="Q77" s="35"/>
      <c r="R77" s="36" t="s">
        <v>121</v>
      </c>
      <c r="S77" s="30" t="str">
        <f t="shared" si="55"/>
        <v/>
      </c>
      <c r="T77" s="6" t="str">
        <f>IF($D77="Villa Elena",COUNTIF($D$3:$D77,"Villa Elena"),"")</f>
        <v/>
      </c>
      <c r="U77" s="30" t="str">
        <f t="shared" si="56"/>
        <v/>
      </c>
      <c r="V77" s="30" t="str">
        <f t="shared" si="57"/>
        <v/>
      </c>
      <c r="W77" s="30" t="str">
        <f t="shared" si="58"/>
        <v/>
      </c>
      <c r="X77" s="30" t="str">
        <f t="shared" si="59"/>
        <v/>
      </c>
      <c r="Y77" s="30" t="str">
        <f t="shared" si="60"/>
        <v/>
      </c>
      <c r="Z77" s="30" t="str">
        <f t="shared" si="61"/>
        <v/>
      </c>
      <c r="AA77" s="30">
        <f t="shared" si="62"/>
        <v>77</v>
      </c>
      <c r="AB77" s="30" t="str">
        <f t="shared" si="63"/>
        <v/>
      </c>
      <c r="AC77" s="30" t="str">
        <f t="shared" si="64"/>
        <v/>
      </c>
      <c r="AD77" s="30" t="str">
        <f t="shared" si="65"/>
        <v/>
      </c>
      <c r="AE77" s="30" t="str">
        <f t="shared" si="66"/>
        <v/>
      </c>
      <c r="AF77" s="30" t="str">
        <f t="shared" si="37"/>
        <v/>
      </c>
      <c r="AG77" s="30" t="str">
        <f t="shared" si="38"/>
        <v/>
      </c>
      <c r="AH77" s="30" t="str">
        <f t="shared" si="39"/>
        <v/>
      </c>
      <c r="AI77" s="30" t="str">
        <f t="shared" si="40"/>
        <v/>
      </c>
      <c r="AJ77" s="30" t="str">
        <f t="shared" si="41"/>
        <v/>
      </c>
      <c r="AK77" s="30" t="str">
        <f t="shared" si="42"/>
        <v/>
      </c>
      <c r="AL77" s="30" t="str">
        <f t="shared" si="43"/>
        <v/>
      </c>
      <c r="AM77" s="30" t="str">
        <f t="shared" si="44"/>
        <v/>
      </c>
      <c r="AN77" s="30" t="str">
        <f t="shared" si="45"/>
        <v/>
      </c>
      <c r="AO77" s="30" t="str">
        <f t="shared" si="46"/>
        <v/>
      </c>
      <c r="AP77" s="30" t="str">
        <f t="shared" si="47"/>
        <v/>
      </c>
      <c r="AQ77" s="30" t="str">
        <f t="shared" si="48"/>
        <v/>
      </c>
      <c r="AR77" s="30" t="str">
        <f t="shared" si="49"/>
        <v/>
      </c>
      <c r="AS77" s="30" t="str">
        <f t="shared" si="50"/>
        <v/>
      </c>
      <c r="AT77" t="str">
        <f t="shared" si="51"/>
        <v/>
      </c>
      <c r="AU77" t="str">
        <f t="shared" si="52"/>
        <v/>
      </c>
    </row>
    <row r="78" spans="1:47" ht="22" customHeight="1" x14ac:dyDescent="0.2">
      <c r="A78" s="31">
        <v>46243</v>
      </c>
      <c r="B78" s="31">
        <v>46250</v>
      </c>
      <c r="C78" s="32">
        <f t="shared" si="34"/>
        <v>7</v>
      </c>
      <c r="D78" s="33" t="s">
        <v>60</v>
      </c>
      <c r="E78" s="34" t="s">
        <v>333</v>
      </c>
      <c r="F78" s="34" t="s">
        <v>334</v>
      </c>
      <c r="G78" s="34" t="s">
        <v>35</v>
      </c>
      <c r="H78" s="35">
        <v>1004.85</v>
      </c>
      <c r="I78" s="35">
        <f t="shared" si="54"/>
        <v>143.55000000000001</v>
      </c>
      <c r="J78" s="35">
        <f t="shared" ref="J78:J100" si="67">IF(AND(ISNUMBER(SEARCH("booking",G78)),OR(D78="Via San Rocco",D78="Via Cavour")),H78*0.165,IF(ISNUMBER(SEARCH("airbnb",G78)),H78*0.155,IF(ISNUMBER(SEARCH("booking",G78)),H78*0.15,"")))</f>
        <v>165.80025000000001</v>
      </c>
      <c r="K78" s="34"/>
      <c r="L78" s="35"/>
      <c r="M78" s="61">
        <f>IF(H78&lt;&gt;"",H78*0.1,"")</f>
        <v>100.48500000000001</v>
      </c>
      <c r="N78" s="35"/>
      <c r="O78" s="34"/>
      <c r="P78" s="35"/>
      <c r="Q78" s="35"/>
      <c r="R78" s="36"/>
      <c r="S78" s="30" t="str">
        <f t="shared" si="55"/>
        <v/>
      </c>
      <c r="T78" s="6" t="str">
        <f>IF($D78="Villa Elena",COUNTIF($D$3:$D78,"Villa Elena"),"")</f>
        <v/>
      </c>
      <c r="U78" s="30" t="str">
        <f t="shared" si="56"/>
        <v/>
      </c>
      <c r="V78" s="30" t="str">
        <f t="shared" si="57"/>
        <v/>
      </c>
      <c r="W78" s="30" t="str">
        <f t="shared" si="58"/>
        <v/>
      </c>
      <c r="X78" s="30">
        <f t="shared" si="59"/>
        <v>78</v>
      </c>
      <c r="Y78" s="30" t="str">
        <f t="shared" si="60"/>
        <v/>
      </c>
      <c r="Z78" s="30" t="str">
        <f t="shared" si="61"/>
        <v/>
      </c>
      <c r="AA78" s="30" t="str">
        <f t="shared" si="62"/>
        <v/>
      </c>
      <c r="AB78" s="30" t="str">
        <f t="shared" si="63"/>
        <v/>
      </c>
      <c r="AC78" s="30" t="str">
        <f t="shared" si="64"/>
        <v/>
      </c>
      <c r="AD78" s="30" t="str">
        <f t="shared" si="65"/>
        <v/>
      </c>
      <c r="AE78" s="30" t="str">
        <f t="shared" si="66"/>
        <v/>
      </c>
      <c r="AF78" s="30" t="str">
        <f t="shared" si="37"/>
        <v/>
      </c>
      <c r="AG78" s="30" t="str">
        <f t="shared" si="38"/>
        <v/>
      </c>
      <c r="AH78" s="30" t="str">
        <f t="shared" si="39"/>
        <v/>
      </c>
      <c r="AI78" s="30" t="str">
        <f t="shared" si="40"/>
        <v/>
      </c>
      <c r="AJ78" s="30" t="str">
        <f t="shared" si="41"/>
        <v/>
      </c>
      <c r="AK78" s="30" t="str">
        <f t="shared" si="42"/>
        <v/>
      </c>
      <c r="AL78" s="30" t="str">
        <f t="shared" si="43"/>
        <v/>
      </c>
      <c r="AM78" s="30" t="str">
        <f t="shared" si="44"/>
        <v/>
      </c>
      <c r="AN78" s="30" t="str">
        <f t="shared" si="45"/>
        <v/>
      </c>
      <c r="AO78" s="30" t="str">
        <f t="shared" si="46"/>
        <v/>
      </c>
      <c r="AP78" s="30" t="str">
        <f t="shared" si="47"/>
        <v/>
      </c>
      <c r="AQ78" s="30" t="str">
        <f t="shared" si="48"/>
        <v/>
      </c>
      <c r="AR78" s="30" t="str">
        <f t="shared" si="49"/>
        <v/>
      </c>
      <c r="AS78" s="30" t="str">
        <f t="shared" si="50"/>
        <v/>
      </c>
      <c r="AT78" t="str">
        <f t="shared" si="51"/>
        <v/>
      </c>
      <c r="AU78" t="str">
        <f t="shared" si="52"/>
        <v/>
      </c>
    </row>
    <row r="79" spans="1:47" ht="22" customHeight="1" x14ac:dyDescent="0.2">
      <c r="A79" s="31">
        <v>46244</v>
      </c>
      <c r="B79" s="31">
        <v>46255</v>
      </c>
      <c r="C79" s="32">
        <f t="shared" si="34"/>
        <v>11</v>
      </c>
      <c r="D79" s="33" t="s">
        <v>306</v>
      </c>
      <c r="E79" s="34" t="s">
        <v>307</v>
      </c>
      <c r="F79" s="34" t="s">
        <v>34</v>
      </c>
      <c r="G79" s="34" t="s">
        <v>35</v>
      </c>
      <c r="H79" s="35">
        <v>1222.2</v>
      </c>
      <c r="I79" s="35">
        <f t="shared" si="54"/>
        <v>111.10909090909091</v>
      </c>
      <c r="J79" s="35">
        <f t="shared" si="67"/>
        <v>183.33</v>
      </c>
      <c r="K79" s="34"/>
      <c r="L79" s="35"/>
      <c r="M79" s="61">
        <f t="shared" ref="M79:M84" si="68">IF(H79&lt;&gt;"",H79*0.25,"")</f>
        <v>305.55</v>
      </c>
      <c r="N79" s="35"/>
      <c r="O79" s="34"/>
      <c r="P79" s="35"/>
      <c r="Q79" s="35"/>
      <c r="R79" s="36"/>
      <c r="S79" s="30" t="str">
        <f t="shared" si="55"/>
        <v/>
      </c>
      <c r="T79" s="6" t="str">
        <f>IF($D79="Villa Elena",COUNTIF($D$3:$D79,"Villa Elena"),"")</f>
        <v/>
      </c>
      <c r="U79" s="30" t="str">
        <f t="shared" si="56"/>
        <v/>
      </c>
      <c r="V79" s="30" t="str">
        <f t="shared" si="57"/>
        <v/>
      </c>
      <c r="W79" s="30" t="str">
        <f t="shared" si="58"/>
        <v/>
      </c>
      <c r="X79" s="30" t="str">
        <f t="shared" si="59"/>
        <v/>
      </c>
      <c r="Y79" s="30" t="str">
        <f t="shared" si="60"/>
        <v/>
      </c>
      <c r="Z79" s="30" t="str">
        <f t="shared" si="61"/>
        <v/>
      </c>
      <c r="AA79" s="30" t="str">
        <f t="shared" si="62"/>
        <v/>
      </c>
      <c r="AB79" s="30" t="str">
        <f t="shared" si="63"/>
        <v/>
      </c>
      <c r="AC79" s="30">
        <f t="shared" si="64"/>
        <v>79</v>
      </c>
      <c r="AD79" s="30" t="str">
        <f t="shared" si="65"/>
        <v/>
      </c>
      <c r="AE79" s="30" t="str">
        <f t="shared" si="66"/>
        <v/>
      </c>
      <c r="AF79" s="30" t="str">
        <f t="shared" si="37"/>
        <v/>
      </c>
      <c r="AG79" s="30" t="str">
        <f t="shared" si="38"/>
        <v/>
      </c>
      <c r="AH79" s="30" t="str">
        <f t="shared" si="39"/>
        <v/>
      </c>
      <c r="AI79" s="30" t="str">
        <f t="shared" si="40"/>
        <v/>
      </c>
      <c r="AJ79" s="30" t="str">
        <f t="shared" si="41"/>
        <v/>
      </c>
      <c r="AK79" s="30" t="str">
        <f t="shared" si="42"/>
        <v/>
      </c>
      <c r="AL79" s="30" t="str">
        <f t="shared" si="43"/>
        <v/>
      </c>
      <c r="AM79" s="30" t="str">
        <f t="shared" si="44"/>
        <v/>
      </c>
      <c r="AN79" s="30" t="str">
        <f t="shared" si="45"/>
        <v/>
      </c>
      <c r="AO79" s="30" t="str">
        <f t="shared" si="46"/>
        <v/>
      </c>
      <c r="AP79" s="30" t="str">
        <f t="shared" si="47"/>
        <v/>
      </c>
      <c r="AQ79" s="30" t="str">
        <f t="shared" si="48"/>
        <v/>
      </c>
      <c r="AR79" s="30" t="str">
        <f t="shared" si="49"/>
        <v/>
      </c>
      <c r="AS79" s="30" t="str">
        <f t="shared" si="50"/>
        <v/>
      </c>
      <c r="AT79" t="str">
        <f t="shared" si="51"/>
        <v/>
      </c>
      <c r="AU79" t="str">
        <f t="shared" si="52"/>
        <v/>
      </c>
    </row>
    <row r="80" spans="1:47" ht="22" customHeight="1" x14ac:dyDescent="0.2">
      <c r="A80" s="31">
        <v>46244</v>
      </c>
      <c r="B80" s="31">
        <v>46256</v>
      </c>
      <c r="C80" s="32">
        <f t="shared" si="34"/>
        <v>12</v>
      </c>
      <c r="D80" s="33" t="s">
        <v>93</v>
      </c>
      <c r="E80" s="34" t="s">
        <v>319</v>
      </c>
      <c r="F80" s="34" t="s">
        <v>65</v>
      </c>
      <c r="G80" s="34" t="s">
        <v>35</v>
      </c>
      <c r="H80" s="35">
        <v>1814.69</v>
      </c>
      <c r="I80" s="35">
        <f t="shared" si="54"/>
        <v>151.22416666666666</v>
      </c>
      <c r="J80" s="35">
        <f t="shared" si="67"/>
        <v>272.20350000000002</v>
      </c>
      <c r="K80" s="34"/>
      <c r="L80" s="35"/>
      <c r="M80" s="61">
        <f t="shared" si="68"/>
        <v>453.67250000000001</v>
      </c>
      <c r="N80" s="35"/>
      <c r="O80" s="34"/>
      <c r="P80" s="35"/>
      <c r="Q80" s="35"/>
      <c r="R80" s="36"/>
      <c r="S80" s="30" t="str">
        <f t="shared" si="55"/>
        <v/>
      </c>
      <c r="T80" s="6" t="str">
        <f>IF($D80="Villa Elena",COUNTIF($D$3:$D80,"Villa Elena"),"")</f>
        <v/>
      </c>
      <c r="U80" s="30">
        <f t="shared" si="56"/>
        <v>80</v>
      </c>
      <c r="V80" s="30" t="str">
        <f t="shared" si="57"/>
        <v/>
      </c>
      <c r="W80" s="30" t="str">
        <f t="shared" si="58"/>
        <v/>
      </c>
      <c r="X80" s="30" t="str">
        <f t="shared" si="59"/>
        <v/>
      </c>
      <c r="Y80" s="30" t="str">
        <f t="shared" si="60"/>
        <v/>
      </c>
      <c r="Z80" s="30" t="str">
        <f t="shared" si="61"/>
        <v/>
      </c>
      <c r="AA80" s="30" t="str">
        <f t="shared" si="62"/>
        <v/>
      </c>
      <c r="AB80" s="30" t="str">
        <f t="shared" si="63"/>
        <v/>
      </c>
      <c r="AC80" s="30" t="str">
        <f t="shared" si="64"/>
        <v/>
      </c>
      <c r="AD80" s="30" t="str">
        <f t="shared" si="65"/>
        <v/>
      </c>
      <c r="AE80" s="30" t="str">
        <f t="shared" si="66"/>
        <v/>
      </c>
      <c r="AF80" s="30" t="str">
        <f t="shared" si="37"/>
        <v/>
      </c>
      <c r="AG80" s="30" t="str">
        <f t="shared" si="38"/>
        <v/>
      </c>
      <c r="AH80" s="30" t="str">
        <f t="shared" si="39"/>
        <v/>
      </c>
      <c r="AI80" s="30" t="str">
        <f t="shared" si="40"/>
        <v/>
      </c>
      <c r="AJ80" s="30" t="str">
        <f t="shared" si="41"/>
        <v/>
      </c>
      <c r="AK80" s="30" t="str">
        <f t="shared" si="42"/>
        <v/>
      </c>
      <c r="AL80" s="30" t="str">
        <f t="shared" si="43"/>
        <v/>
      </c>
      <c r="AM80" s="30" t="str">
        <f t="shared" si="44"/>
        <v/>
      </c>
      <c r="AN80" s="30" t="str">
        <f t="shared" si="45"/>
        <v/>
      </c>
      <c r="AO80" s="30" t="str">
        <f t="shared" si="46"/>
        <v/>
      </c>
      <c r="AP80" s="30" t="str">
        <f t="shared" si="47"/>
        <v/>
      </c>
      <c r="AQ80" s="30" t="str">
        <f t="shared" si="48"/>
        <v/>
      </c>
      <c r="AR80" s="30" t="str">
        <f t="shared" si="49"/>
        <v/>
      </c>
      <c r="AS80" s="30" t="str">
        <f t="shared" si="50"/>
        <v/>
      </c>
      <c r="AT80" t="str">
        <f t="shared" si="51"/>
        <v/>
      </c>
      <c r="AU80" t="str">
        <f t="shared" si="52"/>
        <v/>
      </c>
    </row>
    <row r="81" spans="1:47" ht="22" customHeight="1" x14ac:dyDescent="0.2">
      <c r="A81" s="31">
        <v>46244</v>
      </c>
      <c r="B81" s="31">
        <v>46251</v>
      </c>
      <c r="C81" s="32">
        <f t="shared" ref="C81:C112" si="69">IF(A81&lt;&gt;"",B81-A81,"")</f>
        <v>7</v>
      </c>
      <c r="D81" s="33" t="s">
        <v>45</v>
      </c>
      <c r="E81" s="34" t="s">
        <v>370</v>
      </c>
      <c r="F81" s="34" t="s">
        <v>34</v>
      </c>
      <c r="G81" s="34" t="s">
        <v>35</v>
      </c>
      <c r="H81" s="35">
        <v>853.94</v>
      </c>
      <c r="I81" s="35">
        <f t="shared" si="54"/>
        <v>121.99142857142859</v>
      </c>
      <c r="J81" s="35">
        <f t="shared" si="67"/>
        <v>128.09100000000001</v>
      </c>
      <c r="K81" s="34"/>
      <c r="L81" s="35"/>
      <c r="M81" s="61">
        <f t="shared" si="68"/>
        <v>213.48500000000001</v>
      </c>
      <c r="N81" s="35"/>
      <c r="O81" s="34"/>
      <c r="P81" s="35"/>
      <c r="Q81" s="35"/>
      <c r="R81" s="36"/>
      <c r="S81" s="30" t="str">
        <f t="shared" si="55"/>
        <v/>
      </c>
      <c r="T81" s="6">
        <f>IF($D81="Villa Elena",COUNTIF($D$3:$D81,"Villa Elena"),"")</f>
        <v>7</v>
      </c>
      <c r="U81" s="30" t="str">
        <f t="shared" si="56"/>
        <v/>
      </c>
      <c r="V81" s="30" t="str">
        <f t="shared" si="57"/>
        <v/>
      </c>
      <c r="W81" s="30" t="str">
        <f t="shared" si="58"/>
        <v/>
      </c>
      <c r="X81" s="30" t="str">
        <f t="shared" si="59"/>
        <v/>
      </c>
      <c r="Y81" s="30" t="str">
        <f t="shared" si="60"/>
        <v/>
      </c>
      <c r="Z81" s="30" t="str">
        <f t="shared" si="61"/>
        <v/>
      </c>
      <c r="AA81" s="30" t="str">
        <f t="shared" si="62"/>
        <v/>
      </c>
      <c r="AB81" s="30" t="str">
        <f t="shared" si="63"/>
        <v/>
      </c>
      <c r="AC81" s="30" t="str">
        <f t="shared" si="64"/>
        <v/>
      </c>
      <c r="AD81" s="30" t="str">
        <f t="shared" si="65"/>
        <v/>
      </c>
      <c r="AE81" s="30" t="str">
        <f t="shared" si="66"/>
        <v/>
      </c>
      <c r="AF81" s="30">
        <f t="shared" si="37"/>
        <v>81</v>
      </c>
      <c r="AG81" s="30" t="str">
        <f t="shared" si="38"/>
        <v/>
      </c>
      <c r="AH81" s="30" t="str">
        <f t="shared" si="39"/>
        <v/>
      </c>
      <c r="AI81" s="30" t="str">
        <f t="shared" si="40"/>
        <v/>
      </c>
      <c r="AJ81" s="30" t="str">
        <f t="shared" si="41"/>
        <v/>
      </c>
      <c r="AK81" s="30" t="str">
        <f t="shared" si="42"/>
        <v/>
      </c>
      <c r="AL81" s="30" t="str">
        <f t="shared" si="43"/>
        <v/>
      </c>
      <c r="AM81" s="30" t="str">
        <f t="shared" si="44"/>
        <v/>
      </c>
      <c r="AN81" s="30" t="str">
        <f t="shared" si="45"/>
        <v/>
      </c>
      <c r="AO81" s="30" t="str">
        <f t="shared" si="46"/>
        <v/>
      </c>
      <c r="AP81" s="30" t="str">
        <f t="shared" si="47"/>
        <v/>
      </c>
      <c r="AQ81" s="30" t="str">
        <f t="shared" si="48"/>
        <v/>
      </c>
      <c r="AR81" s="30" t="str">
        <f t="shared" si="49"/>
        <v/>
      </c>
      <c r="AS81" s="30" t="str">
        <f t="shared" si="50"/>
        <v/>
      </c>
      <c r="AT81" t="str">
        <f t="shared" si="51"/>
        <v/>
      </c>
      <c r="AU81" t="str">
        <f t="shared" si="52"/>
        <v/>
      </c>
    </row>
    <row r="82" spans="1:47" ht="22" customHeight="1" x14ac:dyDescent="0.2">
      <c r="A82" s="31">
        <v>46245</v>
      </c>
      <c r="B82" s="31">
        <v>46251</v>
      </c>
      <c r="C82" s="32">
        <f t="shared" si="69"/>
        <v>6</v>
      </c>
      <c r="D82" s="33" t="s">
        <v>125</v>
      </c>
      <c r="E82" s="34" t="s">
        <v>338</v>
      </c>
      <c r="F82" s="34" t="s">
        <v>65</v>
      </c>
      <c r="G82" s="34" t="s">
        <v>35</v>
      </c>
      <c r="H82" s="35">
        <v>675</v>
      </c>
      <c r="I82" s="35">
        <f t="shared" si="54"/>
        <v>112.5</v>
      </c>
      <c r="J82" s="35">
        <f t="shared" si="67"/>
        <v>101.25</v>
      </c>
      <c r="K82" s="34" t="s">
        <v>42</v>
      </c>
      <c r="L82" s="35"/>
      <c r="M82" s="61">
        <f t="shared" si="68"/>
        <v>168.75</v>
      </c>
      <c r="N82" s="35"/>
      <c r="O82" s="34"/>
      <c r="P82" s="35"/>
      <c r="Q82" s="35"/>
      <c r="R82" s="36"/>
      <c r="S82" s="30" t="str">
        <f t="shared" si="55"/>
        <v/>
      </c>
      <c r="T82" s="6" t="str">
        <f>IF($D82="Villa Elena",COUNTIF($D$3:$D82,"Villa Elena"),"")</f>
        <v/>
      </c>
      <c r="U82" s="30" t="str">
        <f t="shared" si="56"/>
        <v/>
      </c>
      <c r="V82" s="30" t="str">
        <f t="shared" si="57"/>
        <v/>
      </c>
      <c r="W82" s="30" t="str">
        <f t="shared" si="58"/>
        <v/>
      </c>
      <c r="X82" s="30" t="str">
        <f t="shared" si="59"/>
        <v/>
      </c>
      <c r="Y82" s="30" t="str">
        <f t="shared" si="60"/>
        <v/>
      </c>
      <c r="Z82" s="30" t="str">
        <f t="shared" si="61"/>
        <v/>
      </c>
      <c r="AA82" s="30" t="str">
        <f t="shared" si="62"/>
        <v/>
      </c>
      <c r="AB82" s="30" t="str">
        <f t="shared" si="63"/>
        <v/>
      </c>
      <c r="AC82" s="30" t="str">
        <f t="shared" si="64"/>
        <v/>
      </c>
      <c r="AD82" s="30" t="str">
        <f t="shared" si="65"/>
        <v/>
      </c>
      <c r="AE82" s="30" t="str">
        <f t="shared" si="66"/>
        <v/>
      </c>
      <c r="AF82" s="30" t="str">
        <f t="shared" si="37"/>
        <v/>
      </c>
      <c r="AG82" s="30" t="str">
        <f t="shared" si="38"/>
        <v/>
      </c>
      <c r="AH82" s="30" t="str">
        <f t="shared" si="39"/>
        <v/>
      </c>
      <c r="AI82" s="30" t="str">
        <f t="shared" si="40"/>
        <v/>
      </c>
      <c r="AJ82" s="30" t="str">
        <f t="shared" si="41"/>
        <v/>
      </c>
      <c r="AK82" s="30" t="str">
        <f t="shared" si="42"/>
        <v/>
      </c>
      <c r="AL82" s="30" t="str">
        <f t="shared" si="43"/>
        <v/>
      </c>
      <c r="AM82" s="30" t="str">
        <f t="shared" si="44"/>
        <v/>
      </c>
      <c r="AN82" s="30" t="str">
        <f t="shared" si="45"/>
        <v/>
      </c>
      <c r="AO82" s="30" t="str">
        <f t="shared" si="46"/>
        <v/>
      </c>
      <c r="AP82" s="30" t="str">
        <f t="shared" si="47"/>
        <v/>
      </c>
      <c r="AQ82" s="30" t="str">
        <f t="shared" si="48"/>
        <v/>
      </c>
      <c r="AR82" s="30" t="str">
        <f t="shared" si="49"/>
        <v/>
      </c>
      <c r="AS82" s="30" t="str">
        <f t="shared" si="50"/>
        <v/>
      </c>
      <c r="AT82">
        <f t="shared" si="51"/>
        <v>82</v>
      </c>
      <c r="AU82" t="str">
        <f t="shared" si="52"/>
        <v/>
      </c>
    </row>
    <row r="83" spans="1:47" ht="22" customHeight="1" x14ac:dyDescent="0.2">
      <c r="A83" s="31">
        <v>46246</v>
      </c>
      <c r="B83" s="31">
        <v>46251</v>
      </c>
      <c r="C83" s="32">
        <f t="shared" si="69"/>
        <v>5</v>
      </c>
      <c r="D83" s="33" t="s">
        <v>115</v>
      </c>
      <c r="E83" s="34" t="s">
        <v>366</v>
      </c>
      <c r="F83" s="34" t="s">
        <v>34</v>
      </c>
      <c r="G83" s="34" t="s">
        <v>35</v>
      </c>
      <c r="H83" s="35">
        <v>775.02</v>
      </c>
      <c r="I83" s="35">
        <f t="shared" si="54"/>
        <v>155.00399999999999</v>
      </c>
      <c r="J83" s="35">
        <f t="shared" si="67"/>
        <v>116.25299999999999</v>
      </c>
      <c r="K83" s="34"/>
      <c r="L83" s="35"/>
      <c r="M83" s="61">
        <f t="shared" si="68"/>
        <v>193.755</v>
      </c>
      <c r="N83" s="35"/>
      <c r="O83" s="34"/>
      <c r="P83" s="35"/>
      <c r="Q83" s="35"/>
      <c r="R83" s="36"/>
      <c r="S83" s="30" t="str">
        <f t="shared" si="55"/>
        <v/>
      </c>
      <c r="T83" s="6" t="str">
        <f>IF($D83="Villa Elena",COUNTIF($D$3:$D83,"Villa Elena"),"")</f>
        <v/>
      </c>
      <c r="U83" s="30" t="str">
        <f t="shared" si="56"/>
        <v/>
      </c>
      <c r="V83" s="30" t="str">
        <f t="shared" si="57"/>
        <v/>
      </c>
      <c r="W83" s="30" t="str">
        <f t="shared" si="58"/>
        <v/>
      </c>
      <c r="X83" s="30" t="str">
        <f t="shared" si="59"/>
        <v/>
      </c>
      <c r="Y83" s="30" t="str">
        <f t="shared" si="60"/>
        <v/>
      </c>
      <c r="Z83" s="30" t="str">
        <f t="shared" si="61"/>
        <v/>
      </c>
      <c r="AA83" s="30" t="str">
        <f t="shared" si="62"/>
        <v/>
      </c>
      <c r="AB83" s="30">
        <f t="shared" si="63"/>
        <v>83</v>
      </c>
      <c r="AC83" s="30" t="str">
        <f t="shared" si="64"/>
        <v/>
      </c>
      <c r="AD83" s="30" t="str">
        <f t="shared" si="65"/>
        <v/>
      </c>
      <c r="AE83" s="30" t="str">
        <f t="shared" si="66"/>
        <v/>
      </c>
      <c r="AF83" s="30" t="str">
        <f t="shared" si="37"/>
        <v/>
      </c>
      <c r="AG83" s="30" t="str">
        <f t="shared" si="38"/>
        <v/>
      </c>
      <c r="AH83" s="30" t="str">
        <f t="shared" si="39"/>
        <v/>
      </c>
      <c r="AI83" s="30" t="str">
        <f t="shared" si="40"/>
        <v/>
      </c>
      <c r="AJ83" s="30" t="str">
        <f t="shared" si="41"/>
        <v/>
      </c>
      <c r="AK83" s="30" t="str">
        <f t="shared" si="42"/>
        <v/>
      </c>
      <c r="AL83" s="30" t="str">
        <f t="shared" si="43"/>
        <v/>
      </c>
      <c r="AM83" s="30" t="str">
        <f t="shared" si="44"/>
        <v/>
      </c>
      <c r="AN83" s="30" t="str">
        <f t="shared" si="45"/>
        <v/>
      </c>
      <c r="AO83" s="30" t="str">
        <f t="shared" si="46"/>
        <v/>
      </c>
      <c r="AP83" s="30" t="str">
        <f t="shared" si="47"/>
        <v/>
      </c>
      <c r="AQ83" s="30" t="str">
        <f t="shared" si="48"/>
        <v/>
      </c>
      <c r="AR83" s="30" t="str">
        <f t="shared" si="49"/>
        <v/>
      </c>
      <c r="AS83" s="30" t="str">
        <f t="shared" si="50"/>
        <v/>
      </c>
      <c r="AT83" t="str">
        <f t="shared" si="51"/>
        <v/>
      </c>
      <c r="AU83" t="str">
        <f t="shared" si="52"/>
        <v/>
      </c>
    </row>
    <row r="84" spans="1:47" ht="22" customHeight="1" x14ac:dyDescent="0.2">
      <c r="A84" s="31">
        <v>46248</v>
      </c>
      <c r="B84" s="31">
        <v>46255</v>
      </c>
      <c r="C84" s="32">
        <f t="shared" si="69"/>
        <v>7</v>
      </c>
      <c r="D84" s="33" t="s">
        <v>98</v>
      </c>
      <c r="E84" s="34" t="s">
        <v>122</v>
      </c>
      <c r="F84" s="34" t="s">
        <v>123</v>
      </c>
      <c r="G84" s="34" t="s">
        <v>35</v>
      </c>
      <c r="H84" s="35">
        <v>2730.2</v>
      </c>
      <c r="I84" s="35">
        <f t="shared" si="54"/>
        <v>390.02857142857141</v>
      </c>
      <c r="J84" s="35">
        <f t="shared" si="67"/>
        <v>409.53</v>
      </c>
      <c r="K84" s="34" t="s">
        <v>124</v>
      </c>
      <c r="L84" s="35"/>
      <c r="M84" s="61">
        <f t="shared" si="68"/>
        <v>682.55</v>
      </c>
      <c r="N84" s="35"/>
      <c r="O84" s="34"/>
      <c r="P84" s="35"/>
      <c r="Q84" s="35"/>
      <c r="R84" s="76" t="s">
        <v>55</v>
      </c>
      <c r="S84" s="30" t="str">
        <f t="shared" si="55"/>
        <v/>
      </c>
      <c r="T84" s="6" t="str">
        <f>IF($D84="Villa Elena",COUNTIF($D$3:$D84,"Villa Elena"),"")</f>
        <v/>
      </c>
      <c r="U84" s="30" t="str">
        <f t="shared" si="56"/>
        <v/>
      </c>
      <c r="V84" s="30" t="str">
        <f t="shared" si="57"/>
        <v/>
      </c>
      <c r="W84" s="30" t="str">
        <f t="shared" si="58"/>
        <v/>
      </c>
      <c r="X84" s="30" t="str">
        <f t="shared" si="59"/>
        <v/>
      </c>
      <c r="Y84" s="30" t="str">
        <f t="shared" si="60"/>
        <v/>
      </c>
      <c r="Z84" s="30" t="str">
        <f t="shared" si="61"/>
        <v/>
      </c>
      <c r="AA84" s="30" t="str">
        <f t="shared" si="62"/>
        <v/>
      </c>
      <c r="AB84" s="30" t="str">
        <f t="shared" si="63"/>
        <v/>
      </c>
      <c r="AC84" s="30" t="str">
        <f t="shared" si="64"/>
        <v/>
      </c>
      <c r="AD84" s="30" t="str">
        <f t="shared" si="65"/>
        <v/>
      </c>
      <c r="AE84" s="30">
        <f t="shared" si="66"/>
        <v>84</v>
      </c>
      <c r="AF84" s="30" t="str">
        <f t="shared" si="37"/>
        <v/>
      </c>
      <c r="AG84" s="30" t="str">
        <f t="shared" si="38"/>
        <v/>
      </c>
      <c r="AH84" s="30" t="str">
        <f t="shared" si="39"/>
        <v/>
      </c>
      <c r="AI84" s="30" t="str">
        <f t="shared" si="40"/>
        <v/>
      </c>
      <c r="AJ84" s="30" t="str">
        <f t="shared" si="41"/>
        <v/>
      </c>
      <c r="AK84" s="30" t="str">
        <f t="shared" si="42"/>
        <v/>
      </c>
      <c r="AL84" s="30" t="str">
        <f t="shared" si="43"/>
        <v/>
      </c>
      <c r="AM84" s="30" t="str">
        <f t="shared" si="44"/>
        <v/>
      </c>
      <c r="AN84" s="30" t="str">
        <f t="shared" si="45"/>
        <v/>
      </c>
      <c r="AO84" s="30" t="str">
        <f t="shared" si="46"/>
        <v/>
      </c>
      <c r="AP84" s="30" t="str">
        <f t="shared" si="47"/>
        <v/>
      </c>
      <c r="AQ84" s="30" t="str">
        <f t="shared" si="48"/>
        <v/>
      </c>
      <c r="AR84" s="30" t="str">
        <f t="shared" si="49"/>
        <v/>
      </c>
      <c r="AS84" s="30" t="str">
        <f t="shared" si="50"/>
        <v/>
      </c>
      <c r="AT84" t="str">
        <f t="shared" si="51"/>
        <v/>
      </c>
      <c r="AU84" t="str">
        <f t="shared" si="52"/>
        <v/>
      </c>
    </row>
    <row r="85" spans="1:47" ht="22" customHeight="1" x14ac:dyDescent="0.2">
      <c r="A85" s="31">
        <v>46250</v>
      </c>
      <c r="B85" s="31">
        <v>46255</v>
      </c>
      <c r="C85" s="32">
        <f t="shared" si="69"/>
        <v>5</v>
      </c>
      <c r="D85" s="33" t="s">
        <v>60</v>
      </c>
      <c r="E85" s="34" t="s">
        <v>331</v>
      </c>
      <c r="F85" s="34" t="s">
        <v>34</v>
      </c>
      <c r="G85" s="34" t="s">
        <v>48</v>
      </c>
      <c r="H85" s="35">
        <v>500</v>
      </c>
      <c r="I85" s="35">
        <f t="shared" si="54"/>
        <v>100</v>
      </c>
      <c r="J85" s="35" t="str">
        <f t="shared" si="67"/>
        <v/>
      </c>
      <c r="K85" s="34"/>
      <c r="L85" s="35"/>
      <c r="M85" s="61">
        <f>IF(H85&lt;&gt;"",H85*0.1,"")</f>
        <v>50</v>
      </c>
      <c r="N85" s="35"/>
      <c r="O85" s="34"/>
      <c r="P85" s="35"/>
      <c r="Q85" s="35"/>
      <c r="R85" s="36"/>
      <c r="S85" s="30" t="str">
        <f t="shared" si="55"/>
        <v/>
      </c>
      <c r="T85" s="6" t="str">
        <f>IF($D85="Villa Elena",COUNTIF($D$3:$D85,"Villa Elena"),"")</f>
        <v/>
      </c>
      <c r="U85" s="30" t="str">
        <f t="shared" si="56"/>
        <v/>
      </c>
      <c r="V85" s="30" t="str">
        <f t="shared" si="57"/>
        <v/>
      </c>
      <c r="W85" s="30" t="str">
        <f t="shared" si="58"/>
        <v/>
      </c>
      <c r="X85" s="30">
        <f t="shared" si="59"/>
        <v>85</v>
      </c>
      <c r="Y85" s="30" t="str">
        <f t="shared" si="60"/>
        <v/>
      </c>
      <c r="Z85" s="30" t="str">
        <f t="shared" si="61"/>
        <v/>
      </c>
      <c r="AA85" s="30" t="str">
        <f t="shared" si="62"/>
        <v/>
      </c>
      <c r="AB85" s="30" t="str">
        <f t="shared" si="63"/>
        <v/>
      </c>
      <c r="AC85" s="30" t="str">
        <f t="shared" si="64"/>
        <v/>
      </c>
      <c r="AD85" s="30" t="str">
        <f t="shared" si="65"/>
        <v/>
      </c>
      <c r="AE85" s="30" t="str">
        <f t="shared" si="66"/>
        <v/>
      </c>
      <c r="AF85" s="30" t="str">
        <f t="shared" si="37"/>
        <v/>
      </c>
      <c r="AG85" s="30" t="str">
        <f t="shared" si="38"/>
        <v/>
      </c>
      <c r="AH85" s="30" t="str">
        <f t="shared" si="39"/>
        <v/>
      </c>
      <c r="AI85" s="30" t="str">
        <f t="shared" si="40"/>
        <v/>
      </c>
      <c r="AJ85" s="30" t="str">
        <f t="shared" si="41"/>
        <v/>
      </c>
      <c r="AK85" s="30" t="str">
        <f t="shared" si="42"/>
        <v/>
      </c>
      <c r="AL85" s="30" t="str">
        <f t="shared" si="43"/>
        <v/>
      </c>
      <c r="AM85" s="30" t="str">
        <f t="shared" si="44"/>
        <v/>
      </c>
      <c r="AN85" s="30" t="str">
        <f t="shared" si="45"/>
        <v/>
      </c>
      <c r="AO85" s="30" t="str">
        <f t="shared" si="46"/>
        <v/>
      </c>
      <c r="AP85" s="30" t="str">
        <f t="shared" si="47"/>
        <v/>
      </c>
      <c r="AQ85" s="30" t="str">
        <f t="shared" si="48"/>
        <v/>
      </c>
      <c r="AR85" s="30" t="str">
        <f t="shared" si="49"/>
        <v/>
      </c>
      <c r="AS85" s="30" t="str">
        <f t="shared" si="50"/>
        <v/>
      </c>
      <c r="AT85" t="str">
        <f t="shared" si="51"/>
        <v/>
      </c>
      <c r="AU85" t="str">
        <f t="shared" si="52"/>
        <v/>
      </c>
    </row>
    <row r="86" spans="1:47" ht="22" customHeight="1" x14ac:dyDescent="0.2">
      <c r="A86" s="31">
        <v>46250</v>
      </c>
      <c r="B86" s="31">
        <v>46253</v>
      </c>
      <c r="C86" s="32">
        <f t="shared" si="69"/>
        <v>3</v>
      </c>
      <c r="D86" s="33" t="s">
        <v>39</v>
      </c>
      <c r="E86" s="34" t="s">
        <v>361</v>
      </c>
      <c r="F86" s="34" t="s">
        <v>34</v>
      </c>
      <c r="G86" s="34" t="s">
        <v>35</v>
      </c>
      <c r="H86" s="35">
        <v>379.62</v>
      </c>
      <c r="I86" s="35">
        <f t="shared" si="54"/>
        <v>126.54</v>
      </c>
      <c r="J86" s="35">
        <f t="shared" si="67"/>
        <v>56.942999999999998</v>
      </c>
      <c r="K86" s="34"/>
      <c r="L86" s="35"/>
      <c r="M86" s="61">
        <f>IF(H86&lt;&gt;"",H86*0.25,"")</f>
        <v>94.905000000000001</v>
      </c>
      <c r="N86" s="35"/>
      <c r="O86" s="34"/>
      <c r="P86" s="35"/>
      <c r="Q86" s="35"/>
      <c r="R86" s="36"/>
      <c r="S86" s="30" t="str">
        <f t="shared" si="55"/>
        <v/>
      </c>
      <c r="T86" s="6" t="str">
        <f>IF($D86="Villa Elena",COUNTIF($D$3:$D86,"Villa Elena"),"")</f>
        <v/>
      </c>
      <c r="U86" s="30" t="str">
        <f t="shared" si="56"/>
        <v/>
      </c>
      <c r="V86" s="30">
        <f t="shared" si="57"/>
        <v>86</v>
      </c>
      <c r="W86" s="30" t="str">
        <f t="shared" si="58"/>
        <v/>
      </c>
      <c r="X86" s="30" t="str">
        <f t="shared" si="59"/>
        <v/>
      </c>
      <c r="Y86" s="30" t="str">
        <f t="shared" si="60"/>
        <v/>
      </c>
      <c r="Z86" s="30" t="str">
        <f t="shared" si="61"/>
        <v/>
      </c>
      <c r="AA86" s="30" t="str">
        <f t="shared" si="62"/>
        <v/>
      </c>
      <c r="AB86" s="30" t="str">
        <f t="shared" si="63"/>
        <v/>
      </c>
      <c r="AC86" s="30" t="str">
        <f t="shared" si="64"/>
        <v/>
      </c>
      <c r="AD86" s="30" t="str">
        <f t="shared" si="65"/>
        <v/>
      </c>
      <c r="AE86" s="30" t="str">
        <f t="shared" si="66"/>
        <v/>
      </c>
      <c r="AF86" s="30" t="str">
        <f t="shared" si="37"/>
        <v/>
      </c>
      <c r="AG86" s="30" t="str">
        <f t="shared" si="38"/>
        <v/>
      </c>
      <c r="AH86" s="30" t="str">
        <f t="shared" si="39"/>
        <v/>
      </c>
      <c r="AI86" s="30" t="str">
        <f t="shared" si="40"/>
        <v/>
      </c>
      <c r="AJ86" s="30" t="str">
        <f t="shared" si="41"/>
        <v/>
      </c>
      <c r="AK86" s="30" t="str">
        <f t="shared" si="42"/>
        <v/>
      </c>
      <c r="AL86" s="30" t="str">
        <f t="shared" si="43"/>
        <v/>
      </c>
      <c r="AM86" s="30" t="str">
        <f t="shared" si="44"/>
        <v/>
      </c>
      <c r="AN86" s="30" t="str">
        <f t="shared" si="45"/>
        <v/>
      </c>
      <c r="AO86" s="30" t="str">
        <f t="shared" si="46"/>
        <v/>
      </c>
      <c r="AP86" s="30" t="str">
        <f t="shared" si="47"/>
        <v/>
      </c>
      <c r="AQ86" s="30" t="str">
        <f t="shared" si="48"/>
        <v/>
      </c>
      <c r="AR86" s="30" t="str">
        <f t="shared" si="49"/>
        <v/>
      </c>
      <c r="AS86" s="30" t="str">
        <f t="shared" si="50"/>
        <v/>
      </c>
      <c r="AT86" t="str">
        <f t="shared" si="51"/>
        <v/>
      </c>
      <c r="AU86" t="str">
        <f t="shared" si="52"/>
        <v/>
      </c>
    </row>
    <row r="87" spans="1:47" ht="22" customHeight="1" x14ac:dyDescent="0.2">
      <c r="A87" s="31">
        <v>46251</v>
      </c>
      <c r="B87" s="31">
        <v>46257</v>
      </c>
      <c r="C87" s="32">
        <f t="shared" si="69"/>
        <v>6</v>
      </c>
      <c r="D87" s="33" t="s">
        <v>125</v>
      </c>
      <c r="E87" s="34" t="s">
        <v>126</v>
      </c>
      <c r="F87" s="34" t="s">
        <v>34</v>
      </c>
      <c r="G87" s="34" t="s">
        <v>35</v>
      </c>
      <c r="H87" s="35">
        <v>576</v>
      </c>
      <c r="I87" s="35">
        <f t="shared" si="54"/>
        <v>96</v>
      </c>
      <c r="J87" s="35">
        <f t="shared" si="67"/>
        <v>86.399999999999991</v>
      </c>
      <c r="K87" s="34"/>
      <c r="L87" s="35"/>
      <c r="M87" s="61">
        <f>IF(H87&lt;&gt;"",H87*0.25,"")</f>
        <v>144</v>
      </c>
      <c r="N87" s="35"/>
      <c r="O87" s="34"/>
      <c r="P87" s="35"/>
      <c r="Q87" s="35"/>
      <c r="R87" s="36"/>
      <c r="S87" s="30" t="str">
        <f t="shared" si="55"/>
        <v/>
      </c>
      <c r="T87" s="6" t="str">
        <f>IF($D87="Villa Elena",COUNTIF($D$3:$D87,"Villa Elena"),"")</f>
        <v/>
      </c>
      <c r="U87" s="30" t="str">
        <f t="shared" si="56"/>
        <v/>
      </c>
      <c r="V87" s="30" t="str">
        <f t="shared" si="57"/>
        <v/>
      </c>
      <c r="W87" s="30" t="str">
        <f t="shared" si="58"/>
        <v/>
      </c>
      <c r="X87" s="30" t="str">
        <f t="shared" si="59"/>
        <v/>
      </c>
      <c r="Y87" s="30" t="str">
        <f t="shared" si="60"/>
        <v/>
      </c>
      <c r="Z87" s="30" t="str">
        <f t="shared" si="61"/>
        <v/>
      </c>
      <c r="AA87" s="30" t="str">
        <f t="shared" si="62"/>
        <v/>
      </c>
      <c r="AB87" s="30" t="str">
        <f t="shared" si="63"/>
        <v/>
      </c>
      <c r="AC87" s="30" t="str">
        <f t="shared" si="64"/>
        <v/>
      </c>
      <c r="AD87" s="30" t="str">
        <f t="shared" si="65"/>
        <v/>
      </c>
      <c r="AE87" s="30" t="str">
        <f t="shared" si="66"/>
        <v/>
      </c>
      <c r="AF87" s="30" t="str">
        <f t="shared" si="37"/>
        <v/>
      </c>
      <c r="AG87" s="30" t="str">
        <f t="shared" si="38"/>
        <v/>
      </c>
      <c r="AH87" s="30" t="str">
        <f t="shared" si="39"/>
        <v/>
      </c>
      <c r="AI87" s="30" t="str">
        <f t="shared" si="40"/>
        <v/>
      </c>
      <c r="AJ87" s="30" t="str">
        <f t="shared" si="41"/>
        <v/>
      </c>
      <c r="AK87" s="30" t="str">
        <f t="shared" si="42"/>
        <v/>
      </c>
      <c r="AL87" s="30" t="str">
        <f t="shared" si="43"/>
        <v/>
      </c>
      <c r="AM87" s="30" t="str">
        <f t="shared" si="44"/>
        <v/>
      </c>
      <c r="AN87" s="30" t="str">
        <f t="shared" si="45"/>
        <v/>
      </c>
      <c r="AO87" s="30" t="str">
        <f t="shared" si="46"/>
        <v/>
      </c>
      <c r="AP87" s="30" t="str">
        <f t="shared" si="47"/>
        <v/>
      </c>
      <c r="AQ87" s="30" t="str">
        <f t="shared" si="48"/>
        <v/>
      </c>
      <c r="AR87" s="30" t="str">
        <f t="shared" si="49"/>
        <v/>
      </c>
      <c r="AS87" s="30" t="str">
        <f t="shared" si="50"/>
        <v/>
      </c>
      <c r="AT87">
        <f t="shared" si="51"/>
        <v>87</v>
      </c>
      <c r="AU87" t="str">
        <f t="shared" si="52"/>
        <v/>
      </c>
    </row>
    <row r="88" spans="1:47" ht="22" customHeight="1" x14ac:dyDescent="0.2">
      <c r="A88" s="31">
        <v>46251</v>
      </c>
      <c r="B88" s="31">
        <v>46258</v>
      </c>
      <c r="C88" s="32">
        <f t="shared" si="69"/>
        <v>7</v>
      </c>
      <c r="D88" s="33" t="s">
        <v>32</v>
      </c>
      <c r="E88" s="34" t="s">
        <v>303</v>
      </c>
      <c r="F88" s="34" t="s">
        <v>47</v>
      </c>
      <c r="G88" s="34" t="s">
        <v>35</v>
      </c>
      <c r="H88" s="35">
        <v>1648.43</v>
      </c>
      <c r="I88" s="35">
        <f t="shared" si="54"/>
        <v>235.49</v>
      </c>
      <c r="J88" s="35">
        <f t="shared" si="67"/>
        <v>247.2645</v>
      </c>
      <c r="K88" s="34"/>
      <c r="L88" s="35"/>
      <c r="M88" s="61">
        <f>IF(H88&lt;&gt;"",H88*0.25,"")</f>
        <v>412.10750000000002</v>
      </c>
      <c r="N88" s="35"/>
      <c r="O88" s="34"/>
      <c r="P88" s="35"/>
      <c r="Q88" s="35"/>
      <c r="R88" s="36"/>
      <c r="S88" s="30">
        <f t="shared" si="55"/>
        <v>88</v>
      </c>
      <c r="T88" s="6" t="str">
        <f>IF($D88="Villa Elena",COUNTIF($D$3:$D88,"Villa Elena"),"")</f>
        <v/>
      </c>
      <c r="U88" s="30" t="str">
        <f t="shared" si="56"/>
        <v/>
      </c>
      <c r="V88" s="30" t="str">
        <f t="shared" si="57"/>
        <v/>
      </c>
      <c r="W88" s="30" t="str">
        <f t="shared" si="58"/>
        <v/>
      </c>
      <c r="X88" s="30" t="str">
        <f t="shared" si="59"/>
        <v/>
      </c>
      <c r="Y88" s="30" t="str">
        <f t="shared" si="60"/>
        <v/>
      </c>
      <c r="Z88" s="30" t="str">
        <f t="shared" si="61"/>
        <v/>
      </c>
      <c r="AA88" s="30" t="str">
        <f t="shared" si="62"/>
        <v/>
      </c>
      <c r="AB88" s="30" t="str">
        <f t="shared" si="63"/>
        <v/>
      </c>
      <c r="AC88" s="30" t="str">
        <f t="shared" si="64"/>
        <v/>
      </c>
      <c r="AD88" s="30" t="str">
        <f t="shared" si="65"/>
        <v/>
      </c>
      <c r="AE88" s="30" t="str">
        <f t="shared" si="66"/>
        <v/>
      </c>
      <c r="AF88" s="30" t="str">
        <f t="shared" si="37"/>
        <v/>
      </c>
      <c r="AG88" s="30" t="str">
        <f t="shared" si="38"/>
        <v/>
      </c>
      <c r="AH88" s="30" t="str">
        <f t="shared" si="39"/>
        <v/>
      </c>
      <c r="AI88" s="30" t="str">
        <f t="shared" si="40"/>
        <v/>
      </c>
      <c r="AJ88" s="30" t="str">
        <f t="shared" si="41"/>
        <v/>
      </c>
      <c r="AK88" s="30" t="str">
        <f t="shared" si="42"/>
        <v/>
      </c>
      <c r="AL88" s="30" t="str">
        <f t="shared" si="43"/>
        <v/>
      </c>
      <c r="AM88" s="30" t="str">
        <f t="shared" si="44"/>
        <v/>
      </c>
      <c r="AN88" s="30" t="str">
        <f t="shared" si="45"/>
        <v/>
      </c>
      <c r="AO88" s="30" t="str">
        <f t="shared" si="46"/>
        <v/>
      </c>
      <c r="AP88" s="30" t="str">
        <f t="shared" si="47"/>
        <v/>
      </c>
      <c r="AQ88" s="30" t="str">
        <f t="shared" si="48"/>
        <v/>
      </c>
      <c r="AR88" s="30" t="str">
        <f t="shared" si="49"/>
        <v/>
      </c>
      <c r="AS88" s="30" t="str">
        <f t="shared" si="50"/>
        <v/>
      </c>
      <c r="AT88" t="str">
        <f t="shared" si="51"/>
        <v/>
      </c>
      <c r="AU88" t="str">
        <f t="shared" si="52"/>
        <v/>
      </c>
    </row>
    <row r="89" spans="1:47" ht="22" customHeight="1" x14ac:dyDescent="0.2">
      <c r="A89" s="31">
        <v>46252</v>
      </c>
      <c r="B89" s="31">
        <v>46259</v>
      </c>
      <c r="C89" s="32">
        <f t="shared" si="69"/>
        <v>7</v>
      </c>
      <c r="D89" s="33" t="s">
        <v>51</v>
      </c>
      <c r="E89" s="34" t="s">
        <v>127</v>
      </c>
      <c r="F89" s="34" t="s">
        <v>34</v>
      </c>
      <c r="G89" s="34" t="s">
        <v>35</v>
      </c>
      <c r="H89" s="35">
        <v>936.99</v>
      </c>
      <c r="I89" s="35">
        <f t="shared" si="54"/>
        <v>133.8557142857143</v>
      </c>
      <c r="J89" s="35">
        <f t="shared" si="67"/>
        <v>154.60335000000001</v>
      </c>
      <c r="K89" s="34"/>
      <c r="L89" s="35"/>
      <c r="M89" s="61">
        <f>IF(H89&lt;&gt;"",H89*0.1,"")</f>
        <v>93.699000000000012</v>
      </c>
      <c r="N89" s="35"/>
      <c r="O89" s="34"/>
      <c r="P89" s="35"/>
      <c r="Q89" s="35"/>
      <c r="R89" s="36"/>
      <c r="S89" s="30" t="str">
        <f t="shared" si="55"/>
        <v/>
      </c>
      <c r="T89" s="6" t="str">
        <f>IF($D89="Villa Elena",COUNTIF($D$3:$D89,"Villa Elena"),"")</f>
        <v/>
      </c>
      <c r="U89" s="30" t="str">
        <f t="shared" si="56"/>
        <v/>
      </c>
      <c r="V89" s="30" t="str">
        <f t="shared" si="57"/>
        <v/>
      </c>
      <c r="W89" s="30">
        <f t="shared" si="58"/>
        <v>89</v>
      </c>
      <c r="X89" s="30" t="str">
        <f t="shared" si="59"/>
        <v/>
      </c>
      <c r="Y89" s="30" t="str">
        <f t="shared" si="60"/>
        <v/>
      </c>
      <c r="Z89" s="30" t="str">
        <f t="shared" si="61"/>
        <v/>
      </c>
      <c r="AA89" s="30" t="str">
        <f t="shared" si="62"/>
        <v/>
      </c>
      <c r="AB89" s="30" t="str">
        <f t="shared" si="63"/>
        <v/>
      </c>
      <c r="AC89" s="30" t="str">
        <f t="shared" si="64"/>
        <v/>
      </c>
      <c r="AD89" s="30" t="str">
        <f t="shared" si="65"/>
        <v/>
      </c>
      <c r="AE89" s="30" t="str">
        <f t="shared" si="66"/>
        <v/>
      </c>
      <c r="AF89" s="30" t="str">
        <f t="shared" si="37"/>
        <v/>
      </c>
      <c r="AG89" s="30" t="str">
        <f t="shared" si="38"/>
        <v/>
      </c>
      <c r="AH89" s="30" t="str">
        <f t="shared" si="39"/>
        <v/>
      </c>
      <c r="AI89" s="30" t="str">
        <f t="shared" si="40"/>
        <v/>
      </c>
      <c r="AJ89" s="30" t="str">
        <f t="shared" si="41"/>
        <v/>
      </c>
      <c r="AK89" s="30" t="str">
        <f t="shared" si="42"/>
        <v/>
      </c>
      <c r="AL89" s="30" t="str">
        <f t="shared" si="43"/>
        <v/>
      </c>
      <c r="AM89" s="30" t="str">
        <f t="shared" si="44"/>
        <v/>
      </c>
      <c r="AN89" s="30" t="str">
        <f t="shared" si="45"/>
        <v/>
      </c>
      <c r="AO89" s="30" t="str">
        <f t="shared" si="46"/>
        <v/>
      </c>
      <c r="AP89" s="30" t="str">
        <f t="shared" si="47"/>
        <v/>
      </c>
      <c r="AQ89" s="30" t="str">
        <f t="shared" si="48"/>
        <v/>
      </c>
      <c r="AR89" s="30" t="str">
        <f t="shared" si="49"/>
        <v/>
      </c>
      <c r="AS89" s="30" t="str">
        <f t="shared" si="50"/>
        <v/>
      </c>
      <c r="AT89" t="str">
        <f t="shared" si="51"/>
        <v/>
      </c>
      <c r="AU89" t="str">
        <f t="shared" si="52"/>
        <v/>
      </c>
    </row>
    <row r="90" spans="1:47" ht="22" customHeight="1" x14ac:dyDescent="0.2">
      <c r="A90" s="31">
        <v>46253</v>
      </c>
      <c r="B90" s="31">
        <v>46260</v>
      </c>
      <c r="C90" s="32">
        <f t="shared" si="69"/>
        <v>7</v>
      </c>
      <c r="D90" s="33" t="s">
        <v>96</v>
      </c>
      <c r="E90" s="34" t="s">
        <v>356</v>
      </c>
      <c r="F90" s="34" t="s">
        <v>95</v>
      </c>
      <c r="G90" s="34" t="s">
        <v>35</v>
      </c>
      <c r="H90" s="35">
        <v>1003.6</v>
      </c>
      <c r="I90" s="35">
        <f t="shared" si="54"/>
        <v>143.37142857142857</v>
      </c>
      <c r="J90" s="35">
        <f t="shared" si="67"/>
        <v>150.54</v>
      </c>
      <c r="K90" s="34"/>
      <c r="L90" s="35"/>
      <c r="M90" s="61">
        <f>IF(H90&lt;&gt;"",H90*0.25,"")</f>
        <v>250.9</v>
      </c>
      <c r="N90" s="35"/>
      <c r="O90" s="34"/>
      <c r="P90" s="35"/>
      <c r="Q90" s="35"/>
      <c r="R90" s="36"/>
      <c r="S90" s="30" t="str">
        <f t="shared" si="55"/>
        <v/>
      </c>
      <c r="T90" s="6" t="str">
        <f>IF($D90="Villa Elena",COUNTIF($D$3:$D90,"Villa Elena"),"")</f>
        <v/>
      </c>
      <c r="U90" s="30" t="str">
        <f t="shared" si="56"/>
        <v/>
      </c>
      <c r="V90" s="30" t="str">
        <f t="shared" si="57"/>
        <v/>
      </c>
      <c r="W90" s="30" t="str">
        <f t="shared" si="58"/>
        <v/>
      </c>
      <c r="X90" s="30" t="str">
        <f t="shared" si="59"/>
        <v/>
      </c>
      <c r="Y90" s="30">
        <f t="shared" si="60"/>
        <v>90</v>
      </c>
      <c r="Z90" s="30" t="str">
        <f t="shared" si="61"/>
        <v/>
      </c>
      <c r="AA90" s="30" t="str">
        <f t="shared" si="62"/>
        <v/>
      </c>
      <c r="AB90" s="30" t="str">
        <f t="shared" si="63"/>
        <v/>
      </c>
      <c r="AC90" s="30" t="str">
        <f t="shared" si="64"/>
        <v/>
      </c>
      <c r="AD90" s="30" t="str">
        <f t="shared" si="65"/>
        <v/>
      </c>
      <c r="AE90" s="30" t="str">
        <f t="shared" si="66"/>
        <v/>
      </c>
      <c r="AF90" s="30" t="str">
        <f t="shared" si="37"/>
        <v/>
      </c>
      <c r="AG90" s="30" t="str">
        <f t="shared" si="38"/>
        <v/>
      </c>
      <c r="AH90" s="30" t="str">
        <f t="shared" si="39"/>
        <v/>
      </c>
      <c r="AI90" s="30" t="str">
        <f t="shared" si="40"/>
        <v/>
      </c>
      <c r="AJ90" s="30" t="str">
        <f t="shared" si="41"/>
        <v/>
      </c>
      <c r="AK90" s="30" t="str">
        <f t="shared" si="42"/>
        <v/>
      </c>
      <c r="AL90" s="30" t="str">
        <f t="shared" si="43"/>
        <v/>
      </c>
      <c r="AM90" s="30" t="str">
        <f t="shared" si="44"/>
        <v/>
      </c>
      <c r="AN90" s="30" t="str">
        <f t="shared" si="45"/>
        <v/>
      </c>
      <c r="AO90" s="30" t="str">
        <f t="shared" si="46"/>
        <v/>
      </c>
      <c r="AP90" s="30" t="str">
        <f t="shared" si="47"/>
        <v/>
      </c>
      <c r="AQ90" s="30" t="str">
        <f t="shared" si="48"/>
        <v/>
      </c>
      <c r="AR90" s="30" t="str">
        <f t="shared" si="49"/>
        <v/>
      </c>
      <c r="AS90" s="30" t="str">
        <f t="shared" si="50"/>
        <v/>
      </c>
      <c r="AT90" t="str">
        <f t="shared" si="51"/>
        <v/>
      </c>
      <c r="AU90" t="str">
        <f t="shared" si="52"/>
        <v/>
      </c>
    </row>
    <row r="91" spans="1:47" ht="22" customHeight="1" x14ac:dyDescent="0.2">
      <c r="A91" s="31">
        <v>46253</v>
      </c>
      <c r="B91" s="31">
        <v>46257</v>
      </c>
      <c r="C91" s="32">
        <f t="shared" si="69"/>
        <v>4</v>
      </c>
      <c r="D91" s="33" t="s">
        <v>45</v>
      </c>
      <c r="E91" s="34" t="s">
        <v>384</v>
      </c>
      <c r="F91" s="34" t="s">
        <v>34</v>
      </c>
      <c r="G91" s="34" t="s">
        <v>35</v>
      </c>
      <c r="H91" s="35">
        <v>521.64</v>
      </c>
      <c r="I91" s="35">
        <f t="shared" si="54"/>
        <v>130.41</v>
      </c>
      <c r="J91" s="35">
        <f t="shared" si="67"/>
        <v>78.245999999999995</v>
      </c>
      <c r="K91" s="34"/>
      <c r="L91" s="35"/>
      <c r="M91" s="61">
        <f>IF(H91&lt;&gt;"",H91*0.25,"")</f>
        <v>130.41</v>
      </c>
      <c r="N91" s="35"/>
      <c r="O91" s="34"/>
      <c r="P91" s="35"/>
      <c r="Q91" s="35"/>
      <c r="R91" s="36"/>
      <c r="S91" s="30" t="str">
        <f t="shared" si="55"/>
        <v/>
      </c>
      <c r="T91" s="6">
        <f>IF($D91="Villa Elena",COUNTIF($D$3:$D91,"Villa Elena"),"")</f>
        <v>8</v>
      </c>
      <c r="U91" s="30" t="str">
        <f t="shared" si="56"/>
        <v/>
      </c>
      <c r="V91" s="30" t="str">
        <f t="shared" si="57"/>
        <v/>
      </c>
      <c r="W91" s="30" t="str">
        <f t="shared" si="58"/>
        <v/>
      </c>
      <c r="X91" s="30" t="str">
        <f t="shared" si="59"/>
        <v/>
      </c>
      <c r="Y91" s="30" t="str">
        <f t="shared" si="60"/>
        <v/>
      </c>
      <c r="Z91" s="30" t="str">
        <f t="shared" si="61"/>
        <v/>
      </c>
      <c r="AA91" s="30" t="str">
        <f t="shared" si="62"/>
        <v/>
      </c>
      <c r="AB91" s="30" t="str">
        <f t="shared" si="63"/>
        <v/>
      </c>
      <c r="AC91" s="30" t="str">
        <f t="shared" si="64"/>
        <v/>
      </c>
      <c r="AD91" s="30" t="str">
        <f t="shared" si="65"/>
        <v/>
      </c>
      <c r="AE91" s="30" t="str">
        <f t="shared" si="66"/>
        <v/>
      </c>
      <c r="AF91" s="30">
        <f t="shared" si="37"/>
        <v>91</v>
      </c>
      <c r="AG91" s="30" t="str">
        <f t="shared" si="38"/>
        <v/>
      </c>
      <c r="AH91" s="30" t="str">
        <f t="shared" si="39"/>
        <v/>
      </c>
      <c r="AI91" s="30" t="str">
        <f t="shared" si="40"/>
        <v/>
      </c>
      <c r="AJ91" s="30" t="str">
        <f t="shared" si="41"/>
        <v/>
      </c>
      <c r="AK91" s="30" t="str">
        <f t="shared" si="42"/>
        <v/>
      </c>
      <c r="AL91" s="30" t="str">
        <f t="shared" si="43"/>
        <v/>
      </c>
      <c r="AM91" s="30" t="str">
        <f t="shared" si="44"/>
        <v/>
      </c>
      <c r="AN91" s="30" t="str">
        <f t="shared" si="45"/>
        <v/>
      </c>
      <c r="AO91" s="30" t="str">
        <f t="shared" si="46"/>
        <v/>
      </c>
      <c r="AP91" s="30" t="str">
        <f t="shared" si="47"/>
        <v/>
      </c>
      <c r="AQ91" s="30" t="str">
        <f t="shared" si="48"/>
        <v/>
      </c>
      <c r="AR91" s="30" t="str">
        <f t="shared" si="49"/>
        <v/>
      </c>
      <c r="AS91" s="30" t="str">
        <f t="shared" si="50"/>
        <v/>
      </c>
      <c r="AT91" t="str">
        <f t="shared" si="51"/>
        <v/>
      </c>
      <c r="AU91" t="str">
        <f t="shared" si="52"/>
        <v/>
      </c>
    </row>
    <row r="92" spans="1:47" ht="22" customHeight="1" x14ac:dyDescent="0.2">
      <c r="A92" s="31">
        <v>46254</v>
      </c>
      <c r="B92" s="31">
        <v>46259</v>
      </c>
      <c r="C92" s="32">
        <f t="shared" si="69"/>
        <v>5</v>
      </c>
      <c r="D92" s="33" t="s">
        <v>39</v>
      </c>
      <c r="E92" s="34" t="s">
        <v>128</v>
      </c>
      <c r="F92" s="34" t="s">
        <v>34</v>
      </c>
      <c r="G92" s="34" t="s">
        <v>35</v>
      </c>
      <c r="H92" s="35">
        <v>451.97</v>
      </c>
      <c r="I92" s="35">
        <f t="shared" si="54"/>
        <v>90.394000000000005</v>
      </c>
      <c r="J92" s="35">
        <f t="shared" si="67"/>
        <v>67.795500000000004</v>
      </c>
      <c r="K92" s="34" t="s">
        <v>124</v>
      </c>
      <c r="L92" s="35"/>
      <c r="M92" s="61">
        <f>IF(H92&lt;&gt;"",H92*0.25,"")</f>
        <v>112.99250000000001</v>
      </c>
      <c r="N92" s="35"/>
      <c r="O92" s="34"/>
      <c r="P92" s="35"/>
      <c r="Q92" s="35"/>
      <c r="R92" s="76" t="s">
        <v>55</v>
      </c>
      <c r="S92" s="30" t="str">
        <f t="shared" si="55"/>
        <v/>
      </c>
      <c r="T92" s="6" t="str">
        <f>IF($D92="Villa Elena",COUNTIF($D$3:$D92,"Villa Elena"),"")</f>
        <v/>
      </c>
      <c r="U92" s="30" t="str">
        <f t="shared" si="56"/>
        <v/>
      </c>
      <c r="V92" s="30">
        <f t="shared" si="57"/>
        <v>92</v>
      </c>
      <c r="W92" s="30" t="str">
        <f t="shared" si="58"/>
        <v/>
      </c>
      <c r="X92" s="30" t="str">
        <f t="shared" si="59"/>
        <v/>
      </c>
      <c r="Y92" s="30" t="str">
        <f t="shared" si="60"/>
        <v/>
      </c>
      <c r="Z92" s="30" t="str">
        <f t="shared" si="61"/>
        <v/>
      </c>
      <c r="AA92" s="30" t="str">
        <f t="shared" si="62"/>
        <v/>
      </c>
      <c r="AB92" s="30" t="str">
        <f t="shared" si="63"/>
        <v/>
      </c>
      <c r="AC92" s="30" t="str">
        <f t="shared" si="64"/>
        <v/>
      </c>
      <c r="AD92" s="30" t="str">
        <f t="shared" si="65"/>
        <v/>
      </c>
      <c r="AE92" s="30" t="str">
        <f t="shared" si="66"/>
        <v/>
      </c>
      <c r="AF92" s="30" t="str">
        <f t="shared" si="37"/>
        <v/>
      </c>
      <c r="AG92" s="30" t="str">
        <f t="shared" si="38"/>
        <v/>
      </c>
      <c r="AH92" s="30" t="str">
        <f t="shared" si="39"/>
        <v/>
      </c>
      <c r="AI92" s="30" t="str">
        <f t="shared" si="40"/>
        <v/>
      </c>
      <c r="AJ92" s="30" t="str">
        <f t="shared" si="41"/>
        <v/>
      </c>
      <c r="AK92" s="30" t="str">
        <f t="shared" si="42"/>
        <v/>
      </c>
      <c r="AL92" s="30" t="str">
        <f t="shared" si="43"/>
        <v/>
      </c>
      <c r="AM92" s="30" t="str">
        <f t="shared" si="44"/>
        <v/>
      </c>
      <c r="AN92" s="30" t="str">
        <f t="shared" si="45"/>
        <v/>
      </c>
      <c r="AO92" s="30" t="str">
        <f t="shared" si="46"/>
        <v/>
      </c>
      <c r="AP92" s="30" t="str">
        <f t="shared" si="47"/>
        <v/>
      </c>
      <c r="AQ92" s="30" t="str">
        <f t="shared" si="48"/>
        <v/>
      </c>
      <c r="AR92" s="30" t="str">
        <f t="shared" si="49"/>
        <v/>
      </c>
      <c r="AS92" s="30" t="str">
        <f t="shared" si="50"/>
        <v/>
      </c>
      <c r="AT92" t="str">
        <f t="shared" si="51"/>
        <v/>
      </c>
      <c r="AU92" t="str">
        <f t="shared" si="52"/>
        <v/>
      </c>
    </row>
    <row r="93" spans="1:47" ht="22" customHeight="1" x14ac:dyDescent="0.2">
      <c r="A93" s="31">
        <v>46254</v>
      </c>
      <c r="B93" s="31">
        <v>46263</v>
      </c>
      <c r="C93" s="32">
        <f t="shared" si="69"/>
        <v>9</v>
      </c>
      <c r="D93" s="33" t="s">
        <v>69</v>
      </c>
      <c r="E93" s="34" t="s">
        <v>129</v>
      </c>
      <c r="F93" s="34" t="s">
        <v>86</v>
      </c>
      <c r="G93" s="34" t="s">
        <v>35</v>
      </c>
      <c r="H93" s="35">
        <v>1084.23</v>
      </c>
      <c r="I93" s="35">
        <f t="shared" si="54"/>
        <v>120.47</v>
      </c>
      <c r="J93" s="35">
        <f t="shared" si="67"/>
        <v>162.6345</v>
      </c>
      <c r="K93" s="34"/>
      <c r="L93" s="35"/>
      <c r="M93" s="61">
        <f>IF(H93&lt;&gt;"",H93*0.25,"")</f>
        <v>271.0575</v>
      </c>
      <c r="N93" s="35"/>
      <c r="O93" s="34"/>
      <c r="P93" s="35"/>
      <c r="Q93" s="35"/>
      <c r="R93" s="36"/>
      <c r="S93" s="30" t="str">
        <f t="shared" si="55"/>
        <v/>
      </c>
      <c r="T93" s="6" t="str">
        <f>IF($D93="Villa Elena",COUNTIF($D$3:$D93,"Villa Elena"),"")</f>
        <v/>
      </c>
      <c r="U93" s="30" t="str">
        <f t="shared" si="56"/>
        <v/>
      </c>
      <c r="V93" s="30" t="str">
        <f t="shared" si="57"/>
        <v/>
      </c>
      <c r="W93" s="30" t="str">
        <f t="shared" si="58"/>
        <v/>
      </c>
      <c r="X93" s="30" t="str">
        <f t="shared" si="59"/>
        <v/>
      </c>
      <c r="Y93" s="30" t="str">
        <f t="shared" si="60"/>
        <v/>
      </c>
      <c r="Z93" s="30">
        <f t="shared" si="61"/>
        <v>93</v>
      </c>
      <c r="AA93" s="30" t="str">
        <f t="shared" si="62"/>
        <v/>
      </c>
      <c r="AB93" s="30" t="str">
        <f t="shared" si="63"/>
        <v/>
      </c>
      <c r="AC93" s="30" t="str">
        <f t="shared" si="64"/>
        <v/>
      </c>
      <c r="AD93" s="30" t="str">
        <f t="shared" si="65"/>
        <v/>
      </c>
      <c r="AE93" s="30" t="str">
        <f t="shared" si="66"/>
        <v/>
      </c>
      <c r="AF93" s="30" t="str">
        <f t="shared" si="37"/>
        <v/>
      </c>
      <c r="AG93" s="30" t="str">
        <f t="shared" si="38"/>
        <v/>
      </c>
      <c r="AH93" s="30" t="str">
        <f t="shared" si="39"/>
        <v/>
      </c>
      <c r="AI93" s="30" t="str">
        <f t="shared" si="40"/>
        <v/>
      </c>
      <c r="AJ93" s="30" t="str">
        <f t="shared" si="41"/>
        <v/>
      </c>
      <c r="AK93" s="30" t="str">
        <f t="shared" si="42"/>
        <v/>
      </c>
      <c r="AL93" s="30" t="str">
        <f t="shared" si="43"/>
        <v/>
      </c>
      <c r="AM93" s="30" t="str">
        <f t="shared" si="44"/>
        <v/>
      </c>
      <c r="AN93" s="30" t="str">
        <f t="shared" si="45"/>
        <v/>
      </c>
      <c r="AO93" s="30" t="str">
        <f t="shared" si="46"/>
        <v/>
      </c>
      <c r="AP93" s="30" t="str">
        <f t="shared" si="47"/>
        <v/>
      </c>
      <c r="AQ93" s="30" t="str">
        <f t="shared" si="48"/>
        <v/>
      </c>
      <c r="AR93" s="30" t="str">
        <f t="shared" si="49"/>
        <v/>
      </c>
      <c r="AS93" s="30" t="str">
        <f t="shared" si="50"/>
        <v/>
      </c>
      <c r="AT93" t="str">
        <f t="shared" si="51"/>
        <v/>
      </c>
      <c r="AU93" t="str">
        <f t="shared" si="52"/>
        <v/>
      </c>
    </row>
    <row r="94" spans="1:47" ht="22" customHeight="1" x14ac:dyDescent="0.2">
      <c r="A94" s="31">
        <v>46255</v>
      </c>
      <c r="B94" s="31">
        <v>46257</v>
      </c>
      <c r="C94" s="32">
        <f t="shared" si="69"/>
        <v>2</v>
      </c>
      <c r="D94" s="33" t="s">
        <v>60</v>
      </c>
      <c r="E94" s="34" t="s">
        <v>386</v>
      </c>
      <c r="F94" s="34" t="s">
        <v>34</v>
      </c>
      <c r="G94" s="34" t="s">
        <v>35</v>
      </c>
      <c r="H94" s="35">
        <v>257.72000000000003</v>
      </c>
      <c r="I94" s="35">
        <f t="shared" si="54"/>
        <v>128.86000000000001</v>
      </c>
      <c r="J94" s="35">
        <f t="shared" si="67"/>
        <v>42.523800000000008</v>
      </c>
      <c r="K94" s="34"/>
      <c r="L94" s="35"/>
      <c r="M94" s="61">
        <f>IF(H94&lt;&gt;"",H94*0.1,"")</f>
        <v>25.772000000000006</v>
      </c>
      <c r="N94" s="35"/>
      <c r="O94" s="34"/>
      <c r="P94" s="35"/>
      <c r="Q94" s="35"/>
      <c r="R94" s="36"/>
      <c r="S94" s="30" t="str">
        <f t="shared" si="55"/>
        <v/>
      </c>
      <c r="T94" s="6" t="str">
        <f>IF($D94="Villa Elena",COUNTIF($D$3:$D94,"Villa Elena"),"")</f>
        <v/>
      </c>
      <c r="U94" s="30" t="str">
        <f t="shared" si="56"/>
        <v/>
      </c>
      <c r="V94" s="30" t="str">
        <f t="shared" si="57"/>
        <v/>
      </c>
      <c r="W94" s="30" t="str">
        <f t="shared" si="58"/>
        <v/>
      </c>
      <c r="X94" s="30">
        <f t="shared" si="59"/>
        <v>94</v>
      </c>
      <c r="Y94" s="30" t="str">
        <f t="shared" si="60"/>
        <v/>
      </c>
      <c r="Z94" s="30" t="str">
        <f t="shared" si="61"/>
        <v/>
      </c>
      <c r="AA94" s="30" t="str">
        <f t="shared" si="62"/>
        <v/>
      </c>
      <c r="AB94" s="30" t="str">
        <f t="shared" si="63"/>
        <v/>
      </c>
      <c r="AC94" s="30" t="str">
        <f t="shared" si="64"/>
        <v/>
      </c>
      <c r="AD94" s="30" t="str">
        <f t="shared" si="65"/>
        <v/>
      </c>
      <c r="AE94" s="30" t="str">
        <f t="shared" si="66"/>
        <v/>
      </c>
      <c r="AF94" s="30" t="str">
        <f t="shared" si="37"/>
        <v/>
      </c>
      <c r="AG94" s="30" t="str">
        <f t="shared" si="38"/>
        <v/>
      </c>
      <c r="AH94" s="30" t="str">
        <f t="shared" si="39"/>
        <v/>
      </c>
      <c r="AI94" s="30" t="str">
        <f t="shared" si="40"/>
        <v/>
      </c>
      <c r="AJ94" s="30" t="str">
        <f t="shared" si="41"/>
        <v/>
      </c>
      <c r="AK94" s="30" t="str">
        <f t="shared" si="42"/>
        <v/>
      </c>
      <c r="AL94" s="30" t="str">
        <f t="shared" si="43"/>
        <v/>
      </c>
      <c r="AM94" s="30" t="str">
        <f t="shared" si="44"/>
        <v/>
      </c>
      <c r="AN94" s="30" t="str">
        <f t="shared" si="45"/>
        <v/>
      </c>
      <c r="AO94" s="30" t="str">
        <f t="shared" si="46"/>
        <v/>
      </c>
      <c r="AP94" s="30" t="str">
        <f t="shared" si="47"/>
        <v/>
      </c>
      <c r="AQ94" s="30" t="str">
        <f t="shared" si="48"/>
        <v/>
      </c>
      <c r="AR94" s="30" t="str">
        <f t="shared" si="49"/>
        <v/>
      </c>
      <c r="AS94" s="30" t="str">
        <f t="shared" si="50"/>
        <v/>
      </c>
      <c r="AT94" t="str">
        <f t="shared" si="51"/>
        <v/>
      </c>
      <c r="AU94" t="str">
        <f t="shared" si="52"/>
        <v/>
      </c>
    </row>
    <row r="95" spans="1:47" ht="22" customHeight="1" x14ac:dyDescent="0.2">
      <c r="A95" s="31">
        <v>46256</v>
      </c>
      <c r="B95" s="31">
        <v>46265</v>
      </c>
      <c r="C95" s="32">
        <f t="shared" si="69"/>
        <v>9</v>
      </c>
      <c r="D95" s="33" t="s">
        <v>93</v>
      </c>
      <c r="E95" s="34" t="s">
        <v>311</v>
      </c>
      <c r="F95" s="34" t="s">
        <v>47</v>
      </c>
      <c r="G95" s="34" t="s">
        <v>35</v>
      </c>
      <c r="H95" s="35">
        <v>1301.67</v>
      </c>
      <c r="I95" s="35">
        <f t="shared" si="54"/>
        <v>144.63</v>
      </c>
      <c r="J95" s="35">
        <f t="shared" si="67"/>
        <v>195.25050000000002</v>
      </c>
      <c r="K95" s="34"/>
      <c r="L95" s="35"/>
      <c r="M95" s="61">
        <f>IF(H95&lt;&gt;"",H95*0.25,"")</f>
        <v>325.41750000000002</v>
      </c>
      <c r="N95" s="35"/>
      <c r="O95" s="34"/>
      <c r="P95" s="35"/>
      <c r="Q95" s="35"/>
      <c r="R95" s="36"/>
      <c r="S95" s="30" t="str">
        <f t="shared" si="55"/>
        <v/>
      </c>
      <c r="T95" s="6" t="str">
        <f>IF($D95="Villa Elena",COUNTIF($D$3:$D95,"Villa Elena"),"")</f>
        <v/>
      </c>
      <c r="U95" s="30">
        <f t="shared" si="56"/>
        <v>95</v>
      </c>
      <c r="V95" s="30" t="str">
        <f t="shared" si="57"/>
        <v/>
      </c>
      <c r="W95" s="30" t="str">
        <f t="shared" si="58"/>
        <v/>
      </c>
      <c r="X95" s="30" t="str">
        <f t="shared" si="59"/>
        <v/>
      </c>
      <c r="Y95" s="30" t="str">
        <f t="shared" si="60"/>
        <v/>
      </c>
      <c r="Z95" s="30" t="str">
        <f t="shared" si="61"/>
        <v/>
      </c>
      <c r="AA95" s="30" t="str">
        <f t="shared" si="62"/>
        <v/>
      </c>
      <c r="AB95" s="30" t="str">
        <f t="shared" si="63"/>
        <v/>
      </c>
      <c r="AC95" s="30" t="str">
        <f t="shared" si="64"/>
        <v/>
      </c>
      <c r="AD95" s="30" t="str">
        <f t="shared" si="65"/>
        <v/>
      </c>
      <c r="AE95" s="30" t="str">
        <f t="shared" si="66"/>
        <v/>
      </c>
      <c r="AF95" s="30" t="str">
        <f t="shared" si="37"/>
        <v/>
      </c>
      <c r="AG95" s="30" t="str">
        <f t="shared" si="38"/>
        <v/>
      </c>
      <c r="AH95" s="30" t="str">
        <f t="shared" si="39"/>
        <v/>
      </c>
      <c r="AI95" s="30" t="str">
        <f t="shared" si="40"/>
        <v/>
      </c>
      <c r="AJ95" s="30" t="str">
        <f t="shared" si="41"/>
        <v/>
      </c>
      <c r="AK95" s="30" t="str">
        <f t="shared" si="42"/>
        <v/>
      </c>
      <c r="AL95" s="30" t="str">
        <f t="shared" si="43"/>
        <v/>
      </c>
      <c r="AM95" s="30" t="str">
        <f t="shared" si="44"/>
        <v/>
      </c>
      <c r="AN95" s="30" t="str">
        <f t="shared" si="45"/>
        <v/>
      </c>
      <c r="AO95" s="30" t="str">
        <f t="shared" si="46"/>
        <v/>
      </c>
      <c r="AP95" s="30" t="str">
        <f t="shared" si="47"/>
        <v/>
      </c>
      <c r="AQ95" s="30" t="str">
        <f t="shared" si="48"/>
        <v/>
      </c>
      <c r="AR95" s="30" t="str">
        <f t="shared" si="49"/>
        <v/>
      </c>
      <c r="AS95" s="30" t="str">
        <f t="shared" si="50"/>
        <v/>
      </c>
      <c r="AT95" t="str">
        <f t="shared" si="51"/>
        <v/>
      </c>
      <c r="AU95" t="str">
        <f t="shared" si="52"/>
        <v/>
      </c>
    </row>
    <row r="96" spans="1:47" ht="22" customHeight="1" x14ac:dyDescent="0.2">
      <c r="A96" s="31">
        <v>46257</v>
      </c>
      <c r="B96" s="31">
        <v>46262</v>
      </c>
      <c r="C96" s="32">
        <f t="shared" si="69"/>
        <v>5</v>
      </c>
      <c r="D96" s="33" t="s">
        <v>115</v>
      </c>
      <c r="E96" s="34" t="s">
        <v>380</v>
      </c>
      <c r="F96" s="34" t="s">
        <v>34</v>
      </c>
      <c r="G96" s="34" t="s">
        <v>35</v>
      </c>
      <c r="H96" s="35">
        <v>590.94000000000005</v>
      </c>
      <c r="I96" s="35">
        <f t="shared" si="54"/>
        <v>118.18800000000002</v>
      </c>
      <c r="J96" s="35">
        <f t="shared" si="67"/>
        <v>88.641000000000005</v>
      </c>
      <c r="K96" s="34"/>
      <c r="L96" s="35"/>
      <c r="M96" s="61">
        <f>IF(H96&lt;&gt;"",H96*0.25,"")</f>
        <v>147.73500000000001</v>
      </c>
      <c r="N96" s="35"/>
      <c r="O96" s="34"/>
      <c r="P96" s="35"/>
      <c r="Q96" s="35"/>
      <c r="R96" s="36"/>
      <c r="S96" s="30" t="str">
        <f t="shared" si="55"/>
        <v/>
      </c>
      <c r="T96" s="6" t="str">
        <f>IF($D96="Villa Elena",COUNTIF($D$3:$D96,"Villa Elena"),"")</f>
        <v/>
      </c>
      <c r="U96" s="30" t="str">
        <f t="shared" si="56"/>
        <v/>
      </c>
      <c r="V96" s="30" t="str">
        <f t="shared" si="57"/>
        <v/>
      </c>
      <c r="W96" s="30" t="str">
        <f t="shared" si="58"/>
        <v/>
      </c>
      <c r="X96" s="30" t="str">
        <f t="shared" si="59"/>
        <v/>
      </c>
      <c r="Y96" s="30" t="str">
        <f t="shared" si="60"/>
        <v/>
      </c>
      <c r="Z96" s="30" t="str">
        <f t="shared" si="61"/>
        <v/>
      </c>
      <c r="AA96" s="30" t="str">
        <f t="shared" si="62"/>
        <v/>
      </c>
      <c r="AB96" s="30">
        <f t="shared" si="63"/>
        <v>96</v>
      </c>
      <c r="AC96" s="30" t="str">
        <f t="shared" si="64"/>
        <v/>
      </c>
      <c r="AD96" s="30" t="str">
        <f t="shared" si="65"/>
        <v/>
      </c>
      <c r="AE96" s="30" t="str">
        <f t="shared" si="66"/>
        <v/>
      </c>
      <c r="AF96" s="30" t="str">
        <f t="shared" si="37"/>
        <v/>
      </c>
      <c r="AG96" s="30" t="str">
        <f t="shared" si="38"/>
        <v/>
      </c>
      <c r="AH96" s="30" t="str">
        <f t="shared" si="39"/>
        <v/>
      </c>
      <c r="AI96" s="30" t="str">
        <f t="shared" si="40"/>
        <v/>
      </c>
      <c r="AJ96" s="30" t="str">
        <f t="shared" si="41"/>
        <v/>
      </c>
      <c r="AK96" s="30" t="str">
        <f t="shared" si="42"/>
        <v/>
      </c>
      <c r="AL96" s="30" t="str">
        <f t="shared" si="43"/>
        <v/>
      </c>
      <c r="AM96" s="30" t="str">
        <f t="shared" si="44"/>
        <v/>
      </c>
      <c r="AN96" s="30" t="str">
        <f t="shared" si="45"/>
        <v/>
      </c>
      <c r="AO96" s="30" t="str">
        <f t="shared" si="46"/>
        <v/>
      </c>
      <c r="AP96" s="30" t="str">
        <f t="shared" si="47"/>
        <v/>
      </c>
      <c r="AQ96" s="30" t="str">
        <f t="shared" si="48"/>
        <v/>
      </c>
      <c r="AR96" s="30" t="str">
        <f t="shared" si="49"/>
        <v/>
      </c>
      <c r="AS96" s="30" t="str">
        <f t="shared" si="50"/>
        <v/>
      </c>
      <c r="AT96" t="str">
        <f t="shared" si="51"/>
        <v/>
      </c>
      <c r="AU96" t="str">
        <f t="shared" si="52"/>
        <v/>
      </c>
    </row>
    <row r="97" spans="1:47" ht="22" customHeight="1" x14ac:dyDescent="0.2">
      <c r="A97" s="31">
        <v>46258</v>
      </c>
      <c r="B97" s="31">
        <v>46264</v>
      </c>
      <c r="C97" s="32">
        <f t="shared" si="69"/>
        <v>6</v>
      </c>
      <c r="D97" s="33" t="s">
        <v>306</v>
      </c>
      <c r="E97" s="34" t="s">
        <v>329</v>
      </c>
      <c r="F97" s="34" t="s">
        <v>83</v>
      </c>
      <c r="G97" s="34" t="s">
        <v>35</v>
      </c>
      <c r="H97" s="35">
        <v>730.8</v>
      </c>
      <c r="I97" s="35">
        <f t="shared" si="54"/>
        <v>121.8</v>
      </c>
      <c r="J97" s="35">
        <f t="shared" si="67"/>
        <v>109.61999999999999</v>
      </c>
      <c r="K97" s="34"/>
      <c r="L97" s="35"/>
      <c r="M97" s="61">
        <f>IF(H97&lt;&gt;"",H97*0.25,"")</f>
        <v>182.7</v>
      </c>
      <c r="N97" s="35"/>
      <c r="O97" s="34"/>
      <c r="P97" s="35"/>
      <c r="Q97" s="35"/>
      <c r="R97" s="36"/>
      <c r="S97" s="30" t="str">
        <f t="shared" si="55"/>
        <v/>
      </c>
      <c r="T97" s="6" t="str">
        <f>IF($D97="Villa Elena",COUNTIF($D$3:$D97,"Villa Elena"),"")</f>
        <v/>
      </c>
      <c r="U97" s="30" t="str">
        <f t="shared" si="56"/>
        <v/>
      </c>
      <c r="V97" s="30" t="str">
        <f t="shared" si="57"/>
        <v/>
      </c>
      <c r="W97" s="30" t="str">
        <f t="shared" si="58"/>
        <v/>
      </c>
      <c r="X97" s="30" t="str">
        <f t="shared" si="59"/>
        <v/>
      </c>
      <c r="Y97" s="30" t="str">
        <f t="shared" si="60"/>
        <v/>
      </c>
      <c r="Z97" s="30" t="str">
        <f t="shared" si="61"/>
        <v/>
      </c>
      <c r="AA97" s="30" t="str">
        <f t="shared" si="62"/>
        <v/>
      </c>
      <c r="AB97" s="30" t="str">
        <f t="shared" si="63"/>
        <v/>
      </c>
      <c r="AC97" s="30">
        <f t="shared" si="64"/>
        <v>97</v>
      </c>
      <c r="AD97" s="30" t="str">
        <f t="shared" si="65"/>
        <v/>
      </c>
      <c r="AE97" s="30" t="str">
        <f t="shared" si="66"/>
        <v/>
      </c>
      <c r="AF97" s="30" t="str">
        <f t="shared" si="37"/>
        <v/>
      </c>
      <c r="AG97" s="30" t="str">
        <f t="shared" si="38"/>
        <v/>
      </c>
      <c r="AH97" s="30" t="str">
        <f t="shared" si="39"/>
        <v/>
      </c>
      <c r="AI97" s="30" t="str">
        <f t="shared" si="40"/>
        <v/>
      </c>
      <c r="AJ97" s="30" t="str">
        <f t="shared" si="41"/>
        <v/>
      </c>
      <c r="AK97" s="30" t="str">
        <f t="shared" si="42"/>
        <v/>
      </c>
      <c r="AL97" s="30" t="str">
        <f t="shared" si="43"/>
        <v/>
      </c>
      <c r="AM97" s="30" t="str">
        <f t="shared" si="44"/>
        <v/>
      </c>
      <c r="AN97" s="30" t="str">
        <f t="shared" si="45"/>
        <v/>
      </c>
      <c r="AO97" s="30" t="str">
        <f t="shared" si="46"/>
        <v/>
      </c>
      <c r="AP97" s="30" t="str">
        <f t="shared" si="47"/>
        <v/>
      </c>
      <c r="AQ97" s="30" t="str">
        <f t="shared" si="48"/>
        <v/>
      </c>
      <c r="AR97" s="30" t="str">
        <f t="shared" si="49"/>
        <v/>
      </c>
      <c r="AS97" s="30" t="str">
        <f t="shared" si="50"/>
        <v/>
      </c>
      <c r="AT97" t="str">
        <f t="shared" si="51"/>
        <v/>
      </c>
      <c r="AU97" t="str">
        <f t="shared" si="52"/>
        <v/>
      </c>
    </row>
    <row r="98" spans="1:47" ht="22" customHeight="1" x14ac:dyDescent="0.2">
      <c r="A98" s="31">
        <v>46258</v>
      </c>
      <c r="B98" s="31">
        <v>46267</v>
      </c>
      <c r="C98" s="32">
        <f t="shared" si="69"/>
        <v>9</v>
      </c>
      <c r="D98" s="33" t="s">
        <v>32</v>
      </c>
      <c r="E98" s="34" t="s">
        <v>339</v>
      </c>
      <c r="F98" s="34" t="s">
        <v>65</v>
      </c>
      <c r="G98" s="34" t="s">
        <v>48</v>
      </c>
      <c r="H98" s="35">
        <v>997</v>
      </c>
      <c r="I98" s="35">
        <f t="shared" si="54"/>
        <v>110.77777777777777</v>
      </c>
      <c r="J98" s="35" t="str">
        <f t="shared" si="67"/>
        <v/>
      </c>
      <c r="K98" s="34"/>
      <c r="L98" s="35"/>
      <c r="M98" s="61">
        <f>IF(H98&lt;&gt;"",H98*0.25,"")</f>
        <v>249.25</v>
      </c>
      <c r="N98" s="35"/>
      <c r="O98" s="34"/>
      <c r="P98" s="35"/>
      <c r="Q98" s="35"/>
      <c r="R98" s="36"/>
      <c r="S98" s="30">
        <f t="shared" si="55"/>
        <v>98</v>
      </c>
      <c r="T98" s="6" t="str">
        <f>IF($D98="Villa Elena",COUNTIF($D$3:$D98,"Villa Elena"),"")</f>
        <v/>
      </c>
      <c r="U98" s="30" t="str">
        <f t="shared" si="56"/>
        <v/>
      </c>
      <c r="V98" s="30" t="str">
        <f t="shared" si="57"/>
        <v/>
      </c>
      <c r="W98" s="30" t="str">
        <f t="shared" si="58"/>
        <v/>
      </c>
      <c r="X98" s="30" t="str">
        <f t="shared" si="59"/>
        <v/>
      </c>
      <c r="Y98" s="30" t="str">
        <f t="shared" si="60"/>
        <v/>
      </c>
      <c r="Z98" s="30" t="str">
        <f t="shared" si="61"/>
        <v/>
      </c>
      <c r="AA98" s="30" t="str">
        <f t="shared" si="62"/>
        <v/>
      </c>
      <c r="AB98" s="30" t="str">
        <f t="shared" si="63"/>
        <v/>
      </c>
      <c r="AC98" s="30" t="str">
        <f t="shared" si="64"/>
        <v/>
      </c>
      <c r="AD98" s="30" t="str">
        <f t="shared" si="65"/>
        <v/>
      </c>
      <c r="AE98" s="30" t="str">
        <f t="shared" si="66"/>
        <v/>
      </c>
      <c r="AF98" s="30" t="str">
        <f t="shared" si="37"/>
        <v/>
      </c>
      <c r="AG98" s="30" t="str">
        <f t="shared" si="38"/>
        <v/>
      </c>
      <c r="AH98" s="30" t="str">
        <f t="shared" si="39"/>
        <v/>
      </c>
      <c r="AI98" s="30" t="str">
        <f t="shared" si="40"/>
        <v/>
      </c>
      <c r="AJ98" s="30" t="str">
        <f t="shared" si="41"/>
        <v/>
      </c>
      <c r="AK98" s="30" t="str">
        <f t="shared" si="42"/>
        <v/>
      </c>
      <c r="AL98" s="30" t="str">
        <f t="shared" si="43"/>
        <v/>
      </c>
      <c r="AM98" s="30" t="str">
        <f t="shared" si="44"/>
        <v/>
      </c>
      <c r="AN98" s="30" t="str">
        <f t="shared" si="45"/>
        <v/>
      </c>
      <c r="AO98" s="30" t="str">
        <f t="shared" si="46"/>
        <v/>
      </c>
      <c r="AP98" s="30" t="str">
        <f t="shared" si="47"/>
        <v/>
      </c>
      <c r="AQ98" s="30" t="str">
        <f t="shared" si="48"/>
        <v/>
      </c>
      <c r="AR98" s="30" t="str">
        <f t="shared" si="49"/>
        <v/>
      </c>
      <c r="AS98" s="30" t="str">
        <f t="shared" si="50"/>
        <v/>
      </c>
      <c r="AT98" t="str">
        <f t="shared" si="51"/>
        <v/>
      </c>
      <c r="AU98" t="str">
        <f t="shared" si="52"/>
        <v/>
      </c>
    </row>
    <row r="99" spans="1:47" ht="22" customHeight="1" x14ac:dyDescent="0.2">
      <c r="A99" s="31">
        <v>46258</v>
      </c>
      <c r="B99" s="31">
        <v>46266</v>
      </c>
      <c r="C99" s="32">
        <f t="shared" si="69"/>
        <v>8</v>
      </c>
      <c r="D99" s="33" t="s">
        <v>98</v>
      </c>
      <c r="E99" s="34" t="s">
        <v>354</v>
      </c>
      <c r="F99" s="34" t="s">
        <v>34</v>
      </c>
      <c r="G99" s="34" t="s">
        <v>35</v>
      </c>
      <c r="H99" s="35">
        <v>3414.08</v>
      </c>
      <c r="I99" s="35">
        <f t="shared" si="54"/>
        <v>426.76</v>
      </c>
      <c r="J99" s="35">
        <f t="shared" si="67"/>
        <v>512.11199999999997</v>
      </c>
      <c r="K99" s="34"/>
      <c r="L99" s="35"/>
      <c r="M99" s="61">
        <f>IF(H99&lt;&gt;"",H99*0.25,"")</f>
        <v>853.52</v>
      </c>
      <c r="N99" s="35"/>
      <c r="O99" s="34"/>
      <c r="P99" s="35"/>
      <c r="Q99" s="35"/>
      <c r="R99" s="36"/>
      <c r="S99" s="30" t="str">
        <f t="shared" si="55"/>
        <v/>
      </c>
      <c r="T99" s="6" t="str">
        <f>IF($D99="Villa Elena",COUNTIF($D$3:$D99,"Villa Elena"),"")</f>
        <v/>
      </c>
      <c r="U99" s="30" t="str">
        <f t="shared" si="56"/>
        <v/>
      </c>
      <c r="V99" s="30" t="str">
        <f t="shared" si="57"/>
        <v/>
      </c>
      <c r="W99" s="30" t="str">
        <f t="shared" si="58"/>
        <v/>
      </c>
      <c r="X99" s="30" t="str">
        <f t="shared" si="59"/>
        <v/>
      </c>
      <c r="Y99" s="30" t="str">
        <f t="shared" si="60"/>
        <v/>
      </c>
      <c r="Z99" s="30" t="str">
        <f t="shared" si="61"/>
        <v/>
      </c>
      <c r="AA99" s="30" t="str">
        <f t="shared" si="62"/>
        <v/>
      </c>
      <c r="AB99" s="30" t="str">
        <f t="shared" si="63"/>
        <v/>
      </c>
      <c r="AC99" s="30" t="str">
        <f t="shared" si="64"/>
        <v/>
      </c>
      <c r="AD99" s="30" t="str">
        <f t="shared" si="65"/>
        <v/>
      </c>
      <c r="AE99" s="30">
        <f t="shared" si="66"/>
        <v>99</v>
      </c>
      <c r="AF99" s="30" t="str">
        <f t="shared" si="37"/>
        <v/>
      </c>
      <c r="AG99" s="30" t="str">
        <f t="shared" si="38"/>
        <v/>
      </c>
      <c r="AH99" s="30" t="str">
        <f t="shared" si="39"/>
        <v/>
      </c>
      <c r="AI99" s="30" t="str">
        <f t="shared" si="40"/>
        <v/>
      </c>
      <c r="AJ99" s="30" t="str">
        <f t="shared" si="41"/>
        <v/>
      </c>
      <c r="AK99" s="30" t="str">
        <f t="shared" si="42"/>
        <v/>
      </c>
      <c r="AL99" s="30" t="str">
        <f t="shared" si="43"/>
        <v/>
      </c>
      <c r="AM99" s="30" t="str">
        <f t="shared" si="44"/>
        <v/>
      </c>
      <c r="AN99" s="30" t="str">
        <f t="shared" si="45"/>
        <v/>
      </c>
      <c r="AO99" s="30" t="str">
        <f t="shared" si="46"/>
        <v/>
      </c>
      <c r="AP99" s="30" t="str">
        <f t="shared" si="47"/>
        <v/>
      </c>
      <c r="AQ99" s="30" t="str">
        <f t="shared" si="48"/>
        <v/>
      </c>
      <c r="AR99" s="30" t="str">
        <f t="shared" si="49"/>
        <v/>
      </c>
      <c r="AS99" s="30" t="str">
        <f t="shared" si="50"/>
        <v/>
      </c>
      <c r="AT99" t="str">
        <f t="shared" si="51"/>
        <v/>
      </c>
      <c r="AU99" t="str">
        <f t="shared" si="52"/>
        <v/>
      </c>
    </row>
    <row r="100" spans="1:47" ht="22" customHeight="1" x14ac:dyDescent="0.2">
      <c r="A100" s="31">
        <v>46260</v>
      </c>
      <c r="B100" s="31">
        <v>46264</v>
      </c>
      <c r="C100" s="32">
        <f t="shared" si="69"/>
        <v>4</v>
      </c>
      <c r="D100" s="33" t="s">
        <v>51</v>
      </c>
      <c r="E100" s="34" t="s">
        <v>385</v>
      </c>
      <c r="F100" s="34" t="s">
        <v>34</v>
      </c>
      <c r="G100" s="34" t="s">
        <v>48</v>
      </c>
      <c r="H100" s="35">
        <v>360</v>
      </c>
      <c r="I100" s="35">
        <f t="shared" si="54"/>
        <v>90</v>
      </c>
      <c r="J100" s="35" t="str">
        <f t="shared" si="67"/>
        <v/>
      </c>
      <c r="K100" s="34"/>
      <c r="L100" s="35"/>
      <c r="M100" s="61">
        <f>IF(H100&lt;&gt;"",H100*0.1,"")</f>
        <v>36</v>
      </c>
      <c r="N100" s="35"/>
      <c r="O100" s="34"/>
      <c r="P100" s="35"/>
      <c r="Q100" s="35"/>
      <c r="R100" s="36"/>
      <c r="S100" s="30" t="str">
        <f t="shared" si="55"/>
        <v/>
      </c>
      <c r="T100" s="6" t="str">
        <f>IF($D100="Villa Elena",COUNTIF($D$3:$D100,"Villa Elena"),"")</f>
        <v/>
      </c>
      <c r="U100" s="30" t="str">
        <f t="shared" si="56"/>
        <v/>
      </c>
      <c r="V100" s="30" t="str">
        <f t="shared" si="57"/>
        <v/>
      </c>
      <c r="W100" s="30">
        <f t="shared" si="58"/>
        <v>100</v>
      </c>
      <c r="X100" s="30" t="str">
        <f t="shared" si="59"/>
        <v/>
      </c>
      <c r="Y100" s="30" t="str">
        <f t="shared" si="60"/>
        <v/>
      </c>
      <c r="Z100" s="30" t="str">
        <f t="shared" si="61"/>
        <v/>
      </c>
      <c r="AA100" s="30" t="str">
        <f t="shared" si="62"/>
        <v/>
      </c>
      <c r="AB100" s="30" t="str">
        <f t="shared" si="63"/>
        <v/>
      </c>
      <c r="AC100" s="30" t="str">
        <f t="shared" si="64"/>
        <v/>
      </c>
      <c r="AD100" s="30" t="str">
        <f t="shared" si="65"/>
        <v/>
      </c>
      <c r="AE100" s="30" t="str">
        <f t="shared" si="66"/>
        <v/>
      </c>
      <c r="AF100" s="30" t="str">
        <f t="shared" si="37"/>
        <v/>
      </c>
      <c r="AG100" s="30" t="str">
        <f t="shared" si="38"/>
        <v/>
      </c>
      <c r="AH100" s="30" t="str">
        <f t="shared" si="39"/>
        <v/>
      </c>
      <c r="AI100" s="30" t="str">
        <f t="shared" si="40"/>
        <v/>
      </c>
      <c r="AJ100" s="30" t="str">
        <f t="shared" si="41"/>
        <v/>
      </c>
      <c r="AK100" s="30" t="str">
        <f t="shared" si="42"/>
        <v/>
      </c>
      <c r="AL100" s="30" t="str">
        <f t="shared" si="43"/>
        <v/>
      </c>
      <c r="AM100" s="30" t="str">
        <f t="shared" si="44"/>
        <v/>
      </c>
      <c r="AN100" s="30" t="str">
        <f t="shared" si="45"/>
        <v/>
      </c>
      <c r="AO100" s="30" t="str">
        <f t="shared" si="46"/>
        <v/>
      </c>
      <c r="AP100" s="30" t="str">
        <f t="shared" si="47"/>
        <v/>
      </c>
      <c r="AQ100" s="30" t="str">
        <f t="shared" si="48"/>
        <v/>
      </c>
      <c r="AR100" s="30" t="str">
        <f t="shared" si="49"/>
        <v/>
      </c>
      <c r="AS100" s="30" t="str">
        <f t="shared" si="50"/>
        <v/>
      </c>
      <c r="AT100" t="str">
        <f t="shared" si="51"/>
        <v/>
      </c>
      <c r="AU100" t="str">
        <f t="shared" si="52"/>
        <v/>
      </c>
    </row>
    <row r="101" spans="1:47" ht="22" customHeight="1" x14ac:dyDescent="0.2">
      <c r="A101" s="31">
        <v>46268</v>
      </c>
      <c r="B101" s="31">
        <v>46271</v>
      </c>
      <c r="C101" s="32">
        <f t="shared" si="69"/>
        <v>3</v>
      </c>
      <c r="D101" s="33" t="s">
        <v>32</v>
      </c>
      <c r="E101" s="34" t="s">
        <v>79</v>
      </c>
      <c r="F101" s="34" t="s">
        <v>83</v>
      </c>
      <c r="G101" s="34" t="s">
        <v>48</v>
      </c>
      <c r="H101" s="35">
        <v>144</v>
      </c>
      <c r="I101" s="35">
        <f t="shared" si="54"/>
        <v>48</v>
      </c>
      <c r="J101" s="35">
        <v>0</v>
      </c>
      <c r="K101" s="34"/>
      <c r="L101" s="35"/>
      <c r="M101" s="61">
        <f>IF(H101&lt;&gt;"",H101*0.25,"")</f>
        <v>36</v>
      </c>
      <c r="N101" s="35"/>
      <c r="O101" s="34"/>
      <c r="P101" s="35"/>
      <c r="Q101" s="35"/>
      <c r="R101" s="36" t="s">
        <v>130</v>
      </c>
      <c r="S101" s="30">
        <f t="shared" si="55"/>
        <v>101</v>
      </c>
      <c r="T101" s="6" t="str">
        <f>IF($D101="Villa Elena",COUNTIF($D$3:$D101,"Villa Elena"),"")</f>
        <v/>
      </c>
      <c r="U101" s="30" t="str">
        <f t="shared" si="56"/>
        <v/>
      </c>
      <c r="V101" s="30" t="str">
        <f t="shared" si="57"/>
        <v/>
      </c>
      <c r="W101" s="30" t="str">
        <f t="shared" si="58"/>
        <v/>
      </c>
      <c r="X101" s="30" t="str">
        <f t="shared" si="59"/>
        <v/>
      </c>
      <c r="Y101" s="30" t="str">
        <f t="shared" si="60"/>
        <v/>
      </c>
      <c r="Z101" s="30" t="str">
        <f t="shared" si="61"/>
        <v/>
      </c>
      <c r="AA101" s="30" t="str">
        <f t="shared" si="62"/>
        <v/>
      </c>
      <c r="AB101" s="30" t="str">
        <f t="shared" si="63"/>
        <v/>
      </c>
      <c r="AC101" s="30" t="str">
        <f t="shared" si="64"/>
        <v/>
      </c>
      <c r="AD101" s="30" t="str">
        <f t="shared" si="65"/>
        <v/>
      </c>
      <c r="AE101" s="30" t="str">
        <f t="shared" si="66"/>
        <v/>
      </c>
      <c r="AF101" s="30" t="str">
        <f t="shared" si="37"/>
        <v/>
      </c>
      <c r="AG101" s="30" t="str">
        <f t="shared" si="38"/>
        <v/>
      </c>
      <c r="AH101" s="30" t="str">
        <f t="shared" si="39"/>
        <v/>
      </c>
      <c r="AI101" s="30" t="str">
        <f t="shared" si="40"/>
        <v/>
      </c>
      <c r="AJ101" s="30" t="str">
        <f t="shared" si="41"/>
        <v/>
      </c>
      <c r="AK101" s="30" t="str">
        <f t="shared" si="42"/>
        <v/>
      </c>
      <c r="AL101" s="30" t="str">
        <f t="shared" si="43"/>
        <v/>
      </c>
      <c r="AM101" s="30" t="str">
        <f t="shared" si="44"/>
        <v/>
      </c>
      <c r="AN101" s="30" t="str">
        <f t="shared" si="45"/>
        <v/>
      </c>
      <c r="AO101" s="30" t="str">
        <f t="shared" si="46"/>
        <v/>
      </c>
      <c r="AP101" s="30" t="str">
        <f t="shared" si="47"/>
        <v/>
      </c>
      <c r="AQ101" s="30" t="str">
        <f t="shared" si="48"/>
        <v/>
      </c>
      <c r="AR101" s="30" t="str">
        <f t="shared" si="49"/>
        <v/>
      </c>
      <c r="AS101" s="30" t="str">
        <f t="shared" si="50"/>
        <v/>
      </c>
      <c r="AT101" t="str">
        <f t="shared" si="51"/>
        <v/>
      </c>
      <c r="AU101" t="str">
        <f t="shared" si="52"/>
        <v/>
      </c>
    </row>
    <row r="102" spans="1:47" ht="22" customHeight="1" x14ac:dyDescent="0.2">
      <c r="A102" s="31">
        <v>46272</v>
      </c>
      <c r="B102" s="31">
        <v>46284</v>
      </c>
      <c r="C102" s="32">
        <f t="shared" si="69"/>
        <v>12</v>
      </c>
      <c r="D102" s="33" t="s">
        <v>32</v>
      </c>
      <c r="E102" s="34" t="s">
        <v>131</v>
      </c>
      <c r="F102" s="34" t="s">
        <v>34</v>
      </c>
      <c r="G102" s="34" t="s">
        <v>48</v>
      </c>
      <c r="H102" s="35">
        <v>1260</v>
      </c>
      <c r="I102" s="35">
        <f t="shared" si="54"/>
        <v>105</v>
      </c>
      <c r="J102" s="35">
        <v>0</v>
      </c>
      <c r="K102" s="34"/>
      <c r="L102" s="35"/>
      <c r="M102" s="61">
        <f>IF(H102&lt;&gt;"",H102*0.25,"")</f>
        <v>315</v>
      </c>
      <c r="N102" s="35"/>
      <c r="O102" s="34"/>
      <c r="P102" s="35"/>
      <c r="Q102" s="35"/>
      <c r="R102" s="36" t="s">
        <v>132</v>
      </c>
      <c r="S102" s="30">
        <f t="shared" si="55"/>
        <v>102</v>
      </c>
      <c r="T102" s="6" t="str">
        <f>IF($D102="Villa Elena",COUNTIF($D$3:$D102,"Villa Elena"),"")</f>
        <v/>
      </c>
      <c r="U102" s="30" t="str">
        <f t="shared" si="56"/>
        <v/>
      </c>
      <c r="V102" s="30" t="str">
        <f t="shared" si="57"/>
        <v/>
      </c>
      <c r="W102" s="30" t="str">
        <f t="shared" si="58"/>
        <v/>
      </c>
      <c r="X102" s="30" t="str">
        <f t="shared" si="59"/>
        <v/>
      </c>
      <c r="Y102" s="30" t="str">
        <f t="shared" si="60"/>
        <v/>
      </c>
      <c r="Z102" s="30" t="str">
        <f t="shared" si="61"/>
        <v/>
      </c>
      <c r="AA102" s="30" t="str">
        <f t="shared" si="62"/>
        <v/>
      </c>
      <c r="AB102" s="30" t="str">
        <f t="shared" si="63"/>
        <v/>
      </c>
      <c r="AC102" s="30" t="str">
        <f t="shared" si="64"/>
        <v/>
      </c>
      <c r="AD102" s="30" t="str">
        <f t="shared" si="65"/>
        <v/>
      </c>
      <c r="AE102" s="30" t="str">
        <f t="shared" si="66"/>
        <v/>
      </c>
      <c r="AF102" s="30" t="str">
        <f t="shared" si="37"/>
        <v/>
      </c>
      <c r="AG102" s="30" t="str">
        <f t="shared" si="38"/>
        <v/>
      </c>
      <c r="AH102" s="30" t="str">
        <f t="shared" si="39"/>
        <v/>
      </c>
      <c r="AI102" s="30" t="str">
        <f t="shared" si="40"/>
        <v/>
      </c>
      <c r="AJ102" s="30" t="str">
        <f t="shared" si="41"/>
        <v/>
      </c>
      <c r="AK102" s="30" t="str">
        <f t="shared" si="42"/>
        <v/>
      </c>
      <c r="AL102" s="30" t="str">
        <f t="shared" si="43"/>
        <v/>
      </c>
      <c r="AM102" s="30" t="str">
        <f t="shared" si="44"/>
        <v/>
      </c>
      <c r="AN102" s="30" t="str">
        <f t="shared" si="45"/>
        <v/>
      </c>
      <c r="AO102" s="30" t="str">
        <f t="shared" si="46"/>
        <v/>
      </c>
      <c r="AP102" s="30" t="str">
        <f t="shared" si="47"/>
        <v/>
      </c>
      <c r="AQ102" s="30" t="str">
        <f t="shared" si="48"/>
        <v/>
      </c>
      <c r="AR102" s="30" t="str">
        <f t="shared" si="49"/>
        <v/>
      </c>
      <c r="AS102" s="30" t="str">
        <f t="shared" si="50"/>
        <v/>
      </c>
      <c r="AT102" t="str">
        <f t="shared" si="51"/>
        <v/>
      </c>
      <c r="AU102" t="str">
        <f t="shared" si="52"/>
        <v/>
      </c>
    </row>
    <row r="103" spans="1:47" ht="22" customHeight="1" x14ac:dyDescent="0.2">
      <c r="A103" s="31">
        <v>46290</v>
      </c>
      <c r="B103" s="31">
        <v>46293</v>
      </c>
      <c r="C103" s="32">
        <f t="shared" si="69"/>
        <v>3</v>
      </c>
      <c r="D103" s="33" t="s">
        <v>125</v>
      </c>
      <c r="E103" s="34" t="s">
        <v>346</v>
      </c>
      <c r="F103" s="34" t="s">
        <v>34</v>
      </c>
      <c r="G103" s="34" t="s">
        <v>35</v>
      </c>
      <c r="H103" s="35">
        <v>243</v>
      </c>
      <c r="I103" s="35">
        <f t="shared" si="54"/>
        <v>81</v>
      </c>
      <c r="J103" s="35">
        <f t="shared" ref="J103:J134" si="70">IF(AND(ISNUMBER(SEARCH("booking",G103)),OR(D103="Via San Rocco",D103="Via Cavour")),H103*0.165,IF(ISNUMBER(SEARCH("airbnb",G103)),H103*0.155,IF(ISNUMBER(SEARCH("booking",G103)),H103*0.15,"")))</f>
        <v>36.449999999999996</v>
      </c>
      <c r="K103" s="34"/>
      <c r="L103" s="35"/>
      <c r="M103" s="61">
        <f>IF(H103&lt;&gt;"",H103*0.25,"")</f>
        <v>60.75</v>
      </c>
      <c r="N103" s="35"/>
      <c r="O103" s="34"/>
      <c r="P103" s="35"/>
      <c r="Q103" s="35"/>
      <c r="R103" s="36"/>
      <c r="S103" s="30" t="str">
        <f t="shared" si="55"/>
        <v/>
      </c>
      <c r="T103" s="6" t="str">
        <f>IF($D103="Villa Elena",COUNTIF($D$3:$D103,"Villa Elena"),"")</f>
        <v/>
      </c>
      <c r="U103" s="30" t="str">
        <f t="shared" si="56"/>
        <v/>
      </c>
      <c r="V103" s="30" t="str">
        <f t="shared" si="57"/>
        <v/>
      </c>
      <c r="W103" s="30" t="str">
        <f t="shared" si="58"/>
        <v/>
      </c>
      <c r="X103" s="30" t="str">
        <f t="shared" si="59"/>
        <v/>
      </c>
      <c r="Y103" s="30" t="str">
        <f t="shared" si="60"/>
        <v/>
      </c>
      <c r="Z103" s="30" t="str">
        <f t="shared" si="61"/>
        <v/>
      </c>
      <c r="AA103" s="30" t="str">
        <f t="shared" si="62"/>
        <v/>
      </c>
      <c r="AB103" s="30" t="str">
        <f t="shared" si="63"/>
        <v/>
      </c>
      <c r="AC103" s="30" t="str">
        <f t="shared" si="64"/>
        <v/>
      </c>
      <c r="AD103" s="30" t="str">
        <f t="shared" si="65"/>
        <v/>
      </c>
      <c r="AE103" s="30" t="str">
        <f t="shared" si="66"/>
        <v/>
      </c>
      <c r="AF103" s="30" t="str">
        <f t="shared" si="37"/>
        <v/>
      </c>
      <c r="AG103" s="30" t="str">
        <f t="shared" si="38"/>
        <v/>
      </c>
      <c r="AH103" s="30" t="str">
        <f t="shared" si="39"/>
        <v/>
      </c>
      <c r="AI103" s="30" t="str">
        <f t="shared" si="40"/>
        <v/>
      </c>
      <c r="AJ103" s="30" t="str">
        <f t="shared" si="41"/>
        <v/>
      </c>
      <c r="AK103" s="30" t="str">
        <f t="shared" si="42"/>
        <v/>
      </c>
      <c r="AL103" s="30" t="str">
        <f t="shared" si="43"/>
        <v/>
      </c>
      <c r="AM103" s="30" t="str">
        <f t="shared" si="44"/>
        <v/>
      </c>
      <c r="AN103" s="30" t="str">
        <f t="shared" si="45"/>
        <v/>
      </c>
      <c r="AO103" s="30" t="str">
        <f t="shared" si="46"/>
        <v/>
      </c>
      <c r="AP103" s="30" t="str">
        <f t="shared" si="47"/>
        <v/>
      </c>
      <c r="AQ103" s="30" t="str">
        <f t="shared" si="48"/>
        <v/>
      </c>
      <c r="AR103" s="30" t="str">
        <f t="shared" si="49"/>
        <v/>
      </c>
      <c r="AS103" s="30" t="str">
        <f t="shared" si="50"/>
        <v/>
      </c>
      <c r="AT103">
        <f t="shared" si="51"/>
        <v>103</v>
      </c>
      <c r="AU103" t="str">
        <f t="shared" si="52"/>
        <v/>
      </c>
    </row>
    <row r="104" spans="1:47" ht="22" customHeight="1" x14ac:dyDescent="0.2">
      <c r="A104" s="31">
        <v>46316</v>
      </c>
      <c r="B104" s="31">
        <v>46318</v>
      </c>
      <c r="C104" s="32">
        <f t="shared" si="69"/>
        <v>2</v>
      </c>
      <c r="D104" s="33" t="s">
        <v>51</v>
      </c>
      <c r="E104" s="34" t="s">
        <v>359</v>
      </c>
      <c r="F104" s="34" t="s">
        <v>41</v>
      </c>
      <c r="G104" s="34" t="s">
        <v>48</v>
      </c>
      <c r="H104" s="35">
        <v>170</v>
      </c>
      <c r="I104" s="35">
        <f t="shared" si="54"/>
        <v>85</v>
      </c>
      <c r="J104" s="35" t="str">
        <f t="shared" si="70"/>
        <v/>
      </c>
      <c r="K104" s="34"/>
      <c r="L104" s="35"/>
      <c r="M104" s="61">
        <f>IF(H104&lt;&gt;"",H104*0.1,"")</f>
        <v>17</v>
      </c>
      <c r="N104" s="35"/>
      <c r="O104" s="34"/>
      <c r="P104" s="35"/>
      <c r="Q104" s="35"/>
      <c r="R104" s="36"/>
      <c r="S104" s="30" t="str">
        <f t="shared" si="55"/>
        <v/>
      </c>
      <c r="T104" s="6" t="str">
        <f>IF($D104="Villa Elena",COUNTIF($D$3:$D104,"Villa Elena"),"")</f>
        <v/>
      </c>
      <c r="U104" s="30" t="str">
        <f t="shared" si="56"/>
        <v/>
      </c>
      <c r="V104" s="30" t="str">
        <f t="shared" si="57"/>
        <v/>
      </c>
      <c r="W104" s="30">
        <f t="shared" si="58"/>
        <v>104</v>
      </c>
      <c r="X104" s="30" t="str">
        <f t="shared" si="59"/>
        <v/>
      </c>
      <c r="Y104" s="30" t="str">
        <f t="shared" si="60"/>
        <v/>
      </c>
      <c r="Z104" s="30" t="str">
        <f t="shared" si="61"/>
        <v/>
      </c>
      <c r="AA104" s="30" t="str">
        <f t="shared" si="62"/>
        <v/>
      </c>
      <c r="AB104" s="30" t="str">
        <f t="shared" si="63"/>
        <v/>
      </c>
      <c r="AC104" s="30" t="str">
        <f t="shared" si="64"/>
        <v/>
      </c>
      <c r="AD104" s="30" t="str">
        <f t="shared" si="65"/>
        <v/>
      </c>
      <c r="AE104" s="30" t="str">
        <f t="shared" si="66"/>
        <v/>
      </c>
      <c r="AF104" s="30" t="str">
        <f t="shared" si="37"/>
        <v/>
      </c>
      <c r="AG104" s="30" t="str">
        <f t="shared" si="38"/>
        <v/>
      </c>
      <c r="AH104" s="30" t="str">
        <f t="shared" si="39"/>
        <v/>
      </c>
      <c r="AI104" s="30" t="str">
        <f t="shared" si="40"/>
        <v/>
      </c>
      <c r="AJ104" s="30" t="str">
        <f t="shared" si="41"/>
        <v/>
      </c>
      <c r="AK104" s="30" t="str">
        <f t="shared" si="42"/>
        <v/>
      </c>
      <c r="AL104" s="30" t="str">
        <f t="shared" si="43"/>
        <v/>
      </c>
      <c r="AM104" s="30" t="str">
        <f t="shared" si="44"/>
        <v/>
      </c>
      <c r="AN104" s="30" t="str">
        <f t="shared" si="45"/>
        <v/>
      </c>
      <c r="AO104" s="30" t="str">
        <f t="shared" si="46"/>
        <v/>
      </c>
      <c r="AP104" s="30" t="str">
        <f t="shared" si="47"/>
        <v/>
      </c>
      <c r="AQ104" s="30" t="str">
        <f t="shared" si="48"/>
        <v/>
      </c>
      <c r="AR104" s="30" t="str">
        <f t="shared" si="49"/>
        <v/>
      </c>
      <c r="AS104" s="30" t="str">
        <f t="shared" si="50"/>
        <v/>
      </c>
      <c r="AT104" t="str">
        <f t="shared" si="51"/>
        <v/>
      </c>
      <c r="AU104" t="str">
        <f t="shared" si="52"/>
        <v/>
      </c>
    </row>
    <row r="105" spans="1:47" ht="22" customHeight="1" x14ac:dyDescent="0.2">
      <c r="A105" s="31"/>
      <c r="B105" s="31"/>
      <c r="C105" s="32" t="str">
        <f t="shared" si="69"/>
        <v/>
      </c>
      <c r="D105" s="33"/>
      <c r="E105" s="34"/>
      <c r="F105" s="34"/>
      <c r="G105" s="34"/>
      <c r="H105" s="35"/>
      <c r="I105" s="35" t="str">
        <f t="shared" si="54"/>
        <v/>
      </c>
      <c r="J105" s="35" t="str">
        <f t="shared" si="70"/>
        <v/>
      </c>
      <c r="K105" s="34"/>
      <c r="L105" s="35"/>
      <c r="M105" s="61" t="str">
        <f t="shared" ref="M105:M136" si="71">IF(H105&lt;&gt;"",H105*0.25,"")</f>
        <v/>
      </c>
      <c r="N105" s="35"/>
      <c r="O105" s="34"/>
      <c r="P105" s="35"/>
      <c r="Q105" s="35"/>
      <c r="R105" s="36"/>
      <c r="S105" s="30" t="str">
        <f t="shared" si="55"/>
        <v/>
      </c>
      <c r="T105" s="6" t="str">
        <f>IF($D105="Villa Elena",COUNTIF($D$3:$D105,"Villa Elena"),"")</f>
        <v/>
      </c>
      <c r="U105" s="30" t="str">
        <f t="shared" si="56"/>
        <v/>
      </c>
      <c r="V105" s="30" t="str">
        <f t="shared" si="57"/>
        <v/>
      </c>
      <c r="W105" s="30" t="str">
        <f t="shared" si="58"/>
        <v/>
      </c>
      <c r="X105" s="30" t="str">
        <f t="shared" si="59"/>
        <v/>
      </c>
      <c r="Y105" s="30" t="str">
        <f t="shared" si="60"/>
        <v/>
      </c>
      <c r="Z105" s="30" t="str">
        <f t="shared" si="61"/>
        <v/>
      </c>
      <c r="AA105" s="30" t="str">
        <f t="shared" si="62"/>
        <v/>
      </c>
      <c r="AB105" s="30" t="str">
        <f t="shared" si="63"/>
        <v/>
      </c>
      <c r="AC105" s="30" t="str">
        <f t="shared" si="64"/>
        <v/>
      </c>
      <c r="AD105" s="30" t="str">
        <f t="shared" si="65"/>
        <v/>
      </c>
      <c r="AE105" s="30" t="str">
        <f t="shared" si="66"/>
        <v/>
      </c>
      <c r="AF105" s="30" t="str">
        <f t="shared" si="37"/>
        <v/>
      </c>
      <c r="AG105" s="30" t="str">
        <f t="shared" si="38"/>
        <v/>
      </c>
      <c r="AH105" s="30" t="str">
        <f t="shared" si="39"/>
        <v/>
      </c>
      <c r="AI105" s="30" t="str">
        <f t="shared" si="40"/>
        <v/>
      </c>
      <c r="AJ105" s="30" t="str">
        <f t="shared" si="41"/>
        <v/>
      </c>
      <c r="AK105" s="30" t="str">
        <f t="shared" si="42"/>
        <v/>
      </c>
      <c r="AL105" s="30" t="str">
        <f t="shared" si="43"/>
        <v/>
      </c>
      <c r="AM105" s="30" t="str">
        <f t="shared" si="44"/>
        <v/>
      </c>
      <c r="AN105" s="30" t="str">
        <f t="shared" si="45"/>
        <v/>
      </c>
      <c r="AO105" s="30" t="str">
        <f t="shared" si="46"/>
        <v/>
      </c>
      <c r="AP105" s="30" t="str">
        <f t="shared" si="47"/>
        <v/>
      </c>
      <c r="AQ105" s="30" t="str">
        <f t="shared" si="48"/>
        <v/>
      </c>
      <c r="AR105" s="30" t="str">
        <f t="shared" si="49"/>
        <v/>
      </c>
      <c r="AS105" s="30" t="str">
        <f t="shared" si="50"/>
        <v/>
      </c>
      <c r="AT105" t="str">
        <f t="shared" si="51"/>
        <v/>
      </c>
      <c r="AU105" t="str">
        <f t="shared" si="52"/>
        <v/>
      </c>
    </row>
    <row r="106" spans="1:47" ht="22" customHeight="1" x14ac:dyDescent="0.2">
      <c r="A106" s="31"/>
      <c r="B106" s="31"/>
      <c r="C106" s="32" t="str">
        <f t="shared" si="69"/>
        <v/>
      </c>
      <c r="D106" s="33"/>
      <c r="E106" s="34"/>
      <c r="F106" s="34"/>
      <c r="G106" s="34"/>
      <c r="H106" s="35"/>
      <c r="I106" s="35" t="str">
        <f t="shared" si="54"/>
        <v/>
      </c>
      <c r="J106" s="35" t="str">
        <f t="shared" si="70"/>
        <v/>
      </c>
      <c r="K106" s="34"/>
      <c r="L106" s="35"/>
      <c r="M106" s="61" t="str">
        <f t="shared" si="71"/>
        <v/>
      </c>
      <c r="N106" s="35"/>
      <c r="O106" s="34"/>
      <c r="P106" s="35"/>
      <c r="Q106" s="35"/>
      <c r="R106" s="36"/>
      <c r="S106" s="30" t="str">
        <f t="shared" si="55"/>
        <v/>
      </c>
      <c r="T106" s="6" t="str">
        <f>IF($D106="Villa Elena",COUNTIF($D$3:$D106,"Villa Elena"),"")</f>
        <v/>
      </c>
      <c r="U106" s="30" t="str">
        <f t="shared" si="56"/>
        <v/>
      </c>
      <c r="V106" s="30" t="str">
        <f t="shared" si="57"/>
        <v/>
      </c>
      <c r="W106" s="30" t="str">
        <f t="shared" si="58"/>
        <v/>
      </c>
      <c r="X106" s="30" t="str">
        <f t="shared" si="59"/>
        <v/>
      </c>
      <c r="Y106" s="30" t="str">
        <f t="shared" si="60"/>
        <v/>
      </c>
      <c r="Z106" s="30" t="str">
        <f t="shared" si="61"/>
        <v/>
      </c>
      <c r="AA106" s="30" t="str">
        <f t="shared" si="62"/>
        <v/>
      </c>
      <c r="AB106" s="30" t="str">
        <f t="shared" si="63"/>
        <v/>
      </c>
      <c r="AC106" s="30" t="str">
        <f t="shared" si="64"/>
        <v/>
      </c>
      <c r="AD106" s="30" t="str">
        <f t="shared" si="65"/>
        <v/>
      </c>
      <c r="AE106" s="30" t="str">
        <f t="shared" si="66"/>
        <v/>
      </c>
      <c r="AF106" s="30" t="str">
        <f t="shared" si="37"/>
        <v/>
      </c>
      <c r="AG106" s="30" t="str">
        <f t="shared" si="38"/>
        <v/>
      </c>
      <c r="AH106" s="30" t="str">
        <f t="shared" si="39"/>
        <v/>
      </c>
      <c r="AI106" s="30" t="str">
        <f t="shared" si="40"/>
        <v/>
      </c>
      <c r="AJ106" s="30" t="str">
        <f t="shared" si="41"/>
        <v/>
      </c>
      <c r="AK106" s="30" t="str">
        <f t="shared" si="42"/>
        <v/>
      </c>
      <c r="AL106" s="30" t="str">
        <f t="shared" si="43"/>
        <v/>
      </c>
      <c r="AM106" s="30" t="str">
        <f t="shared" si="44"/>
        <v/>
      </c>
      <c r="AN106" s="30" t="str">
        <f t="shared" si="45"/>
        <v/>
      </c>
      <c r="AO106" s="30" t="str">
        <f t="shared" si="46"/>
        <v/>
      </c>
      <c r="AP106" s="30" t="str">
        <f t="shared" si="47"/>
        <v/>
      </c>
      <c r="AQ106" s="30" t="str">
        <f t="shared" si="48"/>
        <v/>
      </c>
      <c r="AR106" s="30" t="str">
        <f t="shared" si="49"/>
        <v/>
      </c>
      <c r="AS106" s="30" t="str">
        <f t="shared" si="50"/>
        <v/>
      </c>
      <c r="AT106" t="str">
        <f t="shared" si="51"/>
        <v/>
      </c>
      <c r="AU106" t="str">
        <f t="shared" si="52"/>
        <v/>
      </c>
    </row>
    <row r="107" spans="1:47" ht="22" customHeight="1" x14ac:dyDescent="0.2">
      <c r="A107" s="31"/>
      <c r="B107" s="31"/>
      <c r="C107" s="32" t="str">
        <f t="shared" si="69"/>
        <v/>
      </c>
      <c r="D107" s="33"/>
      <c r="E107" s="34"/>
      <c r="F107" s="34"/>
      <c r="G107" s="34"/>
      <c r="H107" s="35"/>
      <c r="I107" s="35" t="str">
        <f t="shared" si="54"/>
        <v/>
      </c>
      <c r="J107" s="35" t="str">
        <f t="shared" si="70"/>
        <v/>
      </c>
      <c r="K107" s="34"/>
      <c r="L107" s="35"/>
      <c r="M107" s="61" t="str">
        <f t="shared" si="71"/>
        <v/>
      </c>
      <c r="N107" s="35"/>
      <c r="O107" s="34"/>
      <c r="P107" s="35"/>
      <c r="Q107" s="35"/>
      <c r="R107" s="36"/>
      <c r="S107" s="30" t="str">
        <f t="shared" si="55"/>
        <v/>
      </c>
      <c r="T107" s="6" t="str">
        <f>IF($D107="Villa Elena",COUNTIF($D$3:$D107,"Villa Elena"),"")</f>
        <v/>
      </c>
      <c r="U107" s="30" t="str">
        <f t="shared" si="56"/>
        <v/>
      </c>
      <c r="V107" s="30" t="str">
        <f t="shared" si="57"/>
        <v/>
      </c>
      <c r="W107" s="30" t="str">
        <f t="shared" si="58"/>
        <v/>
      </c>
      <c r="X107" s="30" t="str">
        <f t="shared" si="59"/>
        <v/>
      </c>
      <c r="Y107" s="30" t="str">
        <f t="shared" si="60"/>
        <v/>
      </c>
      <c r="Z107" s="30" t="str">
        <f t="shared" si="61"/>
        <v/>
      </c>
      <c r="AA107" s="30" t="str">
        <f t="shared" si="62"/>
        <v/>
      </c>
      <c r="AB107" s="30" t="str">
        <f t="shared" si="63"/>
        <v/>
      </c>
      <c r="AC107" s="30" t="str">
        <f t="shared" si="64"/>
        <v/>
      </c>
      <c r="AD107" s="30" t="str">
        <f t="shared" si="65"/>
        <v/>
      </c>
      <c r="AE107" s="30" t="str">
        <f t="shared" si="66"/>
        <v/>
      </c>
      <c r="AF107" s="30" t="str">
        <f t="shared" ref="AF107:AF170" si="72">IF(AND($D107="Villa Elena",$G107&lt;&gt;""),ROW(),"")</f>
        <v/>
      </c>
      <c r="AG107" s="30" t="str">
        <f t="shared" ref="AG107:AG170" si="73">IF(AND($D107="Sotto la Quercia",$G107=""),ROW(),"")</f>
        <v/>
      </c>
      <c r="AH107" s="30" t="str">
        <f t="shared" ref="AH107:AH170" si="74">IF(AND($D107="Villa Elena",$G107=""),ROW(),"")</f>
        <v/>
      </c>
      <c r="AI107" s="30" t="str">
        <f t="shared" ref="AI107:AI170" si="75">IF(AND($D107="Casa Letizia",$G107=""),ROW(),"")</f>
        <v/>
      </c>
      <c r="AJ107" s="30" t="str">
        <f t="shared" ref="AJ107:AJ170" si="76">IF(AND($D107="Casa nel Borgo",$G107=""),ROW(),"")</f>
        <v/>
      </c>
      <c r="AK107" s="30" t="str">
        <f t="shared" ref="AK107:AK170" si="77">IF(AND($D107="Via San Rocco",$G107=""),ROW(),"")</f>
        <v/>
      </c>
      <c r="AL107" s="30" t="str">
        <f t="shared" ref="AL107:AL170" si="78">IF(AND($D107="Via Cavour",$G107=""),ROW(),"")</f>
        <v/>
      </c>
      <c r="AM107" s="30" t="str">
        <f t="shared" ref="AM107:AM170" si="79">IF(AND($D107="Miramare",$G107=""),ROW(),"")</f>
        <v/>
      </c>
      <c r="AN107" s="30" t="str">
        <f t="shared" ref="AN107:AN170" si="80">IF(AND($D107="Agantonio",$G107=""),ROW(),"")</f>
        <v/>
      </c>
      <c r="AO107" s="30" t="str">
        <f t="shared" ref="AO107:AO170" si="81">IF(AND($D107="Casa Bella Gialla",$G107=""),ROW(),"")</f>
        <v/>
      </c>
      <c r="AP107" s="30" t="str">
        <f t="shared" ref="AP107:AP170" si="82">IF(AND($D107="Casa Verde Oliva",$G107=""),ROW(),"")</f>
        <v/>
      </c>
      <c r="AQ107" s="30" t="str">
        <f t="shared" ref="AQ107:AQ170" si="83">IF(AND($D107="Casa Nicola",$G107=""),ROW(),"")</f>
        <v/>
      </c>
      <c r="AR107" s="30" t="str">
        <f t="shared" ref="AR107:AR170" si="84">IF(AND($D107="White Cottage",$G107=""),ROW(),"")</f>
        <v/>
      </c>
      <c r="AS107" s="30" t="str">
        <f t="shared" ref="AS107:AS170" si="85">IF(AND($D107="Villa Nella",$G107=""),ROW(),"")</f>
        <v/>
      </c>
      <c r="AT107" t="str">
        <f t="shared" ref="AT107:AT170" si="86">IF(AND($D107="Nel Cuore di Lanciano",$G107&lt;&gt;""),ROW(),"")</f>
        <v/>
      </c>
      <c r="AU107" t="str">
        <f t="shared" ref="AU107:AU170" si="87">IF(AND($D107="Nel Cuore di Lanciano",$G107=""),ROW(),"")</f>
        <v/>
      </c>
    </row>
    <row r="108" spans="1:47" ht="22" customHeight="1" x14ac:dyDescent="0.2">
      <c r="A108" s="31"/>
      <c r="B108" s="31"/>
      <c r="C108" s="32" t="str">
        <f t="shared" si="69"/>
        <v/>
      </c>
      <c r="D108" s="33"/>
      <c r="E108" s="34"/>
      <c r="F108" s="34"/>
      <c r="G108" s="34"/>
      <c r="H108" s="35"/>
      <c r="I108" s="35" t="str">
        <f t="shared" si="54"/>
        <v/>
      </c>
      <c r="J108" s="35" t="str">
        <f t="shared" si="70"/>
        <v/>
      </c>
      <c r="K108" s="34"/>
      <c r="L108" s="35"/>
      <c r="M108" s="61" t="str">
        <f t="shared" si="71"/>
        <v/>
      </c>
      <c r="N108" s="35"/>
      <c r="O108" s="34"/>
      <c r="P108" s="35"/>
      <c r="Q108" s="35"/>
      <c r="R108" s="36"/>
      <c r="S108" s="30" t="str">
        <f t="shared" si="55"/>
        <v/>
      </c>
      <c r="T108" s="6" t="str">
        <f>IF($D108="Villa Elena",COUNTIF($D$3:$D108,"Villa Elena"),"")</f>
        <v/>
      </c>
      <c r="U108" s="30" t="str">
        <f t="shared" si="56"/>
        <v/>
      </c>
      <c r="V108" s="30" t="str">
        <f t="shared" si="57"/>
        <v/>
      </c>
      <c r="W108" s="30" t="str">
        <f t="shared" si="58"/>
        <v/>
      </c>
      <c r="X108" s="30" t="str">
        <f t="shared" si="59"/>
        <v/>
      </c>
      <c r="Y108" s="30" t="str">
        <f t="shared" si="60"/>
        <v/>
      </c>
      <c r="Z108" s="30" t="str">
        <f t="shared" si="61"/>
        <v/>
      </c>
      <c r="AA108" s="30" t="str">
        <f t="shared" si="62"/>
        <v/>
      </c>
      <c r="AB108" s="30" t="str">
        <f t="shared" si="63"/>
        <v/>
      </c>
      <c r="AC108" s="30" t="str">
        <f t="shared" si="64"/>
        <v/>
      </c>
      <c r="AD108" s="30" t="str">
        <f t="shared" si="65"/>
        <v/>
      </c>
      <c r="AE108" s="30" t="str">
        <f t="shared" si="66"/>
        <v/>
      </c>
      <c r="AF108" s="30" t="str">
        <f t="shared" si="72"/>
        <v/>
      </c>
      <c r="AG108" s="30" t="str">
        <f t="shared" si="73"/>
        <v/>
      </c>
      <c r="AH108" s="30" t="str">
        <f t="shared" si="74"/>
        <v/>
      </c>
      <c r="AI108" s="30" t="str">
        <f t="shared" si="75"/>
        <v/>
      </c>
      <c r="AJ108" s="30" t="str">
        <f t="shared" si="76"/>
        <v/>
      </c>
      <c r="AK108" s="30" t="str">
        <f t="shared" si="77"/>
        <v/>
      </c>
      <c r="AL108" s="30" t="str">
        <f t="shared" si="78"/>
        <v/>
      </c>
      <c r="AM108" s="30" t="str">
        <f t="shared" si="79"/>
        <v/>
      </c>
      <c r="AN108" s="30" t="str">
        <f t="shared" si="80"/>
        <v/>
      </c>
      <c r="AO108" s="30" t="str">
        <f t="shared" si="81"/>
        <v/>
      </c>
      <c r="AP108" s="30" t="str">
        <f t="shared" si="82"/>
        <v/>
      </c>
      <c r="AQ108" s="30" t="str">
        <f t="shared" si="83"/>
        <v/>
      </c>
      <c r="AR108" s="30" t="str">
        <f t="shared" si="84"/>
        <v/>
      </c>
      <c r="AS108" s="30" t="str">
        <f t="shared" si="85"/>
        <v/>
      </c>
      <c r="AT108" t="str">
        <f t="shared" si="86"/>
        <v/>
      </c>
      <c r="AU108" t="str">
        <f t="shared" si="87"/>
        <v/>
      </c>
    </row>
    <row r="109" spans="1:47" ht="22" customHeight="1" x14ac:dyDescent="0.2">
      <c r="A109" s="31"/>
      <c r="B109" s="31"/>
      <c r="C109" s="32" t="str">
        <f t="shared" si="69"/>
        <v/>
      </c>
      <c r="D109" s="33"/>
      <c r="E109" s="34"/>
      <c r="F109" s="34"/>
      <c r="G109" s="34"/>
      <c r="H109" s="35"/>
      <c r="I109" s="35" t="str">
        <f t="shared" si="54"/>
        <v/>
      </c>
      <c r="J109" s="35" t="str">
        <f t="shared" si="70"/>
        <v/>
      </c>
      <c r="K109" s="34"/>
      <c r="L109" s="35"/>
      <c r="M109" s="61" t="str">
        <f t="shared" si="71"/>
        <v/>
      </c>
      <c r="N109" s="35"/>
      <c r="O109" s="34"/>
      <c r="P109" s="35"/>
      <c r="Q109" s="35"/>
      <c r="R109" s="36"/>
      <c r="S109" s="30" t="str">
        <f t="shared" si="55"/>
        <v/>
      </c>
      <c r="T109" s="6" t="str">
        <f>IF($D109="Villa Elena",COUNTIF($D$3:$D109,"Villa Elena"),"")</f>
        <v/>
      </c>
      <c r="U109" s="30" t="str">
        <f t="shared" si="56"/>
        <v/>
      </c>
      <c r="V109" s="30" t="str">
        <f t="shared" si="57"/>
        <v/>
      </c>
      <c r="W109" s="30" t="str">
        <f t="shared" si="58"/>
        <v/>
      </c>
      <c r="X109" s="30" t="str">
        <f t="shared" si="59"/>
        <v/>
      </c>
      <c r="Y109" s="30" t="str">
        <f t="shared" si="60"/>
        <v/>
      </c>
      <c r="Z109" s="30" t="str">
        <f t="shared" si="61"/>
        <v/>
      </c>
      <c r="AA109" s="30" t="str">
        <f t="shared" si="62"/>
        <v/>
      </c>
      <c r="AB109" s="30" t="str">
        <f t="shared" si="63"/>
        <v/>
      </c>
      <c r="AC109" s="30" t="str">
        <f t="shared" si="64"/>
        <v/>
      </c>
      <c r="AD109" s="30" t="str">
        <f t="shared" si="65"/>
        <v/>
      </c>
      <c r="AE109" s="30" t="str">
        <f t="shared" si="66"/>
        <v/>
      </c>
      <c r="AF109" s="30" t="str">
        <f t="shared" si="72"/>
        <v/>
      </c>
      <c r="AG109" s="30" t="str">
        <f t="shared" si="73"/>
        <v/>
      </c>
      <c r="AH109" s="30" t="str">
        <f t="shared" si="74"/>
        <v/>
      </c>
      <c r="AI109" s="30" t="str">
        <f t="shared" si="75"/>
        <v/>
      </c>
      <c r="AJ109" s="30" t="str">
        <f t="shared" si="76"/>
        <v/>
      </c>
      <c r="AK109" s="30" t="str">
        <f t="shared" si="77"/>
        <v/>
      </c>
      <c r="AL109" s="30" t="str">
        <f t="shared" si="78"/>
        <v/>
      </c>
      <c r="AM109" s="30" t="str">
        <f t="shared" si="79"/>
        <v/>
      </c>
      <c r="AN109" s="30" t="str">
        <f t="shared" si="80"/>
        <v/>
      </c>
      <c r="AO109" s="30" t="str">
        <f t="shared" si="81"/>
        <v/>
      </c>
      <c r="AP109" s="30" t="str">
        <f t="shared" si="82"/>
        <v/>
      </c>
      <c r="AQ109" s="30" t="str">
        <f t="shared" si="83"/>
        <v/>
      </c>
      <c r="AR109" s="30" t="str">
        <f t="shared" si="84"/>
        <v/>
      </c>
      <c r="AS109" s="30" t="str">
        <f t="shared" si="85"/>
        <v/>
      </c>
      <c r="AT109" t="str">
        <f t="shared" si="86"/>
        <v/>
      </c>
      <c r="AU109" t="str">
        <f t="shared" si="87"/>
        <v/>
      </c>
    </row>
    <row r="110" spans="1:47" ht="22" customHeight="1" x14ac:dyDescent="0.2">
      <c r="A110" s="31"/>
      <c r="B110" s="31"/>
      <c r="C110" s="32" t="str">
        <f t="shared" si="69"/>
        <v/>
      </c>
      <c r="D110" s="33"/>
      <c r="E110" s="34"/>
      <c r="F110" s="34"/>
      <c r="G110" s="34"/>
      <c r="H110" s="35"/>
      <c r="I110" s="35" t="str">
        <f t="shared" si="54"/>
        <v/>
      </c>
      <c r="J110" s="35" t="str">
        <f t="shared" si="70"/>
        <v/>
      </c>
      <c r="K110" s="34"/>
      <c r="L110" s="35"/>
      <c r="M110" s="61" t="str">
        <f t="shared" si="71"/>
        <v/>
      </c>
      <c r="N110" s="35"/>
      <c r="O110" s="34"/>
      <c r="P110" s="35"/>
      <c r="Q110" s="35"/>
      <c r="R110" s="36"/>
      <c r="S110" s="30" t="str">
        <f t="shared" si="55"/>
        <v/>
      </c>
      <c r="T110" s="6" t="str">
        <f>IF($D110="Villa Elena",COUNTIF($D$3:$D110,"Villa Elena"),"")</f>
        <v/>
      </c>
      <c r="U110" s="30" t="str">
        <f t="shared" si="56"/>
        <v/>
      </c>
      <c r="V110" s="30" t="str">
        <f t="shared" si="57"/>
        <v/>
      </c>
      <c r="W110" s="30" t="str">
        <f t="shared" si="58"/>
        <v/>
      </c>
      <c r="X110" s="30" t="str">
        <f t="shared" si="59"/>
        <v/>
      </c>
      <c r="Y110" s="30" t="str">
        <f t="shared" si="60"/>
        <v/>
      </c>
      <c r="Z110" s="30" t="str">
        <f t="shared" si="61"/>
        <v/>
      </c>
      <c r="AA110" s="30" t="str">
        <f t="shared" si="62"/>
        <v/>
      </c>
      <c r="AB110" s="30" t="str">
        <f t="shared" si="63"/>
        <v/>
      </c>
      <c r="AC110" s="30" t="str">
        <f t="shared" si="64"/>
        <v/>
      </c>
      <c r="AD110" s="30" t="str">
        <f t="shared" si="65"/>
        <v/>
      </c>
      <c r="AE110" s="30" t="str">
        <f t="shared" si="66"/>
        <v/>
      </c>
      <c r="AF110" s="30" t="str">
        <f t="shared" si="72"/>
        <v/>
      </c>
      <c r="AG110" s="30" t="str">
        <f t="shared" si="73"/>
        <v/>
      </c>
      <c r="AH110" s="30" t="str">
        <f t="shared" si="74"/>
        <v/>
      </c>
      <c r="AI110" s="30" t="str">
        <f t="shared" si="75"/>
        <v/>
      </c>
      <c r="AJ110" s="30" t="str">
        <f t="shared" si="76"/>
        <v/>
      </c>
      <c r="AK110" s="30" t="str">
        <f t="shared" si="77"/>
        <v/>
      </c>
      <c r="AL110" s="30" t="str">
        <f t="shared" si="78"/>
        <v/>
      </c>
      <c r="AM110" s="30" t="str">
        <f t="shared" si="79"/>
        <v/>
      </c>
      <c r="AN110" s="30" t="str">
        <f t="shared" si="80"/>
        <v/>
      </c>
      <c r="AO110" s="30" t="str">
        <f t="shared" si="81"/>
        <v/>
      </c>
      <c r="AP110" s="30" t="str">
        <f t="shared" si="82"/>
        <v/>
      </c>
      <c r="AQ110" s="30" t="str">
        <f t="shared" si="83"/>
        <v/>
      </c>
      <c r="AR110" s="30" t="str">
        <f t="shared" si="84"/>
        <v/>
      </c>
      <c r="AS110" s="30" t="str">
        <f t="shared" si="85"/>
        <v/>
      </c>
      <c r="AT110" t="str">
        <f t="shared" si="86"/>
        <v/>
      </c>
      <c r="AU110" t="str">
        <f t="shared" si="87"/>
        <v/>
      </c>
    </row>
    <row r="111" spans="1:47" ht="22" customHeight="1" x14ac:dyDescent="0.2">
      <c r="A111" s="31"/>
      <c r="B111" s="31"/>
      <c r="C111" s="32" t="str">
        <f t="shared" si="69"/>
        <v/>
      </c>
      <c r="D111" s="33"/>
      <c r="E111" s="34"/>
      <c r="F111" s="34"/>
      <c r="G111" s="34"/>
      <c r="H111" s="35"/>
      <c r="I111" s="35" t="str">
        <f t="shared" si="54"/>
        <v/>
      </c>
      <c r="J111" s="35" t="str">
        <f t="shared" si="70"/>
        <v/>
      </c>
      <c r="K111" s="34"/>
      <c r="L111" s="35"/>
      <c r="M111" s="61" t="str">
        <f t="shared" si="71"/>
        <v/>
      </c>
      <c r="N111" s="35"/>
      <c r="O111" s="34"/>
      <c r="P111" s="35"/>
      <c r="Q111" s="35"/>
      <c r="R111" s="36"/>
      <c r="S111" s="30" t="str">
        <f t="shared" si="55"/>
        <v/>
      </c>
      <c r="T111" s="6" t="str">
        <f>IF($D111="Villa Elena",COUNTIF($D$3:$D111,"Villa Elena"),"")</f>
        <v/>
      </c>
      <c r="U111" s="30" t="str">
        <f t="shared" si="56"/>
        <v/>
      </c>
      <c r="V111" s="30" t="str">
        <f t="shared" si="57"/>
        <v/>
      </c>
      <c r="W111" s="30" t="str">
        <f t="shared" si="58"/>
        <v/>
      </c>
      <c r="X111" s="30" t="str">
        <f t="shared" si="59"/>
        <v/>
      </c>
      <c r="Y111" s="30" t="str">
        <f t="shared" si="60"/>
        <v/>
      </c>
      <c r="Z111" s="30" t="str">
        <f t="shared" si="61"/>
        <v/>
      </c>
      <c r="AA111" s="30" t="str">
        <f t="shared" si="62"/>
        <v/>
      </c>
      <c r="AB111" s="30" t="str">
        <f t="shared" si="63"/>
        <v/>
      </c>
      <c r="AC111" s="30" t="str">
        <f t="shared" si="64"/>
        <v/>
      </c>
      <c r="AD111" s="30" t="str">
        <f t="shared" si="65"/>
        <v/>
      </c>
      <c r="AE111" s="30" t="str">
        <f t="shared" si="66"/>
        <v/>
      </c>
      <c r="AF111" s="30" t="str">
        <f t="shared" si="72"/>
        <v/>
      </c>
      <c r="AG111" s="30" t="str">
        <f t="shared" si="73"/>
        <v/>
      </c>
      <c r="AH111" s="30" t="str">
        <f t="shared" si="74"/>
        <v/>
      </c>
      <c r="AI111" s="30" t="str">
        <f t="shared" si="75"/>
        <v/>
      </c>
      <c r="AJ111" s="30" t="str">
        <f t="shared" si="76"/>
        <v/>
      </c>
      <c r="AK111" s="30" t="str">
        <f t="shared" si="77"/>
        <v/>
      </c>
      <c r="AL111" s="30" t="str">
        <f t="shared" si="78"/>
        <v/>
      </c>
      <c r="AM111" s="30" t="str">
        <f t="shared" si="79"/>
        <v/>
      </c>
      <c r="AN111" s="30" t="str">
        <f t="shared" si="80"/>
        <v/>
      </c>
      <c r="AO111" s="30" t="str">
        <f t="shared" si="81"/>
        <v/>
      </c>
      <c r="AP111" s="30" t="str">
        <f t="shared" si="82"/>
        <v/>
      </c>
      <c r="AQ111" s="30" t="str">
        <f t="shared" si="83"/>
        <v/>
      </c>
      <c r="AR111" s="30" t="str">
        <f t="shared" si="84"/>
        <v/>
      </c>
      <c r="AS111" s="30" t="str">
        <f t="shared" si="85"/>
        <v/>
      </c>
      <c r="AT111" t="str">
        <f t="shared" si="86"/>
        <v/>
      </c>
      <c r="AU111" t="str">
        <f t="shared" si="87"/>
        <v/>
      </c>
    </row>
    <row r="112" spans="1:47" ht="22" customHeight="1" x14ac:dyDescent="0.2">
      <c r="A112" s="31"/>
      <c r="B112" s="31"/>
      <c r="C112" s="32" t="str">
        <f t="shared" si="69"/>
        <v/>
      </c>
      <c r="D112" s="33"/>
      <c r="E112" s="34"/>
      <c r="F112" s="34"/>
      <c r="G112" s="34"/>
      <c r="H112" s="35"/>
      <c r="I112" s="35" t="str">
        <f t="shared" si="54"/>
        <v/>
      </c>
      <c r="J112" s="35" t="str">
        <f t="shared" si="70"/>
        <v/>
      </c>
      <c r="K112" s="34"/>
      <c r="L112" s="35"/>
      <c r="M112" s="61" t="str">
        <f t="shared" si="71"/>
        <v/>
      </c>
      <c r="N112" s="35"/>
      <c r="O112" s="34"/>
      <c r="P112" s="35"/>
      <c r="Q112" s="35"/>
      <c r="R112" s="36"/>
      <c r="S112" s="30" t="str">
        <f t="shared" si="55"/>
        <v/>
      </c>
      <c r="T112" s="6" t="str">
        <f>IF($D112="Villa Elena",COUNTIF($D$3:$D112,"Villa Elena"),"")</f>
        <v/>
      </c>
      <c r="U112" s="30" t="str">
        <f t="shared" si="56"/>
        <v/>
      </c>
      <c r="V112" s="30" t="str">
        <f t="shared" si="57"/>
        <v/>
      </c>
      <c r="W112" s="30" t="str">
        <f t="shared" si="58"/>
        <v/>
      </c>
      <c r="X112" s="30" t="str">
        <f t="shared" si="59"/>
        <v/>
      </c>
      <c r="Y112" s="30" t="str">
        <f t="shared" si="60"/>
        <v/>
      </c>
      <c r="Z112" s="30" t="str">
        <f t="shared" si="61"/>
        <v/>
      </c>
      <c r="AA112" s="30" t="str">
        <f t="shared" si="62"/>
        <v/>
      </c>
      <c r="AB112" s="30" t="str">
        <f t="shared" si="63"/>
        <v/>
      </c>
      <c r="AC112" s="30" t="str">
        <f t="shared" si="64"/>
        <v/>
      </c>
      <c r="AD112" s="30" t="str">
        <f t="shared" si="65"/>
        <v/>
      </c>
      <c r="AE112" s="30" t="str">
        <f t="shared" si="66"/>
        <v/>
      </c>
      <c r="AF112" s="30" t="str">
        <f t="shared" si="72"/>
        <v/>
      </c>
      <c r="AG112" s="30" t="str">
        <f t="shared" si="73"/>
        <v/>
      </c>
      <c r="AH112" s="30" t="str">
        <f t="shared" si="74"/>
        <v/>
      </c>
      <c r="AI112" s="30" t="str">
        <f t="shared" si="75"/>
        <v/>
      </c>
      <c r="AJ112" s="30" t="str">
        <f t="shared" si="76"/>
        <v/>
      </c>
      <c r="AK112" s="30" t="str">
        <f t="shared" si="77"/>
        <v/>
      </c>
      <c r="AL112" s="30" t="str">
        <f t="shared" si="78"/>
        <v/>
      </c>
      <c r="AM112" s="30" t="str">
        <f t="shared" si="79"/>
        <v/>
      </c>
      <c r="AN112" s="30" t="str">
        <f t="shared" si="80"/>
        <v/>
      </c>
      <c r="AO112" s="30" t="str">
        <f t="shared" si="81"/>
        <v/>
      </c>
      <c r="AP112" s="30" t="str">
        <f t="shared" si="82"/>
        <v/>
      </c>
      <c r="AQ112" s="30" t="str">
        <f t="shared" si="83"/>
        <v/>
      </c>
      <c r="AR112" s="30" t="str">
        <f t="shared" si="84"/>
        <v/>
      </c>
      <c r="AS112" s="30" t="str">
        <f t="shared" si="85"/>
        <v/>
      </c>
      <c r="AT112" t="str">
        <f t="shared" si="86"/>
        <v/>
      </c>
      <c r="AU112" t="str">
        <f t="shared" si="87"/>
        <v/>
      </c>
    </row>
    <row r="113" spans="1:47" ht="22" customHeight="1" x14ac:dyDescent="0.2">
      <c r="A113" s="31"/>
      <c r="B113" s="31"/>
      <c r="C113" s="32" t="str">
        <f t="shared" ref="C113:C144" si="88">IF(A113&lt;&gt;"",B113-A113,"")</f>
        <v/>
      </c>
      <c r="D113" s="33"/>
      <c r="E113" s="34"/>
      <c r="F113" s="34"/>
      <c r="G113" s="34"/>
      <c r="H113" s="35"/>
      <c r="I113" s="35" t="str">
        <f t="shared" si="54"/>
        <v/>
      </c>
      <c r="J113" s="35" t="str">
        <f t="shared" si="70"/>
        <v/>
      </c>
      <c r="K113" s="34"/>
      <c r="L113" s="35"/>
      <c r="M113" s="61" t="str">
        <f t="shared" si="71"/>
        <v/>
      </c>
      <c r="N113" s="35"/>
      <c r="O113" s="34"/>
      <c r="P113" s="35"/>
      <c r="Q113" s="35"/>
      <c r="R113" s="36"/>
      <c r="S113" s="30" t="str">
        <f t="shared" si="55"/>
        <v/>
      </c>
      <c r="T113" s="6" t="str">
        <f>IF($D113="Villa Elena",COUNTIF($D$3:$D113,"Villa Elena"),"")</f>
        <v/>
      </c>
      <c r="U113" s="30" t="str">
        <f t="shared" si="56"/>
        <v/>
      </c>
      <c r="V113" s="30" t="str">
        <f t="shared" si="57"/>
        <v/>
      </c>
      <c r="W113" s="30" t="str">
        <f t="shared" si="58"/>
        <v/>
      </c>
      <c r="X113" s="30" t="str">
        <f t="shared" si="59"/>
        <v/>
      </c>
      <c r="Y113" s="30" t="str">
        <f t="shared" si="60"/>
        <v/>
      </c>
      <c r="Z113" s="30" t="str">
        <f t="shared" si="61"/>
        <v/>
      </c>
      <c r="AA113" s="30" t="str">
        <f t="shared" si="62"/>
        <v/>
      </c>
      <c r="AB113" s="30" t="str">
        <f t="shared" si="63"/>
        <v/>
      </c>
      <c r="AC113" s="30" t="str">
        <f t="shared" si="64"/>
        <v/>
      </c>
      <c r="AD113" s="30" t="str">
        <f t="shared" si="65"/>
        <v/>
      </c>
      <c r="AE113" s="30" t="str">
        <f t="shared" si="66"/>
        <v/>
      </c>
      <c r="AF113" s="30" t="str">
        <f t="shared" si="72"/>
        <v/>
      </c>
      <c r="AG113" s="30" t="str">
        <f t="shared" si="73"/>
        <v/>
      </c>
      <c r="AH113" s="30" t="str">
        <f t="shared" si="74"/>
        <v/>
      </c>
      <c r="AI113" s="30" t="str">
        <f t="shared" si="75"/>
        <v/>
      </c>
      <c r="AJ113" s="30" t="str">
        <f t="shared" si="76"/>
        <v/>
      </c>
      <c r="AK113" s="30" t="str">
        <f t="shared" si="77"/>
        <v/>
      </c>
      <c r="AL113" s="30" t="str">
        <f t="shared" si="78"/>
        <v/>
      </c>
      <c r="AM113" s="30" t="str">
        <f t="shared" si="79"/>
        <v/>
      </c>
      <c r="AN113" s="30" t="str">
        <f t="shared" si="80"/>
        <v/>
      </c>
      <c r="AO113" s="30" t="str">
        <f t="shared" si="81"/>
        <v/>
      </c>
      <c r="AP113" s="30" t="str">
        <f t="shared" si="82"/>
        <v/>
      </c>
      <c r="AQ113" s="30" t="str">
        <f t="shared" si="83"/>
        <v/>
      </c>
      <c r="AR113" s="30" t="str">
        <f t="shared" si="84"/>
        <v/>
      </c>
      <c r="AS113" s="30" t="str">
        <f t="shared" si="85"/>
        <v/>
      </c>
      <c r="AT113" t="str">
        <f t="shared" si="86"/>
        <v/>
      </c>
      <c r="AU113" t="str">
        <f t="shared" si="87"/>
        <v/>
      </c>
    </row>
    <row r="114" spans="1:47" ht="22" customHeight="1" x14ac:dyDescent="0.2">
      <c r="A114" s="31"/>
      <c r="B114" s="31"/>
      <c r="C114" s="32" t="str">
        <f t="shared" si="88"/>
        <v/>
      </c>
      <c r="D114" s="33"/>
      <c r="E114" s="34"/>
      <c r="F114" s="34"/>
      <c r="G114" s="34"/>
      <c r="H114" s="35"/>
      <c r="I114" s="35" t="str">
        <f t="shared" si="54"/>
        <v/>
      </c>
      <c r="J114" s="35" t="str">
        <f t="shared" si="70"/>
        <v/>
      </c>
      <c r="K114" s="34"/>
      <c r="L114" s="35"/>
      <c r="M114" s="61" t="str">
        <f t="shared" si="71"/>
        <v/>
      </c>
      <c r="N114" s="35"/>
      <c r="O114" s="34"/>
      <c r="P114" s="35"/>
      <c r="Q114" s="35"/>
      <c r="R114" s="36"/>
      <c r="S114" s="30" t="str">
        <f t="shared" si="55"/>
        <v/>
      </c>
      <c r="T114" s="6" t="str">
        <f>IF($D114="Villa Elena",COUNTIF($D$3:$D114,"Villa Elena"),"")</f>
        <v/>
      </c>
      <c r="U114" s="30" t="str">
        <f t="shared" si="56"/>
        <v/>
      </c>
      <c r="V114" s="30" t="str">
        <f t="shared" si="57"/>
        <v/>
      </c>
      <c r="W114" s="30" t="str">
        <f t="shared" si="58"/>
        <v/>
      </c>
      <c r="X114" s="30" t="str">
        <f t="shared" si="59"/>
        <v/>
      </c>
      <c r="Y114" s="30" t="str">
        <f t="shared" si="60"/>
        <v/>
      </c>
      <c r="Z114" s="30" t="str">
        <f t="shared" si="61"/>
        <v/>
      </c>
      <c r="AA114" s="30" t="str">
        <f t="shared" si="62"/>
        <v/>
      </c>
      <c r="AB114" s="30" t="str">
        <f t="shared" si="63"/>
        <v/>
      </c>
      <c r="AC114" s="30" t="str">
        <f t="shared" si="64"/>
        <v/>
      </c>
      <c r="AD114" s="30" t="str">
        <f t="shared" si="65"/>
        <v/>
      </c>
      <c r="AE114" s="30" t="str">
        <f t="shared" si="66"/>
        <v/>
      </c>
      <c r="AF114" s="30" t="str">
        <f t="shared" si="72"/>
        <v/>
      </c>
      <c r="AG114" s="30" t="str">
        <f t="shared" si="73"/>
        <v/>
      </c>
      <c r="AH114" s="30" t="str">
        <f t="shared" si="74"/>
        <v/>
      </c>
      <c r="AI114" s="30" t="str">
        <f t="shared" si="75"/>
        <v/>
      </c>
      <c r="AJ114" s="30" t="str">
        <f t="shared" si="76"/>
        <v/>
      </c>
      <c r="AK114" s="30" t="str">
        <f t="shared" si="77"/>
        <v/>
      </c>
      <c r="AL114" s="30" t="str">
        <f t="shared" si="78"/>
        <v/>
      </c>
      <c r="AM114" s="30" t="str">
        <f t="shared" si="79"/>
        <v/>
      </c>
      <c r="AN114" s="30" t="str">
        <f t="shared" si="80"/>
        <v/>
      </c>
      <c r="AO114" s="30" t="str">
        <f t="shared" si="81"/>
        <v/>
      </c>
      <c r="AP114" s="30" t="str">
        <f t="shared" si="82"/>
        <v/>
      </c>
      <c r="AQ114" s="30" t="str">
        <f t="shared" si="83"/>
        <v/>
      </c>
      <c r="AR114" s="30" t="str">
        <f t="shared" si="84"/>
        <v/>
      </c>
      <c r="AS114" s="30" t="str">
        <f t="shared" si="85"/>
        <v/>
      </c>
      <c r="AT114" t="str">
        <f t="shared" si="86"/>
        <v/>
      </c>
      <c r="AU114" t="str">
        <f t="shared" si="87"/>
        <v/>
      </c>
    </row>
    <row r="115" spans="1:47" ht="22" customHeight="1" x14ac:dyDescent="0.2">
      <c r="A115" s="31"/>
      <c r="B115" s="31"/>
      <c r="C115" s="32" t="str">
        <f t="shared" si="88"/>
        <v/>
      </c>
      <c r="D115" s="33"/>
      <c r="E115" s="34"/>
      <c r="F115" s="34"/>
      <c r="G115" s="34"/>
      <c r="H115" s="35"/>
      <c r="I115" s="35" t="str">
        <f t="shared" si="54"/>
        <v/>
      </c>
      <c r="J115" s="35" t="str">
        <f t="shared" si="70"/>
        <v/>
      </c>
      <c r="K115" s="34"/>
      <c r="L115" s="35"/>
      <c r="M115" s="61" t="str">
        <f t="shared" si="71"/>
        <v/>
      </c>
      <c r="N115" s="35"/>
      <c r="O115" s="34"/>
      <c r="P115" s="35"/>
      <c r="Q115" s="35"/>
      <c r="R115" s="36"/>
      <c r="S115" s="30" t="str">
        <f t="shared" si="55"/>
        <v/>
      </c>
      <c r="T115" s="6" t="str">
        <f>IF($D115="Villa Elena",COUNTIF($D$3:$D115,"Villa Elena"),"")</f>
        <v/>
      </c>
      <c r="U115" s="30" t="str">
        <f t="shared" si="56"/>
        <v/>
      </c>
      <c r="V115" s="30" t="str">
        <f t="shared" si="57"/>
        <v/>
      </c>
      <c r="W115" s="30" t="str">
        <f t="shared" si="58"/>
        <v/>
      </c>
      <c r="X115" s="30" t="str">
        <f t="shared" si="59"/>
        <v/>
      </c>
      <c r="Y115" s="30" t="str">
        <f t="shared" si="60"/>
        <v/>
      </c>
      <c r="Z115" s="30" t="str">
        <f t="shared" si="61"/>
        <v/>
      </c>
      <c r="AA115" s="30" t="str">
        <f t="shared" si="62"/>
        <v/>
      </c>
      <c r="AB115" s="30" t="str">
        <f t="shared" si="63"/>
        <v/>
      </c>
      <c r="AC115" s="30" t="str">
        <f t="shared" si="64"/>
        <v/>
      </c>
      <c r="AD115" s="30" t="str">
        <f t="shared" si="65"/>
        <v/>
      </c>
      <c r="AE115" s="30" t="str">
        <f t="shared" si="66"/>
        <v/>
      </c>
      <c r="AF115" s="30" t="str">
        <f t="shared" si="72"/>
        <v/>
      </c>
      <c r="AG115" s="30" t="str">
        <f t="shared" si="73"/>
        <v/>
      </c>
      <c r="AH115" s="30" t="str">
        <f t="shared" si="74"/>
        <v/>
      </c>
      <c r="AI115" s="30" t="str">
        <f t="shared" si="75"/>
        <v/>
      </c>
      <c r="AJ115" s="30" t="str">
        <f t="shared" si="76"/>
        <v/>
      </c>
      <c r="AK115" s="30" t="str">
        <f t="shared" si="77"/>
        <v/>
      </c>
      <c r="AL115" s="30" t="str">
        <f t="shared" si="78"/>
        <v/>
      </c>
      <c r="AM115" s="30" t="str">
        <f t="shared" si="79"/>
        <v/>
      </c>
      <c r="AN115" s="30" t="str">
        <f t="shared" si="80"/>
        <v/>
      </c>
      <c r="AO115" s="30" t="str">
        <f t="shared" si="81"/>
        <v/>
      </c>
      <c r="AP115" s="30" t="str">
        <f t="shared" si="82"/>
        <v/>
      </c>
      <c r="AQ115" s="30" t="str">
        <f t="shared" si="83"/>
        <v/>
      </c>
      <c r="AR115" s="30" t="str">
        <f t="shared" si="84"/>
        <v/>
      </c>
      <c r="AS115" s="30" t="str">
        <f t="shared" si="85"/>
        <v/>
      </c>
      <c r="AT115" t="str">
        <f t="shared" si="86"/>
        <v/>
      </c>
      <c r="AU115" t="str">
        <f t="shared" si="87"/>
        <v/>
      </c>
    </row>
    <row r="116" spans="1:47" ht="22" customHeight="1" x14ac:dyDescent="0.2">
      <c r="A116" s="31"/>
      <c r="B116" s="31"/>
      <c r="C116" s="32" t="str">
        <f t="shared" si="88"/>
        <v/>
      </c>
      <c r="D116" s="33"/>
      <c r="E116" s="34"/>
      <c r="F116" s="34"/>
      <c r="G116" s="34"/>
      <c r="H116" s="35"/>
      <c r="I116" s="35" t="str">
        <f t="shared" si="54"/>
        <v/>
      </c>
      <c r="J116" s="35" t="str">
        <f t="shared" si="70"/>
        <v/>
      </c>
      <c r="K116" s="34"/>
      <c r="L116" s="35"/>
      <c r="M116" s="61" t="str">
        <f t="shared" si="71"/>
        <v/>
      </c>
      <c r="N116" s="35"/>
      <c r="O116" s="34"/>
      <c r="P116" s="35"/>
      <c r="Q116" s="35"/>
      <c r="R116" s="36"/>
      <c r="S116" s="30" t="str">
        <f t="shared" si="55"/>
        <v/>
      </c>
      <c r="T116" s="6" t="str">
        <f>IF($D116="Villa Elena",COUNTIF($D$3:$D116,"Villa Elena"),"")</f>
        <v/>
      </c>
      <c r="U116" s="30" t="str">
        <f t="shared" si="56"/>
        <v/>
      </c>
      <c r="V116" s="30" t="str">
        <f t="shared" si="57"/>
        <v/>
      </c>
      <c r="W116" s="30" t="str">
        <f t="shared" si="58"/>
        <v/>
      </c>
      <c r="X116" s="30" t="str">
        <f t="shared" si="59"/>
        <v/>
      </c>
      <c r="Y116" s="30" t="str">
        <f t="shared" si="60"/>
        <v/>
      </c>
      <c r="Z116" s="30" t="str">
        <f t="shared" si="61"/>
        <v/>
      </c>
      <c r="AA116" s="30" t="str">
        <f t="shared" si="62"/>
        <v/>
      </c>
      <c r="AB116" s="30" t="str">
        <f t="shared" si="63"/>
        <v/>
      </c>
      <c r="AC116" s="30" t="str">
        <f t="shared" si="64"/>
        <v/>
      </c>
      <c r="AD116" s="30" t="str">
        <f t="shared" si="65"/>
        <v/>
      </c>
      <c r="AE116" s="30" t="str">
        <f t="shared" si="66"/>
        <v/>
      </c>
      <c r="AF116" s="30" t="str">
        <f t="shared" si="72"/>
        <v/>
      </c>
      <c r="AG116" s="30" t="str">
        <f t="shared" si="73"/>
        <v/>
      </c>
      <c r="AH116" s="30" t="str">
        <f t="shared" si="74"/>
        <v/>
      </c>
      <c r="AI116" s="30" t="str">
        <f t="shared" si="75"/>
        <v/>
      </c>
      <c r="AJ116" s="30" t="str">
        <f t="shared" si="76"/>
        <v/>
      </c>
      <c r="AK116" s="30" t="str">
        <f t="shared" si="77"/>
        <v/>
      </c>
      <c r="AL116" s="30" t="str">
        <f t="shared" si="78"/>
        <v/>
      </c>
      <c r="AM116" s="30" t="str">
        <f t="shared" si="79"/>
        <v/>
      </c>
      <c r="AN116" s="30" t="str">
        <f t="shared" si="80"/>
        <v/>
      </c>
      <c r="AO116" s="30" t="str">
        <f t="shared" si="81"/>
        <v/>
      </c>
      <c r="AP116" s="30" t="str">
        <f t="shared" si="82"/>
        <v/>
      </c>
      <c r="AQ116" s="30" t="str">
        <f t="shared" si="83"/>
        <v/>
      </c>
      <c r="AR116" s="30" t="str">
        <f t="shared" si="84"/>
        <v/>
      </c>
      <c r="AS116" s="30" t="str">
        <f t="shared" si="85"/>
        <v/>
      </c>
      <c r="AT116" t="str">
        <f t="shared" si="86"/>
        <v/>
      </c>
      <c r="AU116" t="str">
        <f t="shared" si="87"/>
        <v/>
      </c>
    </row>
    <row r="117" spans="1:47" ht="22" customHeight="1" x14ac:dyDescent="0.2">
      <c r="A117" s="31"/>
      <c r="B117" s="31"/>
      <c r="C117" s="32" t="str">
        <f t="shared" si="88"/>
        <v/>
      </c>
      <c r="D117" s="33"/>
      <c r="E117" s="34"/>
      <c r="F117" s="34"/>
      <c r="G117" s="34"/>
      <c r="H117" s="35"/>
      <c r="I117" s="35" t="str">
        <f t="shared" si="54"/>
        <v/>
      </c>
      <c r="J117" s="35" t="str">
        <f t="shared" si="70"/>
        <v/>
      </c>
      <c r="K117" s="34"/>
      <c r="L117" s="35"/>
      <c r="M117" s="61" t="str">
        <f t="shared" si="71"/>
        <v/>
      </c>
      <c r="N117" s="35"/>
      <c r="O117" s="34"/>
      <c r="P117" s="35"/>
      <c r="Q117" s="35"/>
      <c r="R117" s="36"/>
      <c r="S117" s="30" t="str">
        <f t="shared" si="55"/>
        <v/>
      </c>
      <c r="T117" s="6" t="str">
        <f>IF($D117="Villa Elena",COUNTIF($D$3:$D117,"Villa Elena"),"")</f>
        <v/>
      </c>
      <c r="U117" s="30" t="str">
        <f t="shared" si="56"/>
        <v/>
      </c>
      <c r="V117" s="30" t="str">
        <f t="shared" si="57"/>
        <v/>
      </c>
      <c r="W117" s="30" t="str">
        <f t="shared" si="58"/>
        <v/>
      </c>
      <c r="X117" s="30" t="str">
        <f t="shared" si="59"/>
        <v/>
      </c>
      <c r="Y117" s="30" t="str">
        <f t="shared" si="60"/>
        <v/>
      </c>
      <c r="Z117" s="30" t="str">
        <f t="shared" si="61"/>
        <v/>
      </c>
      <c r="AA117" s="30" t="str">
        <f t="shared" si="62"/>
        <v/>
      </c>
      <c r="AB117" s="30" t="str">
        <f t="shared" si="63"/>
        <v/>
      </c>
      <c r="AC117" s="30" t="str">
        <f t="shared" si="64"/>
        <v/>
      </c>
      <c r="AD117" s="30" t="str">
        <f t="shared" si="65"/>
        <v/>
      </c>
      <c r="AE117" s="30" t="str">
        <f t="shared" si="66"/>
        <v/>
      </c>
      <c r="AF117" s="30" t="str">
        <f t="shared" si="72"/>
        <v/>
      </c>
      <c r="AG117" s="30" t="str">
        <f t="shared" si="73"/>
        <v/>
      </c>
      <c r="AH117" s="30" t="str">
        <f t="shared" si="74"/>
        <v/>
      </c>
      <c r="AI117" s="30" t="str">
        <f t="shared" si="75"/>
        <v/>
      </c>
      <c r="AJ117" s="30" t="str">
        <f t="shared" si="76"/>
        <v/>
      </c>
      <c r="AK117" s="30" t="str">
        <f t="shared" si="77"/>
        <v/>
      </c>
      <c r="AL117" s="30" t="str">
        <f t="shared" si="78"/>
        <v/>
      </c>
      <c r="AM117" s="30" t="str">
        <f t="shared" si="79"/>
        <v/>
      </c>
      <c r="AN117" s="30" t="str">
        <f t="shared" si="80"/>
        <v/>
      </c>
      <c r="AO117" s="30" t="str">
        <f t="shared" si="81"/>
        <v/>
      </c>
      <c r="AP117" s="30" t="str">
        <f t="shared" si="82"/>
        <v/>
      </c>
      <c r="AQ117" s="30" t="str">
        <f t="shared" si="83"/>
        <v/>
      </c>
      <c r="AR117" s="30" t="str">
        <f t="shared" si="84"/>
        <v/>
      </c>
      <c r="AS117" s="30" t="str">
        <f t="shared" si="85"/>
        <v/>
      </c>
      <c r="AT117" t="str">
        <f t="shared" si="86"/>
        <v/>
      </c>
      <c r="AU117" t="str">
        <f t="shared" si="87"/>
        <v/>
      </c>
    </row>
    <row r="118" spans="1:47" ht="22" customHeight="1" x14ac:dyDescent="0.2">
      <c r="A118" s="31"/>
      <c r="B118" s="31"/>
      <c r="C118" s="32" t="str">
        <f t="shared" si="88"/>
        <v/>
      </c>
      <c r="D118" s="33"/>
      <c r="E118" s="34"/>
      <c r="F118" s="34"/>
      <c r="G118" s="34"/>
      <c r="H118" s="35"/>
      <c r="I118" s="35" t="str">
        <f t="shared" si="54"/>
        <v/>
      </c>
      <c r="J118" s="35" t="str">
        <f t="shared" si="70"/>
        <v/>
      </c>
      <c r="K118" s="34"/>
      <c r="L118" s="35"/>
      <c r="M118" s="61" t="str">
        <f t="shared" si="71"/>
        <v/>
      </c>
      <c r="N118" s="35"/>
      <c r="O118" s="34"/>
      <c r="P118" s="35"/>
      <c r="Q118" s="35"/>
      <c r="R118" s="36"/>
      <c r="S118" s="30" t="str">
        <f t="shared" si="55"/>
        <v/>
      </c>
      <c r="T118" s="6" t="str">
        <f>IF($D118="Villa Elena",COUNTIF($D$3:$D118,"Villa Elena"),"")</f>
        <v/>
      </c>
      <c r="U118" s="30" t="str">
        <f t="shared" si="56"/>
        <v/>
      </c>
      <c r="V118" s="30" t="str">
        <f t="shared" si="57"/>
        <v/>
      </c>
      <c r="W118" s="30" t="str">
        <f t="shared" si="58"/>
        <v/>
      </c>
      <c r="X118" s="30" t="str">
        <f t="shared" si="59"/>
        <v/>
      </c>
      <c r="Y118" s="30" t="str">
        <f t="shared" si="60"/>
        <v/>
      </c>
      <c r="Z118" s="30" t="str">
        <f t="shared" si="61"/>
        <v/>
      </c>
      <c r="AA118" s="30" t="str">
        <f t="shared" si="62"/>
        <v/>
      </c>
      <c r="AB118" s="30" t="str">
        <f t="shared" si="63"/>
        <v/>
      </c>
      <c r="AC118" s="30" t="str">
        <f t="shared" si="64"/>
        <v/>
      </c>
      <c r="AD118" s="30" t="str">
        <f t="shared" si="65"/>
        <v/>
      </c>
      <c r="AE118" s="30" t="str">
        <f t="shared" si="66"/>
        <v/>
      </c>
      <c r="AF118" s="30" t="str">
        <f t="shared" si="72"/>
        <v/>
      </c>
      <c r="AG118" s="30" t="str">
        <f t="shared" si="73"/>
        <v/>
      </c>
      <c r="AH118" s="30" t="str">
        <f t="shared" si="74"/>
        <v/>
      </c>
      <c r="AI118" s="30" t="str">
        <f t="shared" si="75"/>
        <v/>
      </c>
      <c r="AJ118" s="30" t="str">
        <f t="shared" si="76"/>
        <v/>
      </c>
      <c r="AK118" s="30" t="str">
        <f t="shared" si="77"/>
        <v/>
      </c>
      <c r="AL118" s="30" t="str">
        <f t="shared" si="78"/>
        <v/>
      </c>
      <c r="AM118" s="30" t="str">
        <f t="shared" si="79"/>
        <v/>
      </c>
      <c r="AN118" s="30" t="str">
        <f t="shared" si="80"/>
        <v/>
      </c>
      <c r="AO118" s="30" t="str">
        <f t="shared" si="81"/>
        <v/>
      </c>
      <c r="AP118" s="30" t="str">
        <f t="shared" si="82"/>
        <v/>
      </c>
      <c r="AQ118" s="30" t="str">
        <f t="shared" si="83"/>
        <v/>
      </c>
      <c r="AR118" s="30" t="str">
        <f t="shared" si="84"/>
        <v/>
      </c>
      <c r="AS118" s="30" t="str">
        <f t="shared" si="85"/>
        <v/>
      </c>
      <c r="AT118" t="str">
        <f t="shared" si="86"/>
        <v/>
      </c>
      <c r="AU118" t="str">
        <f t="shared" si="87"/>
        <v/>
      </c>
    </row>
    <row r="119" spans="1:47" ht="22" customHeight="1" x14ac:dyDescent="0.2">
      <c r="A119" s="31"/>
      <c r="B119" s="31"/>
      <c r="C119" s="32" t="str">
        <f t="shared" si="88"/>
        <v/>
      </c>
      <c r="D119" s="33"/>
      <c r="E119" s="34"/>
      <c r="F119" s="34"/>
      <c r="G119" s="34"/>
      <c r="H119" s="35"/>
      <c r="I119" s="35" t="str">
        <f t="shared" si="54"/>
        <v/>
      </c>
      <c r="J119" s="35" t="str">
        <f t="shared" si="70"/>
        <v/>
      </c>
      <c r="K119" s="34"/>
      <c r="L119" s="35"/>
      <c r="M119" s="61" t="str">
        <f t="shared" si="71"/>
        <v/>
      </c>
      <c r="N119" s="35"/>
      <c r="O119" s="34"/>
      <c r="P119" s="35"/>
      <c r="Q119" s="35"/>
      <c r="R119" s="36"/>
      <c r="S119" s="30" t="str">
        <f t="shared" si="55"/>
        <v/>
      </c>
      <c r="T119" s="6" t="str">
        <f>IF($D119="Villa Elena",COUNTIF($D$3:$D119,"Villa Elena"),"")</f>
        <v/>
      </c>
      <c r="U119" s="30" t="str">
        <f t="shared" si="56"/>
        <v/>
      </c>
      <c r="V119" s="30" t="str">
        <f t="shared" si="57"/>
        <v/>
      </c>
      <c r="W119" s="30" t="str">
        <f t="shared" si="58"/>
        <v/>
      </c>
      <c r="X119" s="30" t="str">
        <f t="shared" si="59"/>
        <v/>
      </c>
      <c r="Y119" s="30" t="str">
        <f t="shared" si="60"/>
        <v/>
      </c>
      <c r="Z119" s="30" t="str">
        <f t="shared" si="61"/>
        <v/>
      </c>
      <c r="AA119" s="30" t="str">
        <f t="shared" si="62"/>
        <v/>
      </c>
      <c r="AB119" s="30" t="str">
        <f t="shared" si="63"/>
        <v/>
      </c>
      <c r="AC119" s="30" t="str">
        <f t="shared" si="64"/>
        <v/>
      </c>
      <c r="AD119" s="30" t="str">
        <f t="shared" si="65"/>
        <v/>
      </c>
      <c r="AE119" s="30" t="str">
        <f t="shared" si="66"/>
        <v/>
      </c>
      <c r="AF119" s="30" t="str">
        <f t="shared" si="72"/>
        <v/>
      </c>
      <c r="AG119" s="30" t="str">
        <f t="shared" si="73"/>
        <v/>
      </c>
      <c r="AH119" s="30" t="str">
        <f t="shared" si="74"/>
        <v/>
      </c>
      <c r="AI119" s="30" t="str">
        <f t="shared" si="75"/>
        <v/>
      </c>
      <c r="AJ119" s="30" t="str">
        <f t="shared" si="76"/>
        <v/>
      </c>
      <c r="AK119" s="30" t="str">
        <f t="shared" si="77"/>
        <v/>
      </c>
      <c r="AL119" s="30" t="str">
        <f t="shared" si="78"/>
        <v/>
      </c>
      <c r="AM119" s="30" t="str">
        <f t="shared" si="79"/>
        <v/>
      </c>
      <c r="AN119" s="30" t="str">
        <f t="shared" si="80"/>
        <v/>
      </c>
      <c r="AO119" s="30" t="str">
        <f t="shared" si="81"/>
        <v/>
      </c>
      <c r="AP119" s="30" t="str">
        <f t="shared" si="82"/>
        <v/>
      </c>
      <c r="AQ119" s="30" t="str">
        <f t="shared" si="83"/>
        <v/>
      </c>
      <c r="AR119" s="30" t="str">
        <f t="shared" si="84"/>
        <v/>
      </c>
      <c r="AS119" s="30" t="str">
        <f t="shared" si="85"/>
        <v/>
      </c>
      <c r="AT119" t="str">
        <f t="shared" si="86"/>
        <v/>
      </c>
      <c r="AU119" t="str">
        <f t="shared" si="87"/>
        <v/>
      </c>
    </row>
    <row r="120" spans="1:47" ht="22" customHeight="1" x14ac:dyDescent="0.2">
      <c r="A120" s="31"/>
      <c r="B120" s="31"/>
      <c r="C120" s="32" t="str">
        <f t="shared" si="88"/>
        <v/>
      </c>
      <c r="D120" s="33"/>
      <c r="E120" s="34"/>
      <c r="F120" s="34"/>
      <c r="G120" s="34"/>
      <c r="H120" s="35"/>
      <c r="I120" s="35" t="str">
        <f t="shared" si="54"/>
        <v/>
      </c>
      <c r="J120" s="35" t="str">
        <f t="shared" si="70"/>
        <v/>
      </c>
      <c r="K120" s="34"/>
      <c r="L120" s="35"/>
      <c r="M120" s="61" t="str">
        <f t="shared" si="71"/>
        <v/>
      </c>
      <c r="N120" s="35"/>
      <c r="O120" s="34"/>
      <c r="P120" s="35"/>
      <c r="Q120" s="35"/>
      <c r="R120" s="36"/>
      <c r="S120" s="30" t="str">
        <f t="shared" si="55"/>
        <v/>
      </c>
      <c r="T120" s="6" t="str">
        <f>IF($D120="Villa Elena",COUNTIF($D$3:$D120,"Villa Elena"),"")</f>
        <v/>
      </c>
      <c r="U120" s="30" t="str">
        <f t="shared" si="56"/>
        <v/>
      </c>
      <c r="V120" s="30" t="str">
        <f t="shared" si="57"/>
        <v/>
      </c>
      <c r="W120" s="30" t="str">
        <f t="shared" si="58"/>
        <v/>
      </c>
      <c r="X120" s="30" t="str">
        <f t="shared" si="59"/>
        <v/>
      </c>
      <c r="Y120" s="30" t="str">
        <f t="shared" si="60"/>
        <v/>
      </c>
      <c r="Z120" s="30" t="str">
        <f t="shared" si="61"/>
        <v/>
      </c>
      <c r="AA120" s="30" t="str">
        <f t="shared" si="62"/>
        <v/>
      </c>
      <c r="AB120" s="30" t="str">
        <f t="shared" si="63"/>
        <v/>
      </c>
      <c r="AC120" s="30" t="str">
        <f t="shared" si="64"/>
        <v/>
      </c>
      <c r="AD120" s="30" t="str">
        <f t="shared" si="65"/>
        <v/>
      </c>
      <c r="AE120" s="30" t="str">
        <f t="shared" si="66"/>
        <v/>
      </c>
      <c r="AF120" s="30" t="str">
        <f t="shared" si="72"/>
        <v/>
      </c>
      <c r="AG120" s="30" t="str">
        <f t="shared" si="73"/>
        <v/>
      </c>
      <c r="AH120" s="30" t="str">
        <f t="shared" si="74"/>
        <v/>
      </c>
      <c r="AI120" s="30" t="str">
        <f t="shared" si="75"/>
        <v/>
      </c>
      <c r="AJ120" s="30" t="str">
        <f t="shared" si="76"/>
        <v/>
      </c>
      <c r="AK120" s="30" t="str">
        <f t="shared" si="77"/>
        <v/>
      </c>
      <c r="AL120" s="30" t="str">
        <f t="shared" si="78"/>
        <v/>
      </c>
      <c r="AM120" s="30" t="str">
        <f t="shared" si="79"/>
        <v/>
      </c>
      <c r="AN120" s="30" t="str">
        <f t="shared" si="80"/>
        <v/>
      </c>
      <c r="AO120" s="30" t="str">
        <f t="shared" si="81"/>
        <v/>
      </c>
      <c r="AP120" s="30" t="str">
        <f t="shared" si="82"/>
        <v/>
      </c>
      <c r="AQ120" s="30" t="str">
        <f t="shared" si="83"/>
        <v/>
      </c>
      <c r="AR120" s="30" t="str">
        <f t="shared" si="84"/>
        <v/>
      </c>
      <c r="AS120" s="30" t="str">
        <f t="shared" si="85"/>
        <v/>
      </c>
      <c r="AT120" t="str">
        <f t="shared" si="86"/>
        <v/>
      </c>
      <c r="AU120" t="str">
        <f t="shared" si="87"/>
        <v/>
      </c>
    </row>
    <row r="121" spans="1:47" ht="22" customHeight="1" x14ac:dyDescent="0.2">
      <c r="A121" s="31"/>
      <c r="B121" s="31"/>
      <c r="C121" s="32" t="str">
        <f t="shared" si="88"/>
        <v/>
      </c>
      <c r="D121" s="33"/>
      <c r="E121" s="34"/>
      <c r="F121" s="34"/>
      <c r="G121" s="34"/>
      <c r="H121" s="35"/>
      <c r="I121" s="35" t="str">
        <f t="shared" si="54"/>
        <v/>
      </c>
      <c r="J121" s="35" t="str">
        <f t="shared" si="70"/>
        <v/>
      </c>
      <c r="K121" s="34"/>
      <c r="L121" s="35"/>
      <c r="M121" s="61" t="str">
        <f t="shared" si="71"/>
        <v/>
      </c>
      <c r="N121" s="35"/>
      <c r="O121" s="34"/>
      <c r="P121" s="35"/>
      <c r="Q121" s="35"/>
      <c r="R121" s="36"/>
      <c r="S121" s="30" t="str">
        <f t="shared" si="55"/>
        <v/>
      </c>
      <c r="T121" s="6" t="str">
        <f>IF($D121="Villa Elena",COUNTIF($D$3:$D121,"Villa Elena"),"")</f>
        <v/>
      </c>
      <c r="U121" s="30" t="str">
        <f t="shared" si="56"/>
        <v/>
      </c>
      <c r="V121" s="30" t="str">
        <f t="shared" si="57"/>
        <v/>
      </c>
      <c r="W121" s="30" t="str">
        <f t="shared" si="58"/>
        <v/>
      </c>
      <c r="X121" s="30" t="str">
        <f t="shared" si="59"/>
        <v/>
      </c>
      <c r="Y121" s="30" t="str">
        <f t="shared" si="60"/>
        <v/>
      </c>
      <c r="Z121" s="30" t="str">
        <f t="shared" si="61"/>
        <v/>
      </c>
      <c r="AA121" s="30" t="str">
        <f t="shared" si="62"/>
        <v/>
      </c>
      <c r="AB121" s="30" t="str">
        <f t="shared" si="63"/>
        <v/>
      </c>
      <c r="AC121" s="30" t="str">
        <f t="shared" si="64"/>
        <v/>
      </c>
      <c r="AD121" s="30" t="str">
        <f t="shared" si="65"/>
        <v/>
      </c>
      <c r="AE121" s="30" t="str">
        <f t="shared" si="66"/>
        <v/>
      </c>
      <c r="AF121" s="30" t="str">
        <f t="shared" si="72"/>
        <v/>
      </c>
      <c r="AG121" s="30" t="str">
        <f t="shared" si="73"/>
        <v/>
      </c>
      <c r="AH121" s="30" t="str">
        <f t="shared" si="74"/>
        <v/>
      </c>
      <c r="AI121" s="30" t="str">
        <f t="shared" si="75"/>
        <v/>
      </c>
      <c r="AJ121" s="30" t="str">
        <f t="shared" si="76"/>
        <v/>
      </c>
      <c r="AK121" s="30" t="str">
        <f t="shared" si="77"/>
        <v/>
      </c>
      <c r="AL121" s="30" t="str">
        <f t="shared" si="78"/>
        <v/>
      </c>
      <c r="AM121" s="30" t="str">
        <f t="shared" si="79"/>
        <v/>
      </c>
      <c r="AN121" s="30" t="str">
        <f t="shared" si="80"/>
        <v/>
      </c>
      <c r="AO121" s="30" t="str">
        <f t="shared" si="81"/>
        <v/>
      </c>
      <c r="AP121" s="30" t="str">
        <f t="shared" si="82"/>
        <v/>
      </c>
      <c r="AQ121" s="30" t="str">
        <f t="shared" si="83"/>
        <v/>
      </c>
      <c r="AR121" s="30" t="str">
        <f t="shared" si="84"/>
        <v/>
      </c>
      <c r="AS121" s="30" t="str">
        <f t="shared" si="85"/>
        <v/>
      </c>
      <c r="AT121" t="str">
        <f t="shared" si="86"/>
        <v/>
      </c>
      <c r="AU121" t="str">
        <f t="shared" si="87"/>
        <v/>
      </c>
    </row>
    <row r="122" spans="1:47" ht="22" customHeight="1" x14ac:dyDescent="0.2">
      <c r="A122" s="31"/>
      <c r="B122" s="31"/>
      <c r="C122" s="32" t="str">
        <f t="shared" si="88"/>
        <v/>
      </c>
      <c r="D122" s="33"/>
      <c r="E122" s="34"/>
      <c r="F122" s="34"/>
      <c r="G122" s="34"/>
      <c r="H122" s="35"/>
      <c r="I122" s="35" t="str">
        <f t="shared" si="54"/>
        <v/>
      </c>
      <c r="J122" s="35" t="str">
        <f t="shared" si="70"/>
        <v/>
      </c>
      <c r="K122" s="34"/>
      <c r="L122" s="35"/>
      <c r="M122" s="61" t="str">
        <f t="shared" si="71"/>
        <v/>
      </c>
      <c r="N122" s="35"/>
      <c r="O122" s="34"/>
      <c r="P122" s="35"/>
      <c r="Q122" s="35"/>
      <c r="R122" s="36"/>
      <c r="S122" s="30" t="str">
        <f t="shared" si="55"/>
        <v/>
      </c>
      <c r="T122" s="6" t="str">
        <f>IF($D122="Villa Elena",COUNTIF($D$3:$D122,"Villa Elena"),"")</f>
        <v/>
      </c>
      <c r="U122" s="30" t="str">
        <f t="shared" si="56"/>
        <v/>
      </c>
      <c r="V122" s="30" t="str">
        <f t="shared" si="57"/>
        <v/>
      </c>
      <c r="W122" s="30" t="str">
        <f t="shared" si="58"/>
        <v/>
      </c>
      <c r="X122" s="30" t="str">
        <f t="shared" si="59"/>
        <v/>
      </c>
      <c r="Y122" s="30" t="str">
        <f t="shared" si="60"/>
        <v/>
      </c>
      <c r="Z122" s="30" t="str">
        <f t="shared" si="61"/>
        <v/>
      </c>
      <c r="AA122" s="30" t="str">
        <f t="shared" si="62"/>
        <v/>
      </c>
      <c r="AB122" s="30" t="str">
        <f t="shared" si="63"/>
        <v/>
      </c>
      <c r="AC122" s="30" t="str">
        <f t="shared" si="64"/>
        <v/>
      </c>
      <c r="AD122" s="30" t="str">
        <f t="shared" si="65"/>
        <v/>
      </c>
      <c r="AE122" s="30" t="str">
        <f t="shared" si="66"/>
        <v/>
      </c>
      <c r="AF122" s="30" t="str">
        <f t="shared" si="72"/>
        <v/>
      </c>
      <c r="AG122" s="30" t="str">
        <f t="shared" si="73"/>
        <v/>
      </c>
      <c r="AH122" s="30" t="str">
        <f t="shared" si="74"/>
        <v/>
      </c>
      <c r="AI122" s="30" t="str">
        <f t="shared" si="75"/>
        <v/>
      </c>
      <c r="AJ122" s="30" t="str">
        <f t="shared" si="76"/>
        <v/>
      </c>
      <c r="AK122" s="30" t="str">
        <f t="shared" si="77"/>
        <v/>
      </c>
      <c r="AL122" s="30" t="str">
        <f t="shared" si="78"/>
        <v/>
      </c>
      <c r="AM122" s="30" t="str">
        <f t="shared" si="79"/>
        <v/>
      </c>
      <c r="AN122" s="30" t="str">
        <f t="shared" si="80"/>
        <v/>
      </c>
      <c r="AO122" s="30" t="str">
        <f t="shared" si="81"/>
        <v/>
      </c>
      <c r="AP122" s="30" t="str">
        <f t="shared" si="82"/>
        <v/>
      </c>
      <c r="AQ122" s="30" t="str">
        <f t="shared" si="83"/>
        <v/>
      </c>
      <c r="AR122" s="30" t="str">
        <f t="shared" si="84"/>
        <v/>
      </c>
      <c r="AS122" s="30" t="str">
        <f t="shared" si="85"/>
        <v/>
      </c>
      <c r="AT122" t="str">
        <f t="shared" si="86"/>
        <v/>
      </c>
      <c r="AU122" t="str">
        <f t="shared" si="87"/>
        <v/>
      </c>
    </row>
    <row r="123" spans="1:47" ht="22" customHeight="1" x14ac:dyDescent="0.2">
      <c r="A123" s="31"/>
      <c r="B123" s="31"/>
      <c r="C123" s="32" t="str">
        <f t="shared" si="88"/>
        <v/>
      </c>
      <c r="D123" s="33"/>
      <c r="E123" s="34"/>
      <c r="F123" s="34"/>
      <c r="G123" s="34"/>
      <c r="H123" s="35"/>
      <c r="I123" s="35" t="str">
        <f t="shared" si="54"/>
        <v/>
      </c>
      <c r="J123" s="35" t="str">
        <f t="shared" si="70"/>
        <v/>
      </c>
      <c r="K123" s="34"/>
      <c r="L123" s="35"/>
      <c r="M123" s="61" t="str">
        <f t="shared" si="71"/>
        <v/>
      </c>
      <c r="N123" s="35"/>
      <c r="O123" s="34"/>
      <c r="P123" s="35"/>
      <c r="Q123" s="35"/>
      <c r="R123" s="36"/>
      <c r="S123" s="30" t="str">
        <f t="shared" si="55"/>
        <v/>
      </c>
      <c r="T123" s="6" t="str">
        <f>IF($D123="Villa Elena",COUNTIF($D$3:$D123,"Villa Elena"),"")</f>
        <v/>
      </c>
      <c r="U123" s="30" t="str">
        <f t="shared" si="56"/>
        <v/>
      </c>
      <c r="V123" s="30" t="str">
        <f t="shared" si="57"/>
        <v/>
      </c>
      <c r="W123" s="30" t="str">
        <f t="shared" si="58"/>
        <v/>
      </c>
      <c r="X123" s="30" t="str">
        <f t="shared" si="59"/>
        <v/>
      </c>
      <c r="Y123" s="30" t="str">
        <f t="shared" si="60"/>
        <v/>
      </c>
      <c r="Z123" s="30" t="str">
        <f t="shared" si="61"/>
        <v/>
      </c>
      <c r="AA123" s="30" t="str">
        <f t="shared" si="62"/>
        <v/>
      </c>
      <c r="AB123" s="30" t="str">
        <f t="shared" si="63"/>
        <v/>
      </c>
      <c r="AC123" s="30" t="str">
        <f t="shared" si="64"/>
        <v/>
      </c>
      <c r="AD123" s="30" t="str">
        <f t="shared" si="65"/>
        <v/>
      </c>
      <c r="AE123" s="30" t="str">
        <f t="shared" si="66"/>
        <v/>
      </c>
      <c r="AF123" s="30" t="str">
        <f t="shared" si="72"/>
        <v/>
      </c>
      <c r="AG123" s="30" t="str">
        <f t="shared" si="73"/>
        <v/>
      </c>
      <c r="AH123" s="30" t="str">
        <f t="shared" si="74"/>
        <v/>
      </c>
      <c r="AI123" s="30" t="str">
        <f t="shared" si="75"/>
        <v/>
      </c>
      <c r="AJ123" s="30" t="str">
        <f t="shared" si="76"/>
        <v/>
      </c>
      <c r="AK123" s="30" t="str">
        <f t="shared" si="77"/>
        <v/>
      </c>
      <c r="AL123" s="30" t="str">
        <f t="shared" si="78"/>
        <v/>
      </c>
      <c r="AM123" s="30" t="str">
        <f t="shared" si="79"/>
        <v/>
      </c>
      <c r="AN123" s="30" t="str">
        <f t="shared" si="80"/>
        <v/>
      </c>
      <c r="AO123" s="30" t="str">
        <f t="shared" si="81"/>
        <v/>
      </c>
      <c r="AP123" s="30" t="str">
        <f t="shared" si="82"/>
        <v/>
      </c>
      <c r="AQ123" s="30" t="str">
        <f t="shared" si="83"/>
        <v/>
      </c>
      <c r="AR123" s="30" t="str">
        <f t="shared" si="84"/>
        <v/>
      </c>
      <c r="AS123" s="30" t="str">
        <f t="shared" si="85"/>
        <v/>
      </c>
      <c r="AT123" t="str">
        <f t="shared" si="86"/>
        <v/>
      </c>
      <c r="AU123" t="str">
        <f t="shared" si="87"/>
        <v/>
      </c>
    </row>
    <row r="124" spans="1:47" ht="22" customHeight="1" x14ac:dyDescent="0.2">
      <c r="A124" s="31"/>
      <c r="B124" s="31"/>
      <c r="C124" s="32" t="str">
        <f t="shared" si="88"/>
        <v/>
      </c>
      <c r="D124" s="33"/>
      <c r="E124" s="34"/>
      <c r="F124" s="34"/>
      <c r="G124" s="34"/>
      <c r="H124" s="35"/>
      <c r="I124" s="35" t="str">
        <f t="shared" si="54"/>
        <v/>
      </c>
      <c r="J124" s="35" t="str">
        <f t="shared" si="70"/>
        <v/>
      </c>
      <c r="K124" s="34"/>
      <c r="L124" s="35"/>
      <c r="M124" s="61" t="str">
        <f t="shared" si="71"/>
        <v/>
      </c>
      <c r="N124" s="35"/>
      <c r="O124" s="34"/>
      <c r="P124" s="35"/>
      <c r="Q124" s="35"/>
      <c r="R124" s="36"/>
      <c r="S124" s="30" t="str">
        <f t="shared" si="55"/>
        <v/>
      </c>
      <c r="T124" s="6" t="str">
        <f>IF($D124="Villa Elena",COUNTIF($D$3:$D124,"Villa Elena"),"")</f>
        <v/>
      </c>
      <c r="U124" s="30" t="str">
        <f t="shared" si="56"/>
        <v/>
      </c>
      <c r="V124" s="30" t="str">
        <f t="shared" si="57"/>
        <v/>
      </c>
      <c r="W124" s="30" t="str">
        <f t="shared" si="58"/>
        <v/>
      </c>
      <c r="X124" s="30" t="str">
        <f t="shared" si="59"/>
        <v/>
      </c>
      <c r="Y124" s="30" t="str">
        <f t="shared" si="60"/>
        <v/>
      </c>
      <c r="Z124" s="30" t="str">
        <f t="shared" si="61"/>
        <v/>
      </c>
      <c r="AA124" s="30" t="str">
        <f t="shared" si="62"/>
        <v/>
      </c>
      <c r="AB124" s="30" t="str">
        <f t="shared" si="63"/>
        <v/>
      </c>
      <c r="AC124" s="30" t="str">
        <f t="shared" si="64"/>
        <v/>
      </c>
      <c r="AD124" s="30" t="str">
        <f t="shared" si="65"/>
        <v/>
      </c>
      <c r="AE124" s="30" t="str">
        <f t="shared" si="66"/>
        <v/>
      </c>
      <c r="AF124" s="30" t="str">
        <f t="shared" si="72"/>
        <v/>
      </c>
      <c r="AG124" s="30" t="str">
        <f t="shared" si="73"/>
        <v/>
      </c>
      <c r="AH124" s="30" t="str">
        <f t="shared" si="74"/>
        <v/>
      </c>
      <c r="AI124" s="30" t="str">
        <f t="shared" si="75"/>
        <v/>
      </c>
      <c r="AJ124" s="30" t="str">
        <f t="shared" si="76"/>
        <v/>
      </c>
      <c r="AK124" s="30" t="str">
        <f t="shared" si="77"/>
        <v/>
      </c>
      <c r="AL124" s="30" t="str">
        <f t="shared" si="78"/>
        <v/>
      </c>
      <c r="AM124" s="30" t="str">
        <f t="shared" si="79"/>
        <v/>
      </c>
      <c r="AN124" s="30" t="str">
        <f t="shared" si="80"/>
        <v/>
      </c>
      <c r="AO124" s="30" t="str">
        <f t="shared" si="81"/>
        <v/>
      </c>
      <c r="AP124" s="30" t="str">
        <f t="shared" si="82"/>
        <v/>
      </c>
      <c r="AQ124" s="30" t="str">
        <f t="shared" si="83"/>
        <v/>
      </c>
      <c r="AR124" s="30" t="str">
        <f t="shared" si="84"/>
        <v/>
      </c>
      <c r="AS124" s="30" t="str">
        <f t="shared" si="85"/>
        <v/>
      </c>
      <c r="AT124" t="str">
        <f t="shared" si="86"/>
        <v/>
      </c>
      <c r="AU124" t="str">
        <f t="shared" si="87"/>
        <v/>
      </c>
    </row>
    <row r="125" spans="1:47" ht="22" customHeight="1" x14ac:dyDescent="0.2">
      <c r="A125" s="31"/>
      <c r="B125" s="31"/>
      <c r="C125" s="32" t="str">
        <f t="shared" si="88"/>
        <v/>
      </c>
      <c r="D125" s="33"/>
      <c r="E125" s="34"/>
      <c r="F125" s="34"/>
      <c r="G125" s="34"/>
      <c r="H125" s="35"/>
      <c r="I125" s="35" t="str">
        <f t="shared" si="54"/>
        <v/>
      </c>
      <c r="J125" s="35" t="str">
        <f t="shared" si="70"/>
        <v/>
      </c>
      <c r="K125" s="34"/>
      <c r="L125" s="35"/>
      <c r="M125" s="61" t="str">
        <f t="shared" si="71"/>
        <v/>
      </c>
      <c r="N125" s="35"/>
      <c r="O125" s="34"/>
      <c r="P125" s="35"/>
      <c r="Q125" s="35"/>
      <c r="R125" s="36"/>
      <c r="S125" s="30" t="str">
        <f t="shared" si="55"/>
        <v/>
      </c>
      <c r="T125" s="6" t="str">
        <f>IF($D125="Villa Elena",COUNTIF($D$3:$D125,"Villa Elena"),"")</f>
        <v/>
      </c>
      <c r="U125" s="30" t="str">
        <f t="shared" si="56"/>
        <v/>
      </c>
      <c r="V125" s="30" t="str">
        <f t="shared" si="57"/>
        <v/>
      </c>
      <c r="W125" s="30" t="str">
        <f t="shared" si="58"/>
        <v/>
      </c>
      <c r="X125" s="30" t="str">
        <f t="shared" si="59"/>
        <v/>
      </c>
      <c r="Y125" s="30" t="str">
        <f t="shared" si="60"/>
        <v/>
      </c>
      <c r="Z125" s="30" t="str">
        <f t="shared" si="61"/>
        <v/>
      </c>
      <c r="AA125" s="30" t="str">
        <f t="shared" si="62"/>
        <v/>
      </c>
      <c r="AB125" s="30" t="str">
        <f t="shared" si="63"/>
        <v/>
      </c>
      <c r="AC125" s="30" t="str">
        <f t="shared" si="64"/>
        <v/>
      </c>
      <c r="AD125" s="30" t="str">
        <f t="shared" si="65"/>
        <v/>
      </c>
      <c r="AE125" s="30" t="str">
        <f t="shared" si="66"/>
        <v/>
      </c>
      <c r="AF125" s="30" t="str">
        <f t="shared" si="72"/>
        <v/>
      </c>
      <c r="AG125" s="30" t="str">
        <f t="shared" si="73"/>
        <v/>
      </c>
      <c r="AH125" s="30" t="str">
        <f t="shared" si="74"/>
        <v/>
      </c>
      <c r="AI125" s="30" t="str">
        <f t="shared" si="75"/>
        <v/>
      </c>
      <c r="AJ125" s="30" t="str">
        <f t="shared" si="76"/>
        <v/>
      </c>
      <c r="AK125" s="30" t="str">
        <f t="shared" si="77"/>
        <v/>
      </c>
      <c r="AL125" s="30" t="str">
        <f t="shared" si="78"/>
        <v/>
      </c>
      <c r="AM125" s="30" t="str">
        <f t="shared" si="79"/>
        <v/>
      </c>
      <c r="AN125" s="30" t="str">
        <f t="shared" si="80"/>
        <v/>
      </c>
      <c r="AO125" s="30" t="str">
        <f t="shared" si="81"/>
        <v/>
      </c>
      <c r="AP125" s="30" t="str">
        <f t="shared" si="82"/>
        <v/>
      </c>
      <c r="AQ125" s="30" t="str">
        <f t="shared" si="83"/>
        <v/>
      </c>
      <c r="AR125" s="30" t="str">
        <f t="shared" si="84"/>
        <v/>
      </c>
      <c r="AS125" s="30" t="str">
        <f t="shared" si="85"/>
        <v/>
      </c>
      <c r="AT125" t="str">
        <f t="shared" si="86"/>
        <v/>
      </c>
      <c r="AU125" t="str">
        <f t="shared" si="87"/>
        <v/>
      </c>
    </row>
    <row r="126" spans="1:47" ht="22" customHeight="1" x14ac:dyDescent="0.2">
      <c r="A126" s="31"/>
      <c r="B126" s="31"/>
      <c r="C126" s="32" t="str">
        <f t="shared" si="88"/>
        <v/>
      </c>
      <c r="D126" s="33"/>
      <c r="E126" s="34"/>
      <c r="F126" s="34"/>
      <c r="G126" s="34"/>
      <c r="H126" s="35"/>
      <c r="I126" s="35" t="str">
        <f t="shared" si="54"/>
        <v/>
      </c>
      <c r="J126" s="35" t="str">
        <f t="shared" si="70"/>
        <v/>
      </c>
      <c r="K126" s="34"/>
      <c r="L126" s="35"/>
      <c r="M126" s="61" t="str">
        <f t="shared" si="71"/>
        <v/>
      </c>
      <c r="N126" s="35"/>
      <c r="O126" s="34"/>
      <c r="P126" s="35"/>
      <c r="Q126" s="35"/>
      <c r="R126" s="36"/>
      <c r="S126" s="30" t="str">
        <f t="shared" si="55"/>
        <v/>
      </c>
      <c r="T126" s="6" t="str">
        <f>IF($D126="Villa Elena",COUNTIF($D$3:$D126,"Villa Elena"),"")</f>
        <v/>
      </c>
      <c r="U126" s="30" t="str">
        <f t="shared" si="56"/>
        <v/>
      </c>
      <c r="V126" s="30" t="str">
        <f t="shared" si="57"/>
        <v/>
      </c>
      <c r="W126" s="30" t="str">
        <f t="shared" si="58"/>
        <v/>
      </c>
      <c r="X126" s="30" t="str">
        <f t="shared" si="59"/>
        <v/>
      </c>
      <c r="Y126" s="30" t="str">
        <f t="shared" si="60"/>
        <v/>
      </c>
      <c r="Z126" s="30" t="str">
        <f t="shared" si="61"/>
        <v/>
      </c>
      <c r="AA126" s="30" t="str">
        <f t="shared" si="62"/>
        <v/>
      </c>
      <c r="AB126" s="30" t="str">
        <f t="shared" si="63"/>
        <v/>
      </c>
      <c r="AC126" s="30" t="str">
        <f t="shared" si="64"/>
        <v/>
      </c>
      <c r="AD126" s="30" t="str">
        <f t="shared" si="65"/>
        <v/>
      </c>
      <c r="AE126" s="30" t="str">
        <f t="shared" si="66"/>
        <v/>
      </c>
      <c r="AF126" s="30" t="str">
        <f t="shared" si="72"/>
        <v/>
      </c>
      <c r="AG126" s="30" t="str">
        <f t="shared" si="73"/>
        <v/>
      </c>
      <c r="AH126" s="30" t="str">
        <f t="shared" si="74"/>
        <v/>
      </c>
      <c r="AI126" s="30" t="str">
        <f t="shared" si="75"/>
        <v/>
      </c>
      <c r="AJ126" s="30" t="str">
        <f t="shared" si="76"/>
        <v/>
      </c>
      <c r="AK126" s="30" t="str">
        <f t="shared" si="77"/>
        <v/>
      </c>
      <c r="AL126" s="30" t="str">
        <f t="shared" si="78"/>
        <v/>
      </c>
      <c r="AM126" s="30" t="str">
        <f t="shared" si="79"/>
        <v/>
      </c>
      <c r="AN126" s="30" t="str">
        <f t="shared" si="80"/>
        <v/>
      </c>
      <c r="AO126" s="30" t="str">
        <f t="shared" si="81"/>
        <v/>
      </c>
      <c r="AP126" s="30" t="str">
        <f t="shared" si="82"/>
        <v/>
      </c>
      <c r="AQ126" s="30" t="str">
        <f t="shared" si="83"/>
        <v/>
      </c>
      <c r="AR126" s="30" t="str">
        <f t="shared" si="84"/>
        <v/>
      </c>
      <c r="AS126" s="30" t="str">
        <f t="shared" si="85"/>
        <v/>
      </c>
      <c r="AT126" t="str">
        <f t="shared" si="86"/>
        <v/>
      </c>
      <c r="AU126" t="str">
        <f t="shared" si="87"/>
        <v/>
      </c>
    </row>
    <row r="127" spans="1:47" ht="22" customHeight="1" x14ac:dyDescent="0.2">
      <c r="A127" s="31"/>
      <c r="B127" s="31"/>
      <c r="C127" s="32" t="str">
        <f t="shared" si="88"/>
        <v/>
      </c>
      <c r="D127" s="33"/>
      <c r="E127" s="34"/>
      <c r="F127" s="34"/>
      <c r="G127" s="34"/>
      <c r="H127" s="35"/>
      <c r="I127" s="35" t="str">
        <f t="shared" si="54"/>
        <v/>
      </c>
      <c r="J127" s="35" t="str">
        <f t="shared" si="70"/>
        <v/>
      </c>
      <c r="K127" s="34"/>
      <c r="L127" s="35"/>
      <c r="M127" s="61" t="str">
        <f t="shared" si="71"/>
        <v/>
      </c>
      <c r="N127" s="35"/>
      <c r="O127" s="34"/>
      <c r="P127" s="35"/>
      <c r="Q127" s="35"/>
      <c r="R127" s="36"/>
      <c r="S127" s="30" t="str">
        <f t="shared" si="55"/>
        <v/>
      </c>
      <c r="T127" s="6" t="str">
        <f>IF($D127="Villa Elena",COUNTIF($D$3:$D127,"Villa Elena"),"")</f>
        <v/>
      </c>
      <c r="U127" s="30" t="str">
        <f t="shared" si="56"/>
        <v/>
      </c>
      <c r="V127" s="30" t="str">
        <f t="shared" si="57"/>
        <v/>
      </c>
      <c r="W127" s="30" t="str">
        <f t="shared" si="58"/>
        <v/>
      </c>
      <c r="X127" s="30" t="str">
        <f t="shared" si="59"/>
        <v/>
      </c>
      <c r="Y127" s="30" t="str">
        <f t="shared" si="60"/>
        <v/>
      </c>
      <c r="Z127" s="30" t="str">
        <f t="shared" si="61"/>
        <v/>
      </c>
      <c r="AA127" s="30" t="str">
        <f t="shared" si="62"/>
        <v/>
      </c>
      <c r="AB127" s="30" t="str">
        <f t="shared" si="63"/>
        <v/>
      </c>
      <c r="AC127" s="30" t="str">
        <f t="shared" si="64"/>
        <v/>
      </c>
      <c r="AD127" s="30" t="str">
        <f t="shared" si="65"/>
        <v/>
      </c>
      <c r="AE127" s="30" t="str">
        <f t="shared" si="66"/>
        <v/>
      </c>
      <c r="AF127" s="30" t="str">
        <f t="shared" si="72"/>
        <v/>
      </c>
      <c r="AG127" s="30" t="str">
        <f t="shared" si="73"/>
        <v/>
      </c>
      <c r="AH127" s="30" t="str">
        <f t="shared" si="74"/>
        <v/>
      </c>
      <c r="AI127" s="30" t="str">
        <f t="shared" si="75"/>
        <v/>
      </c>
      <c r="AJ127" s="30" t="str">
        <f t="shared" si="76"/>
        <v/>
      </c>
      <c r="AK127" s="30" t="str">
        <f t="shared" si="77"/>
        <v/>
      </c>
      <c r="AL127" s="30" t="str">
        <f t="shared" si="78"/>
        <v/>
      </c>
      <c r="AM127" s="30" t="str">
        <f t="shared" si="79"/>
        <v/>
      </c>
      <c r="AN127" s="30" t="str">
        <f t="shared" si="80"/>
        <v/>
      </c>
      <c r="AO127" s="30" t="str">
        <f t="shared" si="81"/>
        <v/>
      </c>
      <c r="AP127" s="30" t="str">
        <f t="shared" si="82"/>
        <v/>
      </c>
      <c r="AQ127" s="30" t="str">
        <f t="shared" si="83"/>
        <v/>
      </c>
      <c r="AR127" s="30" t="str">
        <f t="shared" si="84"/>
        <v/>
      </c>
      <c r="AS127" s="30" t="str">
        <f t="shared" si="85"/>
        <v/>
      </c>
      <c r="AT127" t="str">
        <f t="shared" si="86"/>
        <v/>
      </c>
      <c r="AU127" t="str">
        <f t="shared" si="87"/>
        <v/>
      </c>
    </row>
    <row r="128" spans="1:47" ht="22" customHeight="1" x14ac:dyDescent="0.2">
      <c r="A128" s="31"/>
      <c r="B128" s="31"/>
      <c r="C128" s="32" t="str">
        <f t="shared" si="88"/>
        <v/>
      </c>
      <c r="D128" s="33"/>
      <c r="E128" s="34"/>
      <c r="F128" s="34"/>
      <c r="G128" s="34"/>
      <c r="H128" s="35"/>
      <c r="I128" s="35" t="str">
        <f t="shared" si="54"/>
        <v/>
      </c>
      <c r="J128" s="35" t="str">
        <f t="shared" si="70"/>
        <v/>
      </c>
      <c r="K128" s="34"/>
      <c r="L128" s="35"/>
      <c r="M128" s="61" t="str">
        <f t="shared" si="71"/>
        <v/>
      </c>
      <c r="N128" s="35"/>
      <c r="O128" s="34"/>
      <c r="P128" s="35"/>
      <c r="Q128" s="35"/>
      <c r="R128" s="36"/>
      <c r="S128" s="30" t="str">
        <f t="shared" si="55"/>
        <v/>
      </c>
      <c r="T128" s="6" t="str">
        <f>IF($D128="Villa Elena",COUNTIF($D$3:$D128,"Villa Elena"),"")</f>
        <v/>
      </c>
      <c r="U128" s="30" t="str">
        <f t="shared" si="56"/>
        <v/>
      </c>
      <c r="V128" s="30" t="str">
        <f t="shared" si="57"/>
        <v/>
      </c>
      <c r="W128" s="30" t="str">
        <f t="shared" si="58"/>
        <v/>
      </c>
      <c r="X128" s="30" t="str">
        <f t="shared" si="59"/>
        <v/>
      </c>
      <c r="Y128" s="30" t="str">
        <f t="shared" si="60"/>
        <v/>
      </c>
      <c r="Z128" s="30" t="str">
        <f t="shared" si="61"/>
        <v/>
      </c>
      <c r="AA128" s="30" t="str">
        <f t="shared" si="62"/>
        <v/>
      </c>
      <c r="AB128" s="30" t="str">
        <f t="shared" si="63"/>
        <v/>
      </c>
      <c r="AC128" s="30" t="str">
        <f t="shared" si="64"/>
        <v/>
      </c>
      <c r="AD128" s="30" t="str">
        <f t="shared" si="65"/>
        <v/>
      </c>
      <c r="AE128" s="30" t="str">
        <f t="shared" si="66"/>
        <v/>
      </c>
      <c r="AF128" s="30" t="str">
        <f t="shared" si="72"/>
        <v/>
      </c>
      <c r="AG128" s="30" t="str">
        <f t="shared" si="73"/>
        <v/>
      </c>
      <c r="AH128" s="30" t="str">
        <f t="shared" si="74"/>
        <v/>
      </c>
      <c r="AI128" s="30" t="str">
        <f t="shared" si="75"/>
        <v/>
      </c>
      <c r="AJ128" s="30" t="str">
        <f t="shared" si="76"/>
        <v/>
      </c>
      <c r="AK128" s="30" t="str">
        <f t="shared" si="77"/>
        <v/>
      </c>
      <c r="AL128" s="30" t="str">
        <f t="shared" si="78"/>
        <v/>
      </c>
      <c r="AM128" s="30" t="str">
        <f t="shared" si="79"/>
        <v/>
      </c>
      <c r="AN128" s="30" t="str">
        <f t="shared" si="80"/>
        <v/>
      </c>
      <c r="AO128" s="30" t="str">
        <f t="shared" si="81"/>
        <v/>
      </c>
      <c r="AP128" s="30" t="str">
        <f t="shared" si="82"/>
        <v/>
      </c>
      <c r="AQ128" s="30" t="str">
        <f t="shared" si="83"/>
        <v/>
      </c>
      <c r="AR128" s="30" t="str">
        <f t="shared" si="84"/>
        <v/>
      </c>
      <c r="AS128" s="30" t="str">
        <f t="shared" si="85"/>
        <v/>
      </c>
      <c r="AT128" t="str">
        <f t="shared" si="86"/>
        <v/>
      </c>
      <c r="AU128" t="str">
        <f t="shared" si="87"/>
        <v/>
      </c>
    </row>
    <row r="129" spans="1:47" ht="22" customHeight="1" x14ac:dyDescent="0.2">
      <c r="A129" s="31"/>
      <c r="B129" s="31"/>
      <c r="C129" s="32" t="str">
        <f t="shared" si="88"/>
        <v/>
      </c>
      <c r="D129" s="33"/>
      <c r="E129" s="34"/>
      <c r="F129" s="34"/>
      <c r="G129" s="34"/>
      <c r="H129" s="35"/>
      <c r="I129" s="35" t="str">
        <f t="shared" si="54"/>
        <v/>
      </c>
      <c r="J129" s="35" t="str">
        <f t="shared" si="70"/>
        <v/>
      </c>
      <c r="K129" s="34"/>
      <c r="L129" s="35"/>
      <c r="M129" s="61" t="str">
        <f t="shared" si="71"/>
        <v/>
      </c>
      <c r="N129" s="35"/>
      <c r="O129" s="34"/>
      <c r="P129" s="35"/>
      <c r="Q129" s="35"/>
      <c r="R129" s="36"/>
      <c r="S129" s="30" t="str">
        <f t="shared" si="55"/>
        <v/>
      </c>
      <c r="T129" s="6" t="str">
        <f>IF($D129="Villa Elena",COUNTIF($D$3:$D129,"Villa Elena"),"")</f>
        <v/>
      </c>
      <c r="U129" s="30" t="str">
        <f t="shared" si="56"/>
        <v/>
      </c>
      <c r="V129" s="30" t="str">
        <f t="shared" si="57"/>
        <v/>
      </c>
      <c r="W129" s="30" t="str">
        <f t="shared" si="58"/>
        <v/>
      </c>
      <c r="X129" s="30" t="str">
        <f t="shared" si="59"/>
        <v/>
      </c>
      <c r="Y129" s="30" t="str">
        <f t="shared" si="60"/>
        <v/>
      </c>
      <c r="Z129" s="30" t="str">
        <f t="shared" si="61"/>
        <v/>
      </c>
      <c r="AA129" s="30" t="str">
        <f t="shared" si="62"/>
        <v/>
      </c>
      <c r="AB129" s="30" t="str">
        <f t="shared" si="63"/>
        <v/>
      </c>
      <c r="AC129" s="30" t="str">
        <f t="shared" si="64"/>
        <v/>
      </c>
      <c r="AD129" s="30" t="str">
        <f t="shared" si="65"/>
        <v/>
      </c>
      <c r="AE129" s="30" t="str">
        <f t="shared" si="66"/>
        <v/>
      </c>
      <c r="AF129" s="30" t="str">
        <f t="shared" si="72"/>
        <v/>
      </c>
      <c r="AG129" s="30" t="str">
        <f t="shared" si="73"/>
        <v/>
      </c>
      <c r="AH129" s="30" t="str">
        <f t="shared" si="74"/>
        <v/>
      </c>
      <c r="AI129" s="30" t="str">
        <f t="shared" si="75"/>
        <v/>
      </c>
      <c r="AJ129" s="30" t="str">
        <f t="shared" si="76"/>
        <v/>
      </c>
      <c r="AK129" s="30" t="str">
        <f t="shared" si="77"/>
        <v/>
      </c>
      <c r="AL129" s="30" t="str">
        <f t="shared" si="78"/>
        <v/>
      </c>
      <c r="AM129" s="30" t="str">
        <f t="shared" si="79"/>
        <v/>
      </c>
      <c r="AN129" s="30" t="str">
        <f t="shared" si="80"/>
        <v/>
      </c>
      <c r="AO129" s="30" t="str">
        <f t="shared" si="81"/>
        <v/>
      </c>
      <c r="AP129" s="30" t="str">
        <f t="shared" si="82"/>
        <v/>
      </c>
      <c r="AQ129" s="30" t="str">
        <f t="shared" si="83"/>
        <v/>
      </c>
      <c r="AR129" s="30" t="str">
        <f t="shared" si="84"/>
        <v/>
      </c>
      <c r="AS129" s="30" t="str">
        <f t="shared" si="85"/>
        <v/>
      </c>
      <c r="AT129" t="str">
        <f t="shared" si="86"/>
        <v/>
      </c>
      <c r="AU129" t="str">
        <f t="shared" si="87"/>
        <v/>
      </c>
    </row>
    <row r="130" spans="1:47" ht="22" customHeight="1" x14ac:dyDescent="0.2">
      <c r="A130" s="31"/>
      <c r="B130" s="31"/>
      <c r="C130" s="32" t="str">
        <f t="shared" si="88"/>
        <v/>
      </c>
      <c r="D130" s="33"/>
      <c r="E130" s="34"/>
      <c r="F130" s="34"/>
      <c r="G130" s="34"/>
      <c r="H130" s="35"/>
      <c r="I130" s="35" t="str">
        <f t="shared" si="54"/>
        <v/>
      </c>
      <c r="J130" s="35" t="str">
        <f t="shared" si="70"/>
        <v/>
      </c>
      <c r="K130" s="34"/>
      <c r="L130" s="35"/>
      <c r="M130" s="61" t="str">
        <f t="shared" si="71"/>
        <v/>
      </c>
      <c r="N130" s="35"/>
      <c r="O130" s="34"/>
      <c r="P130" s="35"/>
      <c r="Q130" s="35"/>
      <c r="R130" s="36"/>
      <c r="S130" s="30" t="str">
        <f t="shared" si="55"/>
        <v/>
      </c>
      <c r="T130" s="6" t="str">
        <f>IF($D130="Villa Elena",COUNTIF($D$3:$D130,"Villa Elena"),"")</f>
        <v/>
      </c>
      <c r="U130" s="30" t="str">
        <f t="shared" si="56"/>
        <v/>
      </c>
      <c r="V130" s="30" t="str">
        <f t="shared" si="57"/>
        <v/>
      </c>
      <c r="W130" s="30" t="str">
        <f t="shared" si="58"/>
        <v/>
      </c>
      <c r="X130" s="30" t="str">
        <f t="shared" si="59"/>
        <v/>
      </c>
      <c r="Y130" s="30" t="str">
        <f t="shared" si="60"/>
        <v/>
      </c>
      <c r="Z130" s="30" t="str">
        <f t="shared" si="61"/>
        <v/>
      </c>
      <c r="AA130" s="30" t="str">
        <f t="shared" si="62"/>
        <v/>
      </c>
      <c r="AB130" s="30" t="str">
        <f t="shared" si="63"/>
        <v/>
      </c>
      <c r="AC130" s="30" t="str">
        <f t="shared" si="64"/>
        <v/>
      </c>
      <c r="AD130" s="30" t="str">
        <f t="shared" si="65"/>
        <v/>
      </c>
      <c r="AE130" s="30" t="str">
        <f t="shared" si="66"/>
        <v/>
      </c>
      <c r="AF130" s="30" t="str">
        <f t="shared" si="72"/>
        <v/>
      </c>
      <c r="AG130" s="30" t="str">
        <f t="shared" si="73"/>
        <v/>
      </c>
      <c r="AH130" s="30" t="str">
        <f t="shared" si="74"/>
        <v/>
      </c>
      <c r="AI130" s="30" t="str">
        <f t="shared" si="75"/>
        <v/>
      </c>
      <c r="AJ130" s="30" t="str">
        <f t="shared" si="76"/>
        <v/>
      </c>
      <c r="AK130" s="30" t="str">
        <f t="shared" si="77"/>
        <v/>
      </c>
      <c r="AL130" s="30" t="str">
        <f t="shared" si="78"/>
        <v/>
      </c>
      <c r="AM130" s="30" t="str">
        <f t="shared" si="79"/>
        <v/>
      </c>
      <c r="AN130" s="30" t="str">
        <f t="shared" si="80"/>
        <v/>
      </c>
      <c r="AO130" s="30" t="str">
        <f t="shared" si="81"/>
        <v/>
      </c>
      <c r="AP130" s="30" t="str">
        <f t="shared" si="82"/>
        <v/>
      </c>
      <c r="AQ130" s="30" t="str">
        <f t="shared" si="83"/>
        <v/>
      </c>
      <c r="AR130" s="30" t="str">
        <f t="shared" si="84"/>
        <v/>
      </c>
      <c r="AS130" s="30" t="str">
        <f t="shared" si="85"/>
        <v/>
      </c>
      <c r="AT130" t="str">
        <f t="shared" si="86"/>
        <v/>
      </c>
      <c r="AU130" t="str">
        <f t="shared" si="87"/>
        <v/>
      </c>
    </row>
    <row r="131" spans="1:47" ht="22" customHeight="1" x14ac:dyDescent="0.2">
      <c r="A131" s="31"/>
      <c r="B131" s="31"/>
      <c r="C131" s="32" t="str">
        <f t="shared" si="88"/>
        <v/>
      </c>
      <c r="D131" s="33"/>
      <c r="E131" s="34"/>
      <c r="F131" s="34"/>
      <c r="G131" s="34"/>
      <c r="H131" s="35"/>
      <c r="I131" s="35" t="str">
        <f t="shared" ref="I131:I194" si="89">IF(AND(H131&lt;&gt;"",C131&lt;&gt;"",C131&lt;&gt;0),H131/C131,"")</f>
        <v/>
      </c>
      <c r="J131" s="35" t="str">
        <f t="shared" si="70"/>
        <v/>
      </c>
      <c r="K131" s="34"/>
      <c r="L131" s="35"/>
      <c r="M131" s="61" t="str">
        <f t="shared" si="71"/>
        <v/>
      </c>
      <c r="N131" s="35"/>
      <c r="O131" s="34"/>
      <c r="P131" s="35"/>
      <c r="Q131" s="35"/>
      <c r="R131" s="36"/>
      <c r="S131" s="30" t="str">
        <f t="shared" ref="S131:S194" si="90">IF(AND($D131="Sotto la Quercia",$G131&lt;&gt;""),ROW(),"")</f>
        <v/>
      </c>
      <c r="T131" s="6" t="str">
        <f>IF($D131="Villa Elena",COUNTIF($D$3:$D131,"Villa Elena"),"")</f>
        <v/>
      </c>
      <c r="U131" s="30" t="str">
        <f t="shared" ref="U131:U194" si="91">IF(AND($D131="Casa Letizia",$G131&lt;&gt;""),ROW(),"")</f>
        <v/>
      </c>
      <c r="V131" s="30" t="str">
        <f t="shared" ref="V131:V194" si="92">IF(AND($D131="Casa nel Borgo",$G131&lt;&gt;""),ROW(),"")</f>
        <v/>
      </c>
      <c r="W131" s="30" t="str">
        <f t="shared" ref="W131:W194" si="93">IF(AND($D131="Via San Rocco",$G131&lt;&gt;""),ROW(),"")</f>
        <v/>
      </c>
      <c r="X131" s="30" t="str">
        <f t="shared" ref="X131:X194" si="94">IF(AND($D131="Via Cavour",$G131&lt;&gt;""),ROW(),"")</f>
        <v/>
      </c>
      <c r="Y131" s="30" t="str">
        <f t="shared" ref="Y131:Y194" si="95">IF(AND($D131="Miramare",$G131&lt;&gt;""),ROW(),"")</f>
        <v/>
      </c>
      <c r="Z131" s="30" t="str">
        <f t="shared" ref="Z131:Z194" si="96">IF(AND($D131="Agantonio",$G131&lt;&gt;""),ROW(),"")</f>
        <v/>
      </c>
      <c r="AA131" s="30" t="str">
        <f t="shared" ref="AA131:AA194" si="97">IF(AND($D131="Casa Bella Gialla",$G131&lt;&gt;""),ROW(),"")</f>
        <v/>
      </c>
      <c r="AB131" s="30" t="str">
        <f t="shared" ref="AB131:AB194" si="98">IF(AND($D131="Casa Verde Oliva",$G131&lt;&gt;""),ROW(),"")</f>
        <v/>
      </c>
      <c r="AC131" s="30" t="str">
        <f t="shared" ref="AC131:AC194" si="99">IF(AND($D131="Casa Nicola",$G131&lt;&gt;""),ROW(),"")</f>
        <v/>
      </c>
      <c r="AD131" s="30" t="str">
        <f t="shared" ref="AD131:AD194" si="100">IF(AND($D131="White Cottage",$G131&lt;&gt;""),ROW(),"")</f>
        <v/>
      </c>
      <c r="AE131" s="30" t="str">
        <f t="shared" ref="AE131:AE194" si="101">IF(AND($D131="Villa Nella",$G131&lt;&gt;""),ROW(),"")</f>
        <v/>
      </c>
      <c r="AF131" s="30" t="str">
        <f t="shared" si="72"/>
        <v/>
      </c>
      <c r="AG131" s="30" t="str">
        <f t="shared" si="73"/>
        <v/>
      </c>
      <c r="AH131" s="30" t="str">
        <f t="shared" si="74"/>
        <v/>
      </c>
      <c r="AI131" s="30" t="str">
        <f t="shared" si="75"/>
        <v/>
      </c>
      <c r="AJ131" s="30" t="str">
        <f t="shared" si="76"/>
        <v/>
      </c>
      <c r="AK131" s="30" t="str">
        <f t="shared" si="77"/>
        <v/>
      </c>
      <c r="AL131" s="30" t="str">
        <f t="shared" si="78"/>
        <v/>
      </c>
      <c r="AM131" s="30" t="str">
        <f t="shared" si="79"/>
        <v/>
      </c>
      <c r="AN131" s="30" t="str">
        <f t="shared" si="80"/>
        <v/>
      </c>
      <c r="AO131" s="30" t="str">
        <f t="shared" si="81"/>
        <v/>
      </c>
      <c r="AP131" s="30" t="str">
        <f t="shared" si="82"/>
        <v/>
      </c>
      <c r="AQ131" s="30" t="str">
        <f t="shared" si="83"/>
        <v/>
      </c>
      <c r="AR131" s="30" t="str">
        <f t="shared" si="84"/>
        <v/>
      </c>
      <c r="AS131" s="30" t="str">
        <f t="shared" si="85"/>
        <v/>
      </c>
      <c r="AT131" t="str">
        <f t="shared" si="86"/>
        <v/>
      </c>
      <c r="AU131" t="str">
        <f t="shared" si="87"/>
        <v/>
      </c>
    </row>
    <row r="132" spans="1:47" ht="22" customHeight="1" x14ac:dyDescent="0.2">
      <c r="A132" s="31"/>
      <c r="B132" s="31"/>
      <c r="C132" s="32" t="str">
        <f t="shared" si="88"/>
        <v/>
      </c>
      <c r="D132" s="33"/>
      <c r="E132" s="34"/>
      <c r="F132" s="34"/>
      <c r="G132" s="34"/>
      <c r="H132" s="35"/>
      <c r="I132" s="35" t="str">
        <f t="shared" si="89"/>
        <v/>
      </c>
      <c r="J132" s="35" t="str">
        <f t="shared" si="70"/>
        <v/>
      </c>
      <c r="K132" s="34"/>
      <c r="L132" s="35"/>
      <c r="M132" s="61" t="str">
        <f t="shared" si="71"/>
        <v/>
      </c>
      <c r="N132" s="35"/>
      <c r="O132" s="34"/>
      <c r="P132" s="35"/>
      <c r="Q132" s="35"/>
      <c r="R132" s="36"/>
      <c r="S132" s="30" t="str">
        <f t="shared" si="90"/>
        <v/>
      </c>
      <c r="T132" s="6" t="str">
        <f>IF($D132="Villa Elena",COUNTIF($D$3:$D132,"Villa Elena"),"")</f>
        <v/>
      </c>
      <c r="U132" s="30" t="str">
        <f t="shared" si="91"/>
        <v/>
      </c>
      <c r="V132" s="30" t="str">
        <f t="shared" si="92"/>
        <v/>
      </c>
      <c r="W132" s="30" t="str">
        <f t="shared" si="93"/>
        <v/>
      </c>
      <c r="X132" s="30" t="str">
        <f t="shared" si="94"/>
        <v/>
      </c>
      <c r="Y132" s="30" t="str">
        <f t="shared" si="95"/>
        <v/>
      </c>
      <c r="Z132" s="30" t="str">
        <f t="shared" si="96"/>
        <v/>
      </c>
      <c r="AA132" s="30" t="str">
        <f t="shared" si="97"/>
        <v/>
      </c>
      <c r="AB132" s="30" t="str">
        <f t="shared" si="98"/>
        <v/>
      </c>
      <c r="AC132" s="30" t="str">
        <f t="shared" si="99"/>
        <v/>
      </c>
      <c r="AD132" s="30" t="str">
        <f t="shared" si="100"/>
        <v/>
      </c>
      <c r="AE132" s="30" t="str">
        <f t="shared" si="101"/>
        <v/>
      </c>
      <c r="AF132" s="30" t="str">
        <f t="shared" si="72"/>
        <v/>
      </c>
      <c r="AG132" s="30" t="str">
        <f t="shared" si="73"/>
        <v/>
      </c>
      <c r="AH132" s="30" t="str">
        <f t="shared" si="74"/>
        <v/>
      </c>
      <c r="AI132" s="30" t="str">
        <f t="shared" si="75"/>
        <v/>
      </c>
      <c r="AJ132" s="30" t="str">
        <f t="shared" si="76"/>
        <v/>
      </c>
      <c r="AK132" s="30" t="str">
        <f t="shared" si="77"/>
        <v/>
      </c>
      <c r="AL132" s="30" t="str">
        <f t="shared" si="78"/>
        <v/>
      </c>
      <c r="AM132" s="30" t="str">
        <f t="shared" si="79"/>
        <v/>
      </c>
      <c r="AN132" s="30" t="str">
        <f t="shared" si="80"/>
        <v/>
      </c>
      <c r="AO132" s="30" t="str">
        <f t="shared" si="81"/>
        <v/>
      </c>
      <c r="AP132" s="30" t="str">
        <f t="shared" si="82"/>
        <v/>
      </c>
      <c r="AQ132" s="30" t="str">
        <f t="shared" si="83"/>
        <v/>
      </c>
      <c r="AR132" s="30" t="str">
        <f t="shared" si="84"/>
        <v/>
      </c>
      <c r="AS132" s="30" t="str">
        <f t="shared" si="85"/>
        <v/>
      </c>
      <c r="AT132" t="str">
        <f t="shared" si="86"/>
        <v/>
      </c>
      <c r="AU132" t="str">
        <f t="shared" si="87"/>
        <v/>
      </c>
    </row>
    <row r="133" spans="1:47" ht="22" customHeight="1" x14ac:dyDescent="0.2">
      <c r="A133" s="31"/>
      <c r="B133" s="31"/>
      <c r="C133" s="32" t="str">
        <f t="shared" si="88"/>
        <v/>
      </c>
      <c r="D133" s="33"/>
      <c r="E133" s="34"/>
      <c r="F133" s="34"/>
      <c r="G133" s="34"/>
      <c r="H133" s="35"/>
      <c r="I133" s="35" t="str">
        <f t="shared" si="89"/>
        <v/>
      </c>
      <c r="J133" s="35" t="str">
        <f t="shared" si="70"/>
        <v/>
      </c>
      <c r="K133" s="34"/>
      <c r="L133" s="35"/>
      <c r="M133" s="61" t="str">
        <f t="shared" si="71"/>
        <v/>
      </c>
      <c r="N133" s="35"/>
      <c r="O133" s="34"/>
      <c r="P133" s="35"/>
      <c r="Q133" s="35"/>
      <c r="R133" s="36"/>
      <c r="S133" s="30" t="str">
        <f t="shared" si="90"/>
        <v/>
      </c>
      <c r="T133" s="6" t="str">
        <f>IF($D133="Villa Elena",COUNTIF($D$3:$D133,"Villa Elena"),"")</f>
        <v/>
      </c>
      <c r="U133" s="30" t="str">
        <f t="shared" si="91"/>
        <v/>
      </c>
      <c r="V133" s="30" t="str">
        <f t="shared" si="92"/>
        <v/>
      </c>
      <c r="W133" s="30" t="str">
        <f t="shared" si="93"/>
        <v/>
      </c>
      <c r="X133" s="30" t="str">
        <f t="shared" si="94"/>
        <v/>
      </c>
      <c r="Y133" s="30" t="str">
        <f t="shared" si="95"/>
        <v/>
      </c>
      <c r="Z133" s="30" t="str">
        <f t="shared" si="96"/>
        <v/>
      </c>
      <c r="AA133" s="30" t="str">
        <f t="shared" si="97"/>
        <v/>
      </c>
      <c r="AB133" s="30" t="str">
        <f t="shared" si="98"/>
        <v/>
      </c>
      <c r="AC133" s="30" t="str">
        <f t="shared" si="99"/>
        <v/>
      </c>
      <c r="AD133" s="30" t="str">
        <f t="shared" si="100"/>
        <v/>
      </c>
      <c r="AE133" s="30" t="str">
        <f t="shared" si="101"/>
        <v/>
      </c>
      <c r="AF133" s="30" t="str">
        <f t="shared" si="72"/>
        <v/>
      </c>
      <c r="AG133" s="30" t="str">
        <f t="shared" si="73"/>
        <v/>
      </c>
      <c r="AH133" s="30" t="str">
        <f t="shared" si="74"/>
        <v/>
      </c>
      <c r="AI133" s="30" t="str">
        <f t="shared" si="75"/>
        <v/>
      </c>
      <c r="AJ133" s="30" t="str">
        <f t="shared" si="76"/>
        <v/>
      </c>
      <c r="AK133" s="30" t="str">
        <f t="shared" si="77"/>
        <v/>
      </c>
      <c r="AL133" s="30" t="str">
        <f t="shared" si="78"/>
        <v/>
      </c>
      <c r="AM133" s="30" t="str">
        <f t="shared" si="79"/>
        <v/>
      </c>
      <c r="AN133" s="30" t="str">
        <f t="shared" si="80"/>
        <v/>
      </c>
      <c r="AO133" s="30" t="str">
        <f t="shared" si="81"/>
        <v/>
      </c>
      <c r="AP133" s="30" t="str">
        <f t="shared" si="82"/>
        <v/>
      </c>
      <c r="AQ133" s="30" t="str">
        <f t="shared" si="83"/>
        <v/>
      </c>
      <c r="AR133" s="30" t="str">
        <f t="shared" si="84"/>
        <v/>
      </c>
      <c r="AS133" s="30" t="str">
        <f t="shared" si="85"/>
        <v/>
      </c>
      <c r="AT133" t="str">
        <f t="shared" si="86"/>
        <v/>
      </c>
      <c r="AU133" t="str">
        <f t="shared" si="87"/>
        <v/>
      </c>
    </row>
    <row r="134" spans="1:47" ht="22" customHeight="1" x14ac:dyDescent="0.2">
      <c r="A134" s="31"/>
      <c r="B134" s="31"/>
      <c r="C134" s="32" t="str">
        <f t="shared" si="88"/>
        <v/>
      </c>
      <c r="D134" s="33"/>
      <c r="E134" s="34"/>
      <c r="F134" s="34"/>
      <c r="G134" s="34"/>
      <c r="H134" s="35"/>
      <c r="I134" s="35" t="str">
        <f t="shared" si="89"/>
        <v/>
      </c>
      <c r="J134" s="35" t="str">
        <f t="shared" si="70"/>
        <v/>
      </c>
      <c r="K134" s="34"/>
      <c r="L134" s="35"/>
      <c r="M134" s="61" t="str">
        <f t="shared" si="71"/>
        <v/>
      </c>
      <c r="N134" s="35"/>
      <c r="O134" s="34"/>
      <c r="P134" s="35"/>
      <c r="Q134" s="35"/>
      <c r="R134" s="36"/>
      <c r="S134" s="30" t="str">
        <f t="shared" si="90"/>
        <v/>
      </c>
      <c r="T134" s="6" t="str">
        <f>IF($D134="Villa Elena",COUNTIF($D$3:$D134,"Villa Elena"),"")</f>
        <v/>
      </c>
      <c r="U134" s="30" t="str">
        <f t="shared" si="91"/>
        <v/>
      </c>
      <c r="V134" s="30" t="str">
        <f t="shared" si="92"/>
        <v/>
      </c>
      <c r="W134" s="30" t="str">
        <f t="shared" si="93"/>
        <v/>
      </c>
      <c r="X134" s="30" t="str">
        <f t="shared" si="94"/>
        <v/>
      </c>
      <c r="Y134" s="30" t="str">
        <f t="shared" si="95"/>
        <v/>
      </c>
      <c r="Z134" s="30" t="str">
        <f t="shared" si="96"/>
        <v/>
      </c>
      <c r="AA134" s="30" t="str">
        <f t="shared" si="97"/>
        <v/>
      </c>
      <c r="AB134" s="30" t="str">
        <f t="shared" si="98"/>
        <v/>
      </c>
      <c r="AC134" s="30" t="str">
        <f t="shared" si="99"/>
        <v/>
      </c>
      <c r="AD134" s="30" t="str">
        <f t="shared" si="100"/>
        <v/>
      </c>
      <c r="AE134" s="30" t="str">
        <f t="shared" si="101"/>
        <v/>
      </c>
      <c r="AF134" s="30" t="str">
        <f t="shared" si="72"/>
        <v/>
      </c>
      <c r="AG134" s="30" t="str">
        <f t="shared" si="73"/>
        <v/>
      </c>
      <c r="AH134" s="30" t="str">
        <f t="shared" si="74"/>
        <v/>
      </c>
      <c r="AI134" s="30" t="str">
        <f t="shared" si="75"/>
        <v/>
      </c>
      <c r="AJ134" s="30" t="str">
        <f t="shared" si="76"/>
        <v/>
      </c>
      <c r="AK134" s="30" t="str">
        <f t="shared" si="77"/>
        <v/>
      </c>
      <c r="AL134" s="30" t="str">
        <f t="shared" si="78"/>
        <v/>
      </c>
      <c r="AM134" s="30" t="str">
        <f t="shared" si="79"/>
        <v/>
      </c>
      <c r="AN134" s="30" t="str">
        <f t="shared" si="80"/>
        <v/>
      </c>
      <c r="AO134" s="30" t="str">
        <f t="shared" si="81"/>
        <v/>
      </c>
      <c r="AP134" s="30" t="str">
        <f t="shared" si="82"/>
        <v/>
      </c>
      <c r="AQ134" s="30" t="str">
        <f t="shared" si="83"/>
        <v/>
      </c>
      <c r="AR134" s="30" t="str">
        <f t="shared" si="84"/>
        <v/>
      </c>
      <c r="AS134" s="30" t="str">
        <f t="shared" si="85"/>
        <v/>
      </c>
      <c r="AT134" t="str">
        <f t="shared" si="86"/>
        <v/>
      </c>
      <c r="AU134" t="str">
        <f t="shared" si="87"/>
        <v/>
      </c>
    </row>
    <row r="135" spans="1:47" ht="22" customHeight="1" x14ac:dyDescent="0.2">
      <c r="A135" s="31"/>
      <c r="B135" s="31"/>
      <c r="C135" s="32" t="str">
        <f t="shared" si="88"/>
        <v/>
      </c>
      <c r="D135" s="33"/>
      <c r="E135" s="34"/>
      <c r="F135" s="34"/>
      <c r="G135" s="34"/>
      <c r="H135" s="35"/>
      <c r="I135" s="35" t="str">
        <f t="shared" si="89"/>
        <v/>
      </c>
      <c r="J135" s="35" t="str">
        <f t="shared" ref="J135:J166" si="102">IF(AND(ISNUMBER(SEARCH("booking",G135)),OR(D135="Via San Rocco",D135="Via Cavour")),H135*0.165,IF(ISNUMBER(SEARCH("airbnb",G135)),H135*0.155,IF(ISNUMBER(SEARCH("booking",G135)),H135*0.15,"")))</f>
        <v/>
      </c>
      <c r="K135" s="34"/>
      <c r="L135" s="35"/>
      <c r="M135" s="61" t="str">
        <f t="shared" si="71"/>
        <v/>
      </c>
      <c r="N135" s="35"/>
      <c r="O135" s="34"/>
      <c r="P135" s="35"/>
      <c r="Q135" s="35"/>
      <c r="R135" s="36"/>
      <c r="S135" s="30" t="str">
        <f t="shared" si="90"/>
        <v/>
      </c>
      <c r="T135" s="6" t="str">
        <f>IF($D135="Villa Elena",COUNTIF($D$3:$D135,"Villa Elena"),"")</f>
        <v/>
      </c>
      <c r="U135" s="30" t="str">
        <f t="shared" si="91"/>
        <v/>
      </c>
      <c r="V135" s="30" t="str">
        <f t="shared" si="92"/>
        <v/>
      </c>
      <c r="W135" s="30" t="str">
        <f t="shared" si="93"/>
        <v/>
      </c>
      <c r="X135" s="30" t="str">
        <f t="shared" si="94"/>
        <v/>
      </c>
      <c r="Y135" s="30" t="str">
        <f t="shared" si="95"/>
        <v/>
      </c>
      <c r="Z135" s="30" t="str">
        <f t="shared" si="96"/>
        <v/>
      </c>
      <c r="AA135" s="30" t="str">
        <f t="shared" si="97"/>
        <v/>
      </c>
      <c r="AB135" s="30" t="str">
        <f t="shared" si="98"/>
        <v/>
      </c>
      <c r="AC135" s="30" t="str">
        <f t="shared" si="99"/>
        <v/>
      </c>
      <c r="AD135" s="30" t="str">
        <f t="shared" si="100"/>
        <v/>
      </c>
      <c r="AE135" s="30" t="str">
        <f t="shared" si="101"/>
        <v/>
      </c>
      <c r="AF135" s="30" t="str">
        <f t="shared" si="72"/>
        <v/>
      </c>
      <c r="AG135" s="30" t="str">
        <f t="shared" si="73"/>
        <v/>
      </c>
      <c r="AH135" s="30" t="str">
        <f t="shared" si="74"/>
        <v/>
      </c>
      <c r="AI135" s="30" t="str">
        <f t="shared" si="75"/>
        <v/>
      </c>
      <c r="AJ135" s="30" t="str">
        <f t="shared" si="76"/>
        <v/>
      </c>
      <c r="AK135" s="30" t="str">
        <f t="shared" si="77"/>
        <v/>
      </c>
      <c r="AL135" s="30" t="str">
        <f t="shared" si="78"/>
        <v/>
      </c>
      <c r="AM135" s="30" t="str">
        <f t="shared" si="79"/>
        <v/>
      </c>
      <c r="AN135" s="30" t="str">
        <f t="shared" si="80"/>
        <v/>
      </c>
      <c r="AO135" s="30" t="str">
        <f t="shared" si="81"/>
        <v/>
      </c>
      <c r="AP135" s="30" t="str">
        <f t="shared" si="82"/>
        <v/>
      </c>
      <c r="AQ135" s="30" t="str">
        <f t="shared" si="83"/>
        <v/>
      </c>
      <c r="AR135" s="30" t="str">
        <f t="shared" si="84"/>
        <v/>
      </c>
      <c r="AS135" s="30" t="str">
        <f t="shared" si="85"/>
        <v/>
      </c>
      <c r="AT135" t="str">
        <f t="shared" si="86"/>
        <v/>
      </c>
      <c r="AU135" t="str">
        <f t="shared" si="87"/>
        <v/>
      </c>
    </row>
    <row r="136" spans="1:47" ht="22" customHeight="1" x14ac:dyDescent="0.2">
      <c r="A136" s="31"/>
      <c r="B136" s="31"/>
      <c r="C136" s="32" t="str">
        <f t="shared" si="88"/>
        <v/>
      </c>
      <c r="D136" s="33"/>
      <c r="E136" s="34"/>
      <c r="F136" s="34"/>
      <c r="G136" s="34"/>
      <c r="H136" s="35"/>
      <c r="I136" s="35" t="str">
        <f t="shared" si="89"/>
        <v/>
      </c>
      <c r="J136" s="35" t="str">
        <f t="shared" si="102"/>
        <v/>
      </c>
      <c r="K136" s="34"/>
      <c r="L136" s="35"/>
      <c r="M136" s="61" t="str">
        <f t="shared" si="71"/>
        <v/>
      </c>
      <c r="N136" s="35"/>
      <c r="O136" s="34"/>
      <c r="P136" s="35"/>
      <c r="Q136" s="35"/>
      <c r="R136" s="36"/>
      <c r="S136" s="30" t="str">
        <f t="shared" si="90"/>
        <v/>
      </c>
      <c r="T136" s="6" t="str">
        <f>IF($D136="Villa Elena",COUNTIF($D$3:$D136,"Villa Elena"),"")</f>
        <v/>
      </c>
      <c r="U136" s="30" t="str">
        <f t="shared" si="91"/>
        <v/>
      </c>
      <c r="V136" s="30" t="str">
        <f t="shared" si="92"/>
        <v/>
      </c>
      <c r="W136" s="30" t="str">
        <f t="shared" si="93"/>
        <v/>
      </c>
      <c r="X136" s="30" t="str">
        <f t="shared" si="94"/>
        <v/>
      </c>
      <c r="Y136" s="30" t="str">
        <f t="shared" si="95"/>
        <v/>
      </c>
      <c r="Z136" s="30" t="str">
        <f t="shared" si="96"/>
        <v/>
      </c>
      <c r="AA136" s="30" t="str">
        <f t="shared" si="97"/>
        <v/>
      </c>
      <c r="AB136" s="30" t="str">
        <f t="shared" si="98"/>
        <v/>
      </c>
      <c r="AC136" s="30" t="str">
        <f t="shared" si="99"/>
        <v/>
      </c>
      <c r="AD136" s="30" t="str">
        <f t="shared" si="100"/>
        <v/>
      </c>
      <c r="AE136" s="30" t="str">
        <f t="shared" si="101"/>
        <v/>
      </c>
      <c r="AF136" s="30" t="str">
        <f t="shared" si="72"/>
        <v/>
      </c>
      <c r="AG136" s="30" t="str">
        <f t="shared" si="73"/>
        <v/>
      </c>
      <c r="AH136" s="30" t="str">
        <f t="shared" si="74"/>
        <v/>
      </c>
      <c r="AI136" s="30" t="str">
        <f t="shared" si="75"/>
        <v/>
      </c>
      <c r="AJ136" s="30" t="str">
        <f t="shared" si="76"/>
        <v/>
      </c>
      <c r="AK136" s="30" t="str">
        <f t="shared" si="77"/>
        <v/>
      </c>
      <c r="AL136" s="30" t="str">
        <f t="shared" si="78"/>
        <v/>
      </c>
      <c r="AM136" s="30" t="str">
        <f t="shared" si="79"/>
        <v/>
      </c>
      <c r="AN136" s="30" t="str">
        <f t="shared" si="80"/>
        <v/>
      </c>
      <c r="AO136" s="30" t="str">
        <f t="shared" si="81"/>
        <v/>
      </c>
      <c r="AP136" s="30" t="str">
        <f t="shared" si="82"/>
        <v/>
      </c>
      <c r="AQ136" s="30" t="str">
        <f t="shared" si="83"/>
        <v/>
      </c>
      <c r="AR136" s="30" t="str">
        <f t="shared" si="84"/>
        <v/>
      </c>
      <c r="AS136" s="30" t="str">
        <f t="shared" si="85"/>
        <v/>
      </c>
      <c r="AT136" t="str">
        <f t="shared" si="86"/>
        <v/>
      </c>
      <c r="AU136" t="str">
        <f t="shared" si="87"/>
        <v/>
      </c>
    </row>
    <row r="137" spans="1:47" ht="22" customHeight="1" x14ac:dyDescent="0.2">
      <c r="A137" s="31"/>
      <c r="B137" s="31"/>
      <c r="C137" s="32" t="str">
        <f t="shared" si="88"/>
        <v/>
      </c>
      <c r="D137" s="33"/>
      <c r="E137" s="34"/>
      <c r="F137" s="34"/>
      <c r="G137" s="34"/>
      <c r="H137" s="35"/>
      <c r="I137" s="35" t="str">
        <f t="shared" si="89"/>
        <v/>
      </c>
      <c r="J137" s="35" t="str">
        <f t="shared" si="102"/>
        <v/>
      </c>
      <c r="K137" s="34"/>
      <c r="L137" s="35"/>
      <c r="M137" s="61" t="str">
        <f t="shared" ref="M137:M168" si="103">IF(H137&lt;&gt;"",H137*0.25,"")</f>
        <v/>
      </c>
      <c r="N137" s="35"/>
      <c r="O137" s="34"/>
      <c r="P137" s="35"/>
      <c r="Q137" s="35"/>
      <c r="R137" s="36"/>
      <c r="S137" s="30" t="str">
        <f t="shared" si="90"/>
        <v/>
      </c>
      <c r="T137" s="6" t="str">
        <f>IF($D137="Villa Elena",COUNTIF($D$3:$D137,"Villa Elena"),"")</f>
        <v/>
      </c>
      <c r="U137" s="30" t="str">
        <f t="shared" si="91"/>
        <v/>
      </c>
      <c r="V137" s="30" t="str">
        <f t="shared" si="92"/>
        <v/>
      </c>
      <c r="W137" s="30" t="str">
        <f t="shared" si="93"/>
        <v/>
      </c>
      <c r="X137" s="30" t="str">
        <f t="shared" si="94"/>
        <v/>
      </c>
      <c r="Y137" s="30" t="str">
        <f t="shared" si="95"/>
        <v/>
      </c>
      <c r="Z137" s="30" t="str">
        <f t="shared" si="96"/>
        <v/>
      </c>
      <c r="AA137" s="30" t="str">
        <f t="shared" si="97"/>
        <v/>
      </c>
      <c r="AB137" s="30" t="str">
        <f t="shared" si="98"/>
        <v/>
      </c>
      <c r="AC137" s="30" t="str">
        <f t="shared" si="99"/>
        <v/>
      </c>
      <c r="AD137" s="30" t="str">
        <f t="shared" si="100"/>
        <v/>
      </c>
      <c r="AE137" s="30" t="str">
        <f t="shared" si="101"/>
        <v/>
      </c>
      <c r="AF137" s="30" t="str">
        <f t="shared" si="72"/>
        <v/>
      </c>
      <c r="AG137" s="30" t="str">
        <f t="shared" si="73"/>
        <v/>
      </c>
      <c r="AH137" s="30" t="str">
        <f t="shared" si="74"/>
        <v/>
      </c>
      <c r="AI137" s="30" t="str">
        <f t="shared" si="75"/>
        <v/>
      </c>
      <c r="AJ137" s="30" t="str">
        <f t="shared" si="76"/>
        <v/>
      </c>
      <c r="AK137" s="30" t="str">
        <f t="shared" si="77"/>
        <v/>
      </c>
      <c r="AL137" s="30" t="str">
        <f t="shared" si="78"/>
        <v/>
      </c>
      <c r="AM137" s="30" t="str">
        <f t="shared" si="79"/>
        <v/>
      </c>
      <c r="AN137" s="30" t="str">
        <f t="shared" si="80"/>
        <v/>
      </c>
      <c r="AO137" s="30" t="str">
        <f t="shared" si="81"/>
        <v/>
      </c>
      <c r="AP137" s="30" t="str">
        <f t="shared" si="82"/>
        <v/>
      </c>
      <c r="AQ137" s="30" t="str">
        <f t="shared" si="83"/>
        <v/>
      </c>
      <c r="AR137" s="30" t="str">
        <f t="shared" si="84"/>
        <v/>
      </c>
      <c r="AS137" s="30" t="str">
        <f t="shared" si="85"/>
        <v/>
      </c>
      <c r="AT137" t="str">
        <f t="shared" si="86"/>
        <v/>
      </c>
      <c r="AU137" t="str">
        <f t="shared" si="87"/>
        <v/>
      </c>
    </row>
    <row r="138" spans="1:47" ht="22" customHeight="1" x14ac:dyDescent="0.2">
      <c r="A138" s="31"/>
      <c r="B138" s="31"/>
      <c r="C138" s="32" t="str">
        <f t="shared" si="88"/>
        <v/>
      </c>
      <c r="D138" s="33"/>
      <c r="E138" s="34"/>
      <c r="F138" s="34"/>
      <c r="G138" s="34"/>
      <c r="H138" s="35"/>
      <c r="I138" s="35" t="str">
        <f t="shared" si="89"/>
        <v/>
      </c>
      <c r="J138" s="35" t="str">
        <f t="shared" si="102"/>
        <v/>
      </c>
      <c r="K138" s="34"/>
      <c r="L138" s="35"/>
      <c r="M138" s="61" t="str">
        <f t="shared" si="103"/>
        <v/>
      </c>
      <c r="N138" s="35"/>
      <c r="O138" s="34"/>
      <c r="P138" s="35"/>
      <c r="Q138" s="35"/>
      <c r="R138" s="36"/>
      <c r="S138" s="30" t="str">
        <f t="shared" si="90"/>
        <v/>
      </c>
      <c r="T138" s="6" t="str">
        <f>IF($D138="Villa Elena",COUNTIF($D$3:$D138,"Villa Elena"),"")</f>
        <v/>
      </c>
      <c r="U138" s="30" t="str">
        <f t="shared" si="91"/>
        <v/>
      </c>
      <c r="V138" s="30" t="str">
        <f t="shared" si="92"/>
        <v/>
      </c>
      <c r="W138" s="30" t="str">
        <f t="shared" si="93"/>
        <v/>
      </c>
      <c r="X138" s="30" t="str">
        <f t="shared" si="94"/>
        <v/>
      </c>
      <c r="Y138" s="30" t="str">
        <f t="shared" si="95"/>
        <v/>
      </c>
      <c r="Z138" s="30" t="str">
        <f t="shared" si="96"/>
        <v/>
      </c>
      <c r="AA138" s="30" t="str">
        <f t="shared" si="97"/>
        <v/>
      </c>
      <c r="AB138" s="30" t="str">
        <f t="shared" si="98"/>
        <v/>
      </c>
      <c r="AC138" s="30" t="str">
        <f t="shared" si="99"/>
        <v/>
      </c>
      <c r="AD138" s="30" t="str">
        <f t="shared" si="100"/>
        <v/>
      </c>
      <c r="AE138" s="30" t="str">
        <f t="shared" si="101"/>
        <v/>
      </c>
      <c r="AF138" s="30" t="str">
        <f t="shared" si="72"/>
        <v/>
      </c>
      <c r="AG138" s="30" t="str">
        <f t="shared" si="73"/>
        <v/>
      </c>
      <c r="AH138" s="30" t="str">
        <f t="shared" si="74"/>
        <v/>
      </c>
      <c r="AI138" s="30" t="str">
        <f t="shared" si="75"/>
        <v/>
      </c>
      <c r="AJ138" s="30" t="str">
        <f t="shared" si="76"/>
        <v/>
      </c>
      <c r="AK138" s="30" t="str">
        <f t="shared" si="77"/>
        <v/>
      </c>
      <c r="AL138" s="30" t="str">
        <f t="shared" si="78"/>
        <v/>
      </c>
      <c r="AM138" s="30" t="str">
        <f t="shared" si="79"/>
        <v/>
      </c>
      <c r="AN138" s="30" t="str">
        <f t="shared" si="80"/>
        <v/>
      </c>
      <c r="AO138" s="30" t="str">
        <f t="shared" si="81"/>
        <v/>
      </c>
      <c r="AP138" s="30" t="str">
        <f t="shared" si="82"/>
        <v/>
      </c>
      <c r="AQ138" s="30" t="str">
        <f t="shared" si="83"/>
        <v/>
      </c>
      <c r="AR138" s="30" t="str">
        <f t="shared" si="84"/>
        <v/>
      </c>
      <c r="AS138" s="30" t="str">
        <f t="shared" si="85"/>
        <v/>
      </c>
      <c r="AT138" t="str">
        <f t="shared" si="86"/>
        <v/>
      </c>
      <c r="AU138" t="str">
        <f t="shared" si="87"/>
        <v/>
      </c>
    </row>
    <row r="139" spans="1:47" ht="22" customHeight="1" x14ac:dyDescent="0.2">
      <c r="A139" s="31"/>
      <c r="B139" s="31"/>
      <c r="C139" s="32" t="str">
        <f t="shared" si="88"/>
        <v/>
      </c>
      <c r="D139" s="33"/>
      <c r="E139" s="34"/>
      <c r="F139" s="34"/>
      <c r="G139" s="34"/>
      <c r="H139" s="35"/>
      <c r="I139" s="35" t="str">
        <f t="shared" si="89"/>
        <v/>
      </c>
      <c r="J139" s="35" t="str">
        <f t="shared" si="102"/>
        <v/>
      </c>
      <c r="K139" s="34"/>
      <c r="L139" s="35"/>
      <c r="M139" s="61" t="str">
        <f t="shared" si="103"/>
        <v/>
      </c>
      <c r="N139" s="35"/>
      <c r="O139" s="34"/>
      <c r="P139" s="35"/>
      <c r="Q139" s="35"/>
      <c r="R139" s="36"/>
      <c r="S139" s="30" t="str">
        <f t="shared" si="90"/>
        <v/>
      </c>
      <c r="T139" s="6" t="str">
        <f>IF($D139="Villa Elena",COUNTIF($D$3:$D139,"Villa Elena"),"")</f>
        <v/>
      </c>
      <c r="U139" s="30" t="str">
        <f t="shared" si="91"/>
        <v/>
      </c>
      <c r="V139" s="30" t="str">
        <f t="shared" si="92"/>
        <v/>
      </c>
      <c r="W139" s="30" t="str">
        <f t="shared" si="93"/>
        <v/>
      </c>
      <c r="X139" s="30" t="str">
        <f t="shared" si="94"/>
        <v/>
      </c>
      <c r="Y139" s="30" t="str">
        <f t="shared" si="95"/>
        <v/>
      </c>
      <c r="Z139" s="30" t="str">
        <f t="shared" si="96"/>
        <v/>
      </c>
      <c r="AA139" s="30" t="str">
        <f t="shared" si="97"/>
        <v/>
      </c>
      <c r="AB139" s="30" t="str">
        <f t="shared" si="98"/>
        <v/>
      </c>
      <c r="AC139" s="30" t="str">
        <f t="shared" si="99"/>
        <v/>
      </c>
      <c r="AD139" s="30" t="str">
        <f t="shared" si="100"/>
        <v/>
      </c>
      <c r="AE139" s="30" t="str">
        <f t="shared" si="101"/>
        <v/>
      </c>
      <c r="AF139" s="30" t="str">
        <f t="shared" si="72"/>
        <v/>
      </c>
      <c r="AG139" s="30" t="str">
        <f t="shared" si="73"/>
        <v/>
      </c>
      <c r="AH139" s="30" t="str">
        <f t="shared" si="74"/>
        <v/>
      </c>
      <c r="AI139" s="30" t="str">
        <f t="shared" si="75"/>
        <v/>
      </c>
      <c r="AJ139" s="30" t="str">
        <f t="shared" si="76"/>
        <v/>
      </c>
      <c r="AK139" s="30" t="str">
        <f t="shared" si="77"/>
        <v/>
      </c>
      <c r="AL139" s="30" t="str">
        <f t="shared" si="78"/>
        <v/>
      </c>
      <c r="AM139" s="30" t="str">
        <f t="shared" si="79"/>
        <v/>
      </c>
      <c r="AN139" s="30" t="str">
        <f t="shared" si="80"/>
        <v/>
      </c>
      <c r="AO139" s="30" t="str">
        <f t="shared" si="81"/>
        <v/>
      </c>
      <c r="AP139" s="30" t="str">
        <f t="shared" si="82"/>
        <v/>
      </c>
      <c r="AQ139" s="30" t="str">
        <f t="shared" si="83"/>
        <v/>
      </c>
      <c r="AR139" s="30" t="str">
        <f t="shared" si="84"/>
        <v/>
      </c>
      <c r="AS139" s="30" t="str">
        <f t="shared" si="85"/>
        <v/>
      </c>
      <c r="AT139" t="str">
        <f t="shared" si="86"/>
        <v/>
      </c>
      <c r="AU139" t="str">
        <f t="shared" si="87"/>
        <v/>
      </c>
    </row>
    <row r="140" spans="1:47" ht="22" customHeight="1" x14ac:dyDescent="0.2">
      <c r="A140" s="31"/>
      <c r="B140" s="31"/>
      <c r="C140" s="32" t="str">
        <f t="shared" si="88"/>
        <v/>
      </c>
      <c r="D140" s="33"/>
      <c r="E140" s="34"/>
      <c r="F140" s="34"/>
      <c r="G140" s="34"/>
      <c r="H140" s="35"/>
      <c r="I140" s="35" t="str">
        <f t="shared" si="89"/>
        <v/>
      </c>
      <c r="J140" s="35" t="str">
        <f t="shared" si="102"/>
        <v/>
      </c>
      <c r="K140" s="34"/>
      <c r="L140" s="35"/>
      <c r="M140" s="61" t="str">
        <f t="shared" si="103"/>
        <v/>
      </c>
      <c r="N140" s="35"/>
      <c r="O140" s="34"/>
      <c r="P140" s="35"/>
      <c r="Q140" s="35"/>
      <c r="R140" s="36"/>
      <c r="S140" s="30" t="str">
        <f t="shared" si="90"/>
        <v/>
      </c>
      <c r="T140" s="6" t="str">
        <f>IF($D140="Villa Elena",COUNTIF($D$3:$D140,"Villa Elena"),"")</f>
        <v/>
      </c>
      <c r="U140" s="30" t="str">
        <f t="shared" si="91"/>
        <v/>
      </c>
      <c r="V140" s="30" t="str">
        <f t="shared" si="92"/>
        <v/>
      </c>
      <c r="W140" s="30" t="str">
        <f t="shared" si="93"/>
        <v/>
      </c>
      <c r="X140" s="30" t="str">
        <f t="shared" si="94"/>
        <v/>
      </c>
      <c r="Y140" s="30" t="str">
        <f t="shared" si="95"/>
        <v/>
      </c>
      <c r="Z140" s="30" t="str">
        <f t="shared" si="96"/>
        <v/>
      </c>
      <c r="AA140" s="30" t="str">
        <f t="shared" si="97"/>
        <v/>
      </c>
      <c r="AB140" s="30" t="str">
        <f t="shared" si="98"/>
        <v/>
      </c>
      <c r="AC140" s="30" t="str">
        <f t="shared" si="99"/>
        <v/>
      </c>
      <c r="AD140" s="30" t="str">
        <f t="shared" si="100"/>
        <v/>
      </c>
      <c r="AE140" s="30" t="str">
        <f t="shared" si="101"/>
        <v/>
      </c>
      <c r="AF140" s="30" t="str">
        <f t="shared" si="72"/>
        <v/>
      </c>
      <c r="AG140" s="30" t="str">
        <f t="shared" si="73"/>
        <v/>
      </c>
      <c r="AH140" s="30" t="str">
        <f t="shared" si="74"/>
        <v/>
      </c>
      <c r="AI140" s="30" t="str">
        <f t="shared" si="75"/>
        <v/>
      </c>
      <c r="AJ140" s="30" t="str">
        <f t="shared" si="76"/>
        <v/>
      </c>
      <c r="AK140" s="30" t="str">
        <f t="shared" si="77"/>
        <v/>
      </c>
      <c r="AL140" s="30" t="str">
        <f t="shared" si="78"/>
        <v/>
      </c>
      <c r="AM140" s="30" t="str">
        <f t="shared" si="79"/>
        <v/>
      </c>
      <c r="AN140" s="30" t="str">
        <f t="shared" si="80"/>
        <v/>
      </c>
      <c r="AO140" s="30" t="str">
        <f t="shared" si="81"/>
        <v/>
      </c>
      <c r="AP140" s="30" t="str">
        <f t="shared" si="82"/>
        <v/>
      </c>
      <c r="AQ140" s="30" t="str">
        <f t="shared" si="83"/>
        <v/>
      </c>
      <c r="AR140" s="30" t="str">
        <f t="shared" si="84"/>
        <v/>
      </c>
      <c r="AS140" s="30" t="str">
        <f t="shared" si="85"/>
        <v/>
      </c>
      <c r="AT140" t="str">
        <f t="shared" si="86"/>
        <v/>
      </c>
      <c r="AU140" t="str">
        <f t="shared" si="87"/>
        <v/>
      </c>
    </row>
    <row r="141" spans="1:47" ht="22" customHeight="1" x14ac:dyDescent="0.2">
      <c r="A141" s="31"/>
      <c r="B141" s="31"/>
      <c r="C141" s="32" t="str">
        <f t="shared" si="88"/>
        <v/>
      </c>
      <c r="D141" s="33"/>
      <c r="E141" s="34"/>
      <c r="F141" s="34"/>
      <c r="G141" s="34"/>
      <c r="H141" s="35"/>
      <c r="I141" s="35" t="str">
        <f t="shared" si="89"/>
        <v/>
      </c>
      <c r="J141" s="35" t="str">
        <f t="shared" si="102"/>
        <v/>
      </c>
      <c r="K141" s="34"/>
      <c r="L141" s="35"/>
      <c r="M141" s="61" t="str">
        <f t="shared" si="103"/>
        <v/>
      </c>
      <c r="N141" s="35"/>
      <c r="O141" s="34"/>
      <c r="P141" s="35"/>
      <c r="Q141" s="35"/>
      <c r="R141" s="36"/>
      <c r="S141" s="30" t="str">
        <f t="shared" si="90"/>
        <v/>
      </c>
      <c r="T141" s="6" t="str">
        <f>IF($D141="Villa Elena",COUNTIF($D$3:$D141,"Villa Elena"),"")</f>
        <v/>
      </c>
      <c r="U141" s="30" t="str">
        <f t="shared" si="91"/>
        <v/>
      </c>
      <c r="V141" s="30" t="str">
        <f t="shared" si="92"/>
        <v/>
      </c>
      <c r="W141" s="30" t="str">
        <f t="shared" si="93"/>
        <v/>
      </c>
      <c r="X141" s="30" t="str">
        <f t="shared" si="94"/>
        <v/>
      </c>
      <c r="Y141" s="30" t="str">
        <f t="shared" si="95"/>
        <v/>
      </c>
      <c r="Z141" s="30" t="str">
        <f t="shared" si="96"/>
        <v/>
      </c>
      <c r="AA141" s="30" t="str">
        <f t="shared" si="97"/>
        <v/>
      </c>
      <c r="AB141" s="30" t="str">
        <f t="shared" si="98"/>
        <v/>
      </c>
      <c r="AC141" s="30" t="str">
        <f t="shared" si="99"/>
        <v/>
      </c>
      <c r="AD141" s="30" t="str">
        <f t="shared" si="100"/>
        <v/>
      </c>
      <c r="AE141" s="30" t="str">
        <f t="shared" si="101"/>
        <v/>
      </c>
      <c r="AF141" s="30" t="str">
        <f t="shared" si="72"/>
        <v/>
      </c>
      <c r="AG141" s="30" t="str">
        <f t="shared" si="73"/>
        <v/>
      </c>
      <c r="AH141" s="30" t="str">
        <f t="shared" si="74"/>
        <v/>
      </c>
      <c r="AI141" s="30" t="str">
        <f t="shared" si="75"/>
        <v/>
      </c>
      <c r="AJ141" s="30" t="str">
        <f t="shared" si="76"/>
        <v/>
      </c>
      <c r="AK141" s="30" t="str">
        <f t="shared" si="77"/>
        <v/>
      </c>
      <c r="AL141" s="30" t="str">
        <f t="shared" si="78"/>
        <v/>
      </c>
      <c r="AM141" s="30" t="str">
        <f t="shared" si="79"/>
        <v/>
      </c>
      <c r="AN141" s="30" t="str">
        <f t="shared" si="80"/>
        <v/>
      </c>
      <c r="AO141" s="30" t="str">
        <f t="shared" si="81"/>
        <v/>
      </c>
      <c r="AP141" s="30" t="str">
        <f t="shared" si="82"/>
        <v/>
      </c>
      <c r="AQ141" s="30" t="str">
        <f t="shared" si="83"/>
        <v/>
      </c>
      <c r="AR141" s="30" t="str">
        <f t="shared" si="84"/>
        <v/>
      </c>
      <c r="AS141" s="30" t="str">
        <f t="shared" si="85"/>
        <v/>
      </c>
      <c r="AT141" t="str">
        <f t="shared" si="86"/>
        <v/>
      </c>
      <c r="AU141" t="str">
        <f t="shared" si="87"/>
        <v/>
      </c>
    </row>
    <row r="142" spans="1:47" ht="22" customHeight="1" x14ac:dyDescent="0.2">
      <c r="A142" s="31"/>
      <c r="B142" s="31"/>
      <c r="C142" s="32" t="str">
        <f t="shared" si="88"/>
        <v/>
      </c>
      <c r="D142" s="33"/>
      <c r="E142" s="34"/>
      <c r="F142" s="34"/>
      <c r="G142" s="34"/>
      <c r="H142" s="35"/>
      <c r="I142" s="35" t="str">
        <f t="shared" si="89"/>
        <v/>
      </c>
      <c r="J142" s="35" t="str">
        <f t="shared" si="102"/>
        <v/>
      </c>
      <c r="K142" s="34"/>
      <c r="L142" s="35"/>
      <c r="M142" s="61" t="str">
        <f t="shared" si="103"/>
        <v/>
      </c>
      <c r="N142" s="35"/>
      <c r="O142" s="34"/>
      <c r="P142" s="35"/>
      <c r="Q142" s="35"/>
      <c r="R142" s="36"/>
      <c r="S142" s="30" t="str">
        <f t="shared" si="90"/>
        <v/>
      </c>
      <c r="T142" s="6" t="str">
        <f>IF($D142="Villa Elena",COUNTIF($D$3:$D142,"Villa Elena"),"")</f>
        <v/>
      </c>
      <c r="U142" s="30" t="str">
        <f t="shared" si="91"/>
        <v/>
      </c>
      <c r="V142" s="30" t="str">
        <f t="shared" si="92"/>
        <v/>
      </c>
      <c r="W142" s="30" t="str">
        <f t="shared" si="93"/>
        <v/>
      </c>
      <c r="X142" s="30" t="str">
        <f t="shared" si="94"/>
        <v/>
      </c>
      <c r="Y142" s="30" t="str">
        <f t="shared" si="95"/>
        <v/>
      </c>
      <c r="Z142" s="30" t="str">
        <f t="shared" si="96"/>
        <v/>
      </c>
      <c r="AA142" s="30" t="str">
        <f t="shared" si="97"/>
        <v/>
      </c>
      <c r="AB142" s="30" t="str">
        <f t="shared" si="98"/>
        <v/>
      </c>
      <c r="AC142" s="30" t="str">
        <f t="shared" si="99"/>
        <v/>
      </c>
      <c r="AD142" s="30" t="str">
        <f t="shared" si="100"/>
        <v/>
      </c>
      <c r="AE142" s="30" t="str">
        <f t="shared" si="101"/>
        <v/>
      </c>
      <c r="AF142" s="30" t="str">
        <f t="shared" si="72"/>
        <v/>
      </c>
      <c r="AG142" s="30" t="str">
        <f t="shared" si="73"/>
        <v/>
      </c>
      <c r="AH142" s="30" t="str">
        <f t="shared" si="74"/>
        <v/>
      </c>
      <c r="AI142" s="30" t="str">
        <f t="shared" si="75"/>
        <v/>
      </c>
      <c r="AJ142" s="30" t="str">
        <f t="shared" si="76"/>
        <v/>
      </c>
      <c r="AK142" s="30" t="str">
        <f t="shared" si="77"/>
        <v/>
      </c>
      <c r="AL142" s="30" t="str">
        <f t="shared" si="78"/>
        <v/>
      </c>
      <c r="AM142" s="30" t="str">
        <f t="shared" si="79"/>
        <v/>
      </c>
      <c r="AN142" s="30" t="str">
        <f t="shared" si="80"/>
        <v/>
      </c>
      <c r="AO142" s="30" t="str">
        <f t="shared" si="81"/>
        <v/>
      </c>
      <c r="AP142" s="30" t="str">
        <f t="shared" si="82"/>
        <v/>
      </c>
      <c r="AQ142" s="30" t="str">
        <f t="shared" si="83"/>
        <v/>
      </c>
      <c r="AR142" s="30" t="str">
        <f t="shared" si="84"/>
        <v/>
      </c>
      <c r="AS142" s="30" t="str">
        <f t="shared" si="85"/>
        <v/>
      </c>
      <c r="AT142" t="str">
        <f t="shared" si="86"/>
        <v/>
      </c>
      <c r="AU142" t="str">
        <f t="shared" si="87"/>
        <v/>
      </c>
    </row>
    <row r="143" spans="1:47" ht="22" customHeight="1" x14ac:dyDescent="0.2">
      <c r="A143" s="31"/>
      <c r="B143" s="31"/>
      <c r="C143" s="32" t="str">
        <f t="shared" si="88"/>
        <v/>
      </c>
      <c r="D143" s="33"/>
      <c r="E143" s="34"/>
      <c r="F143" s="34"/>
      <c r="G143" s="34"/>
      <c r="H143" s="35"/>
      <c r="I143" s="35" t="str">
        <f t="shared" si="89"/>
        <v/>
      </c>
      <c r="J143" s="35" t="str">
        <f t="shared" si="102"/>
        <v/>
      </c>
      <c r="K143" s="34"/>
      <c r="L143" s="35"/>
      <c r="M143" s="61" t="str">
        <f t="shared" si="103"/>
        <v/>
      </c>
      <c r="N143" s="35"/>
      <c r="O143" s="34"/>
      <c r="P143" s="35"/>
      <c r="Q143" s="35"/>
      <c r="R143" s="36"/>
      <c r="S143" s="30" t="str">
        <f t="shared" si="90"/>
        <v/>
      </c>
      <c r="T143" s="6" t="str">
        <f>IF($D143="Villa Elena",COUNTIF($D$3:$D143,"Villa Elena"),"")</f>
        <v/>
      </c>
      <c r="U143" s="30" t="str">
        <f t="shared" si="91"/>
        <v/>
      </c>
      <c r="V143" s="30" t="str">
        <f t="shared" si="92"/>
        <v/>
      </c>
      <c r="W143" s="30" t="str">
        <f t="shared" si="93"/>
        <v/>
      </c>
      <c r="X143" s="30" t="str">
        <f t="shared" si="94"/>
        <v/>
      </c>
      <c r="Y143" s="30" t="str">
        <f t="shared" si="95"/>
        <v/>
      </c>
      <c r="Z143" s="30" t="str">
        <f t="shared" si="96"/>
        <v/>
      </c>
      <c r="AA143" s="30" t="str">
        <f t="shared" si="97"/>
        <v/>
      </c>
      <c r="AB143" s="30" t="str">
        <f t="shared" si="98"/>
        <v/>
      </c>
      <c r="AC143" s="30" t="str">
        <f t="shared" si="99"/>
        <v/>
      </c>
      <c r="AD143" s="30" t="str">
        <f t="shared" si="100"/>
        <v/>
      </c>
      <c r="AE143" s="30" t="str">
        <f t="shared" si="101"/>
        <v/>
      </c>
      <c r="AF143" s="30" t="str">
        <f t="shared" si="72"/>
        <v/>
      </c>
      <c r="AG143" s="30" t="str">
        <f t="shared" si="73"/>
        <v/>
      </c>
      <c r="AH143" s="30" t="str">
        <f t="shared" si="74"/>
        <v/>
      </c>
      <c r="AI143" s="30" t="str">
        <f t="shared" si="75"/>
        <v/>
      </c>
      <c r="AJ143" s="30" t="str">
        <f t="shared" si="76"/>
        <v/>
      </c>
      <c r="AK143" s="30" t="str">
        <f t="shared" si="77"/>
        <v/>
      </c>
      <c r="AL143" s="30" t="str">
        <f t="shared" si="78"/>
        <v/>
      </c>
      <c r="AM143" s="30" t="str">
        <f t="shared" si="79"/>
        <v/>
      </c>
      <c r="AN143" s="30" t="str">
        <f t="shared" si="80"/>
        <v/>
      </c>
      <c r="AO143" s="30" t="str">
        <f t="shared" si="81"/>
        <v/>
      </c>
      <c r="AP143" s="30" t="str">
        <f t="shared" si="82"/>
        <v/>
      </c>
      <c r="AQ143" s="30" t="str">
        <f t="shared" si="83"/>
        <v/>
      </c>
      <c r="AR143" s="30" t="str">
        <f t="shared" si="84"/>
        <v/>
      </c>
      <c r="AS143" s="30" t="str">
        <f t="shared" si="85"/>
        <v/>
      </c>
      <c r="AT143" t="str">
        <f t="shared" si="86"/>
        <v/>
      </c>
      <c r="AU143" t="str">
        <f t="shared" si="87"/>
        <v/>
      </c>
    </row>
    <row r="144" spans="1:47" ht="22" customHeight="1" x14ac:dyDescent="0.2">
      <c r="A144" s="31"/>
      <c r="B144" s="31"/>
      <c r="C144" s="32" t="str">
        <f t="shared" si="88"/>
        <v/>
      </c>
      <c r="D144" s="33"/>
      <c r="E144" s="34"/>
      <c r="F144" s="34"/>
      <c r="G144" s="34"/>
      <c r="H144" s="35"/>
      <c r="I144" s="35" t="str">
        <f t="shared" si="89"/>
        <v/>
      </c>
      <c r="J144" s="35" t="str">
        <f t="shared" si="102"/>
        <v/>
      </c>
      <c r="K144" s="34"/>
      <c r="L144" s="35"/>
      <c r="M144" s="61" t="str">
        <f t="shared" si="103"/>
        <v/>
      </c>
      <c r="N144" s="35"/>
      <c r="O144" s="34"/>
      <c r="P144" s="35"/>
      <c r="Q144" s="35"/>
      <c r="R144" s="36"/>
      <c r="S144" s="30" t="str">
        <f t="shared" si="90"/>
        <v/>
      </c>
      <c r="T144" s="6" t="str">
        <f>IF($D144="Villa Elena",COUNTIF($D$3:$D144,"Villa Elena"),"")</f>
        <v/>
      </c>
      <c r="U144" s="30" t="str">
        <f t="shared" si="91"/>
        <v/>
      </c>
      <c r="V144" s="30" t="str">
        <f t="shared" si="92"/>
        <v/>
      </c>
      <c r="W144" s="30" t="str">
        <f t="shared" si="93"/>
        <v/>
      </c>
      <c r="X144" s="30" t="str">
        <f t="shared" si="94"/>
        <v/>
      </c>
      <c r="Y144" s="30" t="str">
        <f t="shared" si="95"/>
        <v/>
      </c>
      <c r="Z144" s="30" t="str">
        <f t="shared" si="96"/>
        <v/>
      </c>
      <c r="AA144" s="30" t="str">
        <f t="shared" si="97"/>
        <v/>
      </c>
      <c r="AB144" s="30" t="str">
        <f t="shared" si="98"/>
        <v/>
      </c>
      <c r="AC144" s="30" t="str">
        <f t="shared" si="99"/>
        <v/>
      </c>
      <c r="AD144" s="30" t="str">
        <f t="shared" si="100"/>
        <v/>
      </c>
      <c r="AE144" s="30" t="str">
        <f t="shared" si="101"/>
        <v/>
      </c>
      <c r="AF144" s="30" t="str">
        <f t="shared" si="72"/>
        <v/>
      </c>
      <c r="AG144" s="30" t="str">
        <f t="shared" si="73"/>
        <v/>
      </c>
      <c r="AH144" s="30" t="str">
        <f t="shared" si="74"/>
        <v/>
      </c>
      <c r="AI144" s="30" t="str">
        <f t="shared" si="75"/>
        <v/>
      </c>
      <c r="AJ144" s="30" t="str">
        <f t="shared" si="76"/>
        <v/>
      </c>
      <c r="AK144" s="30" t="str">
        <f t="shared" si="77"/>
        <v/>
      </c>
      <c r="AL144" s="30" t="str">
        <f t="shared" si="78"/>
        <v/>
      </c>
      <c r="AM144" s="30" t="str">
        <f t="shared" si="79"/>
        <v/>
      </c>
      <c r="AN144" s="30" t="str">
        <f t="shared" si="80"/>
        <v/>
      </c>
      <c r="AO144" s="30" t="str">
        <f t="shared" si="81"/>
        <v/>
      </c>
      <c r="AP144" s="30" t="str">
        <f t="shared" si="82"/>
        <v/>
      </c>
      <c r="AQ144" s="30" t="str">
        <f t="shared" si="83"/>
        <v/>
      </c>
      <c r="AR144" s="30" t="str">
        <f t="shared" si="84"/>
        <v/>
      </c>
      <c r="AS144" s="30" t="str">
        <f t="shared" si="85"/>
        <v/>
      </c>
      <c r="AT144" t="str">
        <f t="shared" si="86"/>
        <v/>
      </c>
      <c r="AU144" t="str">
        <f t="shared" si="87"/>
        <v/>
      </c>
    </row>
    <row r="145" spans="1:47" ht="22" customHeight="1" x14ac:dyDescent="0.2">
      <c r="A145" s="31"/>
      <c r="B145" s="31"/>
      <c r="C145" s="32" t="str">
        <f t="shared" ref="C145:C176" si="104">IF(A145&lt;&gt;"",B145-A145,"")</f>
        <v/>
      </c>
      <c r="D145" s="33"/>
      <c r="E145" s="34"/>
      <c r="F145" s="34"/>
      <c r="G145" s="34"/>
      <c r="H145" s="35"/>
      <c r="I145" s="35" t="str">
        <f t="shared" si="89"/>
        <v/>
      </c>
      <c r="J145" s="35" t="str">
        <f t="shared" si="102"/>
        <v/>
      </c>
      <c r="K145" s="34"/>
      <c r="L145" s="35"/>
      <c r="M145" s="61" t="str">
        <f t="shared" si="103"/>
        <v/>
      </c>
      <c r="N145" s="35"/>
      <c r="O145" s="34"/>
      <c r="P145" s="35"/>
      <c r="Q145" s="35"/>
      <c r="R145" s="36"/>
      <c r="S145" s="30" t="str">
        <f t="shared" si="90"/>
        <v/>
      </c>
      <c r="T145" s="6" t="str">
        <f>IF($D145="Villa Elena",COUNTIF($D$3:$D145,"Villa Elena"),"")</f>
        <v/>
      </c>
      <c r="U145" s="30" t="str">
        <f t="shared" si="91"/>
        <v/>
      </c>
      <c r="V145" s="30" t="str">
        <f t="shared" si="92"/>
        <v/>
      </c>
      <c r="W145" s="30" t="str">
        <f t="shared" si="93"/>
        <v/>
      </c>
      <c r="X145" s="30" t="str">
        <f t="shared" si="94"/>
        <v/>
      </c>
      <c r="Y145" s="30" t="str">
        <f t="shared" si="95"/>
        <v/>
      </c>
      <c r="Z145" s="30" t="str">
        <f t="shared" si="96"/>
        <v/>
      </c>
      <c r="AA145" s="30" t="str">
        <f t="shared" si="97"/>
        <v/>
      </c>
      <c r="AB145" s="30" t="str">
        <f t="shared" si="98"/>
        <v/>
      </c>
      <c r="AC145" s="30" t="str">
        <f t="shared" si="99"/>
        <v/>
      </c>
      <c r="AD145" s="30" t="str">
        <f t="shared" si="100"/>
        <v/>
      </c>
      <c r="AE145" s="30" t="str">
        <f t="shared" si="101"/>
        <v/>
      </c>
      <c r="AF145" s="30" t="str">
        <f t="shared" si="72"/>
        <v/>
      </c>
      <c r="AG145" s="30" t="str">
        <f t="shared" si="73"/>
        <v/>
      </c>
      <c r="AH145" s="30" t="str">
        <f t="shared" si="74"/>
        <v/>
      </c>
      <c r="AI145" s="30" t="str">
        <f t="shared" si="75"/>
        <v/>
      </c>
      <c r="AJ145" s="30" t="str">
        <f t="shared" si="76"/>
        <v/>
      </c>
      <c r="AK145" s="30" t="str">
        <f t="shared" si="77"/>
        <v/>
      </c>
      <c r="AL145" s="30" t="str">
        <f t="shared" si="78"/>
        <v/>
      </c>
      <c r="AM145" s="30" t="str">
        <f t="shared" si="79"/>
        <v/>
      </c>
      <c r="AN145" s="30" t="str">
        <f t="shared" si="80"/>
        <v/>
      </c>
      <c r="AO145" s="30" t="str">
        <f t="shared" si="81"/>
        <v/>
      </c>
      <c r="AP145" s="30" t="str">
        <f t="shared" si="82"/>
        <v/>
      </c>
      <c r="AQ145" s="30" t="str">
        <f t="shared" si="83"/>
        <v/>
      </c>
      <c r="AR145" s="30" t="str">
        <f t="shared" si="84"/>
        <v/>
      </c>
      <c r="AS145" s="30" t="str">
        <f t="shared" si="85"/>
        <v/>
      </c>
      <c r="AT145" t="str">
        <f t="shared" si="86"/>
        <v/>
      </c>
      <c r="AU145" t="str">
        <f t="shared" si="87"/>
        <v/>
      </c>
    </row>
    <row r="146" spans="1:47" ht="22" customHeight="1" x14ac:dyDescent="0.2">
      <c r="A146" s="31"/>
      <c r="B146" s="31"/>
      <c r="C146" s="32" t="str">
        <f t="shared" si="104"/>
        <v/>
      </c>
      <c r="D146" s="33"/>
      <c r="E146" s="34"/>
      <c r="F146" s="34"/>
      <c r="G146" s="34"/>
      <c r="H146" s="35"/>
      <c r="I146" s="35" t="str">
        <f t="shared" si="89"/>
        <v/>
      </c>
      <c r="J146" s="35" t="str">
        <f t="shared" si="102"/>
        <v/>
      </c>
      <c r="K146" s="34"/>
      <c r="L146" s="35"/>
      <c r="M146" s="61" t="str">
        <f t="shared" si="103"/>
        <v/>
      </c>
      <c r="N146" s="35"/>
      <c r="O146" s="34"/>
      <c r="P146" s="35"/>
      <c r="Q146" s="35"/>
      <c r="R146" s="36"/>
      <c r="S146" s="30" t="str">
        <f t="shared" si="90"/>
        <v/>
      </c>
      <c r="T146" s="6" t="str">
        <f>IF($D146="Villa Elena",COUNTIF($D$3:$D146,"Villa Elena"),"")</f>
        <v/>
      </c>
      <c r="U146" s="30" t="str">
        <f t="shared" si="91"/>
        <v/>
      </c>
      <c r="V146" s="30" t="str">
        <f t="shared" si="92"/>
        <v/>
      </c>
      <c r="W146" s="30" t="str">
        <f t="shared" si="93"/>
        <v/>
      </c>
      <c r="X146" s="30" t="str">
        <f t="shared" si="94"/>
        <v/>
      </c>
      <c r="Y146" s="30" t="str">
        <f t="shared" si="95"/>
        <v/>
      </c>
      <c r="Z146" s="30" t="str">
        <f t="shared" si="96"/>
        <v/>
      </c>
      <c r="AA146" s="30" t="str">
        <f t="shared" si="97"/>
        <v/>
      </c>
      <c r="AB146" s="30" t="str">
        <f t="shared" si="98"/>
        <v/>
      </c>
      <c r="AC146" s="30" t="str">
        <f t="shared" si="99"/>
        <v/>
      </c>
      <c r="AD146" s="30" t="str">
        <f t="shared" si="100"/>
        <v/>
      </c>
      <c r="AE146" s="30" t="str">
        <f t="shared" si="101"/>
        <v/>
      </c>
      <c r="AF146" s="30" t="str">
        <f t="shared" si="72"/>
        <v/>
      </c>
      <c r="AG146" s="30" t="str">
        <f t="shared" si="73"/>
        <v/>
      </c>
      <c r="AH146" s="30" t="str">
        <f t="shared" si="74"/>
        <v/>
      </c>
      <c r="AI146" s="30" t="str">
        <f t="shared" si="75"/>
        <v/>
      </c>
      <c r="AJ146" s="30" t="str">
        <f t="shared" si="76"/>
        <v/>
      </c>
      <c r="AK146" s="30" t="str">
        <f t="shared" si="77"/>
        <v/>
      </c>
      <c r="AL146" s="30" t="str">
        <f t="shared" si="78"/>
        <v/>
      </c>
      <c r="AM146" s="30" t="str">
        <f t="shared" si="79"/>
        <v/>
      </c>
      <c r="AN146" s="30" t="str">
        <f t="shared" si="80"/>
        <v/>
      </c>
      <c r="AO146" s="30" t="str">
        <f t="shared" si="81"/>
        <v/>
      </c>
      <c r="AP146" s="30" t="str">
        <f t="shared" si="82"/>
        <v/>
      </c>
      <c r="AQ146" s="30" t="str">
        <f t="shared" si="83"/>
        <v/>
      </c>
      <c r="AR146" s="30" t="str">
        <f t="shared" si="84"/>
        <v/>
      </c>
      <c r="AS146" s="30" t="str">
        <f t="shared" si="85"/>
        <v/>
      </c>
      <c r="AT146" t="str">
        <f t="shared" si="86"/>
        <v/>
      </c>
      <c r="AU146" t="str">
        <f t="shared" si="87"/>
        <v/>
      </c>
    </row>
    <row r="147" spans="1:47" ht="22" customHeight="1" x14ac:dyDescent="0.2">
      <c r="A147" s="31"/>
      <c r="B147" s="31"/>
      <c r="C147" s="32" t="str">
        <f t="shared" si="104"/>
        <v/>
      </c>
      <c r="D147" s="33"/>
      <c r="E147" s="34"/>
      <c r="F147" s="34"/>
      <c r="G147" s="34"/>
      <c r="H147" s="35"/>
      <c r="I147" s="35" t="str">
        <f t="shared" si="89"/>
        <v/>
      </c>
      <c r="J147" s="35" t="str">
        <f t="shared" si="102"/>
        <v/>
      </c>
      <c r="K147" s="34"/>
      <c r="L147" s="35"/>
      <c r="M147" s="61" t="str">
        <f t="shared" si="103"/>
        <v/>
      </c>
      <c r="N147" s="35"/>
      <c r="O147" s="34"/>
      <c r="P147" s="35"/>
      <c r="Q147" s="35"/>
      <c r="R147" s="36"/>
      <c r="S147" s="30" t="str">
        <f t="shared" si="90"/>
        <v/>
      </c>
      <c r="T147" s="6" t="str">
        <f>IF($D147="Villa Elena",COUNTIF($D$3:$D147,"Villa Elena"),"")</f>
        <v/>
      </c>
      <c r="U147" s="30" t="str">
        <f t="shared" si="91"/>
        <v/>
      </c>
      <c r="V147" s="30" t="str">
        <f t="shared" si="92"/>
        <v/>
      </c>
      <c r="W147" s="30" t="str">
        <f t="shared" si="93"/>
        <v/>
      </c>
      <c r="X147" s="30" t="str">
        <f t="shared" si="94"/>
        <v/>
      </c>
      <c r="Y147" s="30" t="str">
        <f t="shared" si="95"/>
        <v/>
      </c>
      <c r="Z147" s="30" t="str">
        <f t="shared" si="96"/>
        <v/>
      </c>
      <c r="AA147" s="30" t="str">
        <f t="shared" si="97"/>
        <v/>
      </c>
      <c r="AB147" s="30" t="str">
        <f t="shared" si="98"/>
        <v/>
      </c>
      <c r="AC147" s="30" t="str">
        <f t="shared" si="99"/>
        <v/>
      </c>
      <c r="AD147" s="30" t="str">
        <f t="shared" si="100"/>
        <v/>
      </c>
      <c r="AE147" s="30" t="str">
        <f t="shared" si="101"/>
        <v/>
      </c>
      <c r="AF147" s="30" t="str">
        <f t="shared" si="72"/>
        <v/>
      </c>
      <c r="AG147" s="30" t="str">
        <f t="shared" si="73"/>
        <v/>
      </c>
      <c r="AH147" s="30" t="str">
        <f t="shared" si="74"/>
        <v/>
      </c>
      <c r="AI147" s="30" t="str">
        <f t="shared" si="75"/>
        <v/>
      </c>
      <c r="AJ147" s="30" t="str">
        <f t="shared" si="76"/>
        <v/>
      </c>
      <c r="AK147" s="30" t="str">
        <f t="shared" si="77"/>
        <v/>
      </c>
      <c r="AL147" s="30" t="str">
        <f t="shared" si="78"/>
        <v/>
      </c>
      <c r="AM147" s="30" t="str">
        <f t="shared" si="79"/>
        <v/>
      </c>
      <c r="AN147" s="30" t="str">
        <f t="shared" si="80"/>
        <v/>
      </c>
      <c r="AO147" s="30" t="str">
        <f t="shared" si="81"/>
        <v/>
      </c>
      <c r="AP147" s="30" t="str">
        <f t="shared" si="82"/>
        <v/>
      </c>
      <c r="AQ147" s="30" t="str">
        <f t="shared" si="83"/>
        <v/>
      </c>
      <c r="AR147" s="30" t="str">
        <f t="shared" si="84"/>
        <v/>
      </c>
      <c r="AS147" s="30" t="str">
        <f t="shared" si="85"/>
        <v/>
      </c>
      <c r="AT147" t="str">
        <f t="shared" si="86"/>
        <v/>
      </c>
      <c r="AU147" t="str">
        <f t="shared" si="87"/>
        <v/>
      </c>
    </row>
    <row r="148" spans="1:47" ht="22" customHeight="1" x14ac:dyDescent="0.2">
      <c r="A148" s="31"/>
      <c r="B148" s="31"/>
      <c r="C148" s="32" t="str">
        <f t="shared" si="104"/>
        <v/>
      </c>
      <c r="D148" s="33"/>
      <c r="E148" s="34"/>
      <c r="F148" s="34"/>
      <c r="G148" s="34"/>
      <c r="H148" s="35"/>
      <c r="I148" s="35" t="str">
        <f t="shared" si="89"/>
        <v/>
      </c>
      <c r="J148" s="35" t="str">
        <f t="shared" si="102"/>
        <v/>
      </c>
      <c r="K148" s="34"/>
      <c r="L148" s="35"/>
      <c r="M148" s="61" t="str">
        <f t="shared" si="103"/>
        <v/>
      </c>
      <c r="N148" s="35"/>
      <c r="O148" s="34"/>
      <c r="P148" s="35"/>
      <c r="Q148" s="35"/>
      <c r="R148" s="36"/>
      <c r="S148" s="30" t="str">
        <f t="shared" si="90"/>
        <v/>
      </c>
      <c r="T148" s="6" t="str">
        <f>IF($D148="Villa Elena",COUNTIF($D$3:$D148,"Villa Elena"),"")</f>
        <v/>
      </c>
      <c r="U148" s="30" t="str">
        <f t="shared" si="91"/>
        <v/>
      </c>
      <c r="V148" s="30" t="str">
        <f t="shared" si="92"/>
        <v/>
      </c>
      <c r="W148" s="30" t="str">
        <f t="shared" si="93"/>
        <v/>
      </c>
      <c r="X148" s="30" t="str">
        <f t="shared" si="94"/>
        <v/>
      </c>
      <c r="Y148" s="30" t="str">
        <f t="shared" si="95"/>
        <v/>
      </c>
      <c r="Z148" s="30" t="str">
        <f t="shared" si="96"/>
        <v/>
      </c>
      <c r="AA148" s="30" t="str">
        <f t="shared" si="97"/>
        <v/>
      </c>
      <c r="AB148" s="30" t="str">
        <f t="shared" si="98"/>
        <v/>
      </c>
      <c r="AC148" s="30" t="str">
        <f t="shared" si="99"/>
        <v/>
      </c>
      <c r="AD148" s="30" t="str">
        <f t="shared" si="100"/>
        <v/>
      </c>
      <c r="AE148" s="30" t="str">
        <f t="shared" si="101"/>
        <v/>
      </c>
      <c r="AF148" s="30" t="str">
        <f t="shared" si="72"/>
        <v/>
      </c>
      <c r="AG148" s="30" t="str">
        <f t="shared" si="73"/>
        <v/>
      </c>
      <c r="AH148" s="30" t="str">
        <f t="shared" si="74"/>
        <v/>
      </c>
      <c r="AI148" s="30" t="str">
        <f t="shared" si="75"/>
        <v/>
      </c>
      <c r="AJ148" s="30" t="str">
        <f t="shared" si="76"/>
        <v/>
      </c>
      <c r="AK148" s="30" t="str">
        <f t="shared" si="77"/>
        <v/>
      </c>
      <c r="AL148" s="30" t="str">
        <f t="shared" si="78"/>
        <v/>
      </c>
      <c r="AM148" s="30" t="str">
        <f t="shared" si="79"/>
        <v/>
      </c>
      <c r="AN148" s="30" t="str">
        <f t="shared" si="80"/>
        <v/>
      </c>
      <c r="AO148" s="30" t="str">
        <f t="shared" si="81"/>
        <v/>
      </c>
      <c r="AP148" s="30" t="str">
        <f t="shared" si="82"/>
        <v/>
      </c>
      <c r="AQ148" s="30" t="str">
        <f t="shared" si="83"/>
        <v/>
      </c>
      <c r="AR148" s="30" t="str">
        <f t="shared" si="84"/>
        <v/>
      </c>
      <c r="AS148" s="30" t="str">
        <f t="shared" si="85"/>
        <v/>
      </c>
      <c r="AT148" t="str">
        <f t="shared" si="86"/>
        <v/>
      </c>
      <c r="AU148" t="str">
        <f t="shared" si="87"/>
        <v/>
      </c>
    </row>
    <row r="149" spans="1:47" ht="22" customHeight="1" x14ac:dyDescent="0.2">
      <c r="A149" s="31"/>
      <c r="B149" s="31"/>
      <c r="C149" s="32" t="str">
        <f t="shared" si="104"/>
        <v/>
      </c>
      <c r="D149" s="33"/>
      <c r="E149" s="34"/>
      <c r="F149" s="34"/>
      <c r="G149" s="34"/>
      <c r="H149" s="35"/>
      <c r="I149" s="35" t="str">
        <f t="shared" si="89"/>
        <v/>
      </c>
      <c r="J149" s="35" t="str">
        <f t="shared" si="102"/>
        <v/>
      </c>
      <c r="K149" s="34"/>
      <c r="L149" s="35"/>
      <c r="M149" s="61" t="str">
        <f t="shared" si="103"/>
        <v/>
      </c>
      <c r="N149" s="35"/>
      <c r="O149" s="34"/>
      <c r="P149" s="35"/>
      <c r="Q149" s="35"/>
      <c r="R149" s="36"/>
      <c r="S149" s="30" t="str">
        <f t="shared" si="90"/>
        <v/>
      </c>
      <c r="T149" s="6" t="str">
        <f>IF($D149="Villa Elena",COUNTIF($D$3:$D149,"Villa Elena"),"")</f>
        <v/>
      </c>
      <c r="U149" s="30" t="str">
        <f t="shared" si="91"/>
        <v/>
      </c>
      <c r="V149" s="30" t="str">
        <f t="shared" si="92"/>
        <v/>
      </c>
      <c r="W149" s="30" t="str">
        <f t="shared" si="93"/>
        <v/>
      </c>
      <c r="X149" s="30" t="str">
        <f t="shared" si="94"/>
        <v/>
      </c>
      <c r="Y149" s="30" t="str">
        <f t="shared" si="95"/>
        <v/>
      </c>
      <c r="Z149" s="30" t="str">
        <f t="shared" si="96"/>
        <v/>
      </c>
      <c r="AA149" s="30" t="str">
        <f t="shared" si="97"/>
        <v/>
      </c>
      <c r="AB149" s="30" t="str">
        <f t="shared" si="98"/>
        <v/>
      </c>
      <c r="AC149" s="30" t="str">
        <f t="shared" si="99"/>
        <v/>
      </c>
      <c r="AD149" s="30" t="str">
        <f t="shared" si="100"/>
        <v/>
      </c>
      <c r="AE149" s="30" t="str">
        <f t="shared" si="101"/>
        <v/>
      </c>
      <c r="AF149" s="30" t="str">
        <f t="shared" si="72"/>
        <v/>
      </c>
      <c r="AG149" s="30" t="str">
        <f t="shared" si="73"/>
        <v/>
      </c>
      <c r="AH149" s="30" t="str">
        <f t="shared" si="74"/>
        <v/>
      </c>
      <c r="AI149" s="30" t="str">
        <f t="shared" si="75"/>
        <v/>
      </c>
      <c r="AJ149" s="30" t="str">
        <f t="shared" si="76"/>
        <v/>
      </c>
      <c r="AK149" s="30" t="str">
        <f t="shared" si="77"/>
        <v/>
      </c>
      <c r="AL149" s="30" t="str">
        <f t="shared" si="78"/>
        <v/>
      </c>
      <c r="AM149" s="30" t="str">
        <f t="shared" si="79"/>
        <v/>
      </c>
      <c r="AN149" s="30" t="str">
        <f t="shared" si="80"/>
        <v/>
      </c>
      <c r="AO149" s="30" t="str">
        <f t="shared" si="81"/>
        <v/>
      </c>
      <c r="AP149" s="30" t="str">
        <f t="shared" si="82"/>
        <v/>
      </c>
      <c r="AQ149" s="30" t="str">
        <f t="shared" si="83"/>
        <v/>
      </c>
      <c r="AR149" s="30" t="str">
        <f t="shared" si="84"/>
        <v/>
      </c>
      <c r="AS149" s="30" t="str">
        <f t="shared" si="85"/>
        <v/>
      </c>
      <c r="AT149" t="str">
        <f t="shared" si="86"/>
        <v/>
      </c>
      <c r="AU149" t="str">
        <f t="shared" si="87"/>
        <v/>
      </c>
    </row>
    <row r="150" spans="1:47" ht="22" customHeight="1" x14ac:dyDescent="0.2">
      <c r="A150" s="31"/>
      <c r="B150" s="31"/>
      <c r="C150" s="32" t="str">
        <f t="shared" si="104"/>
        <v/>
      </c>
      <c r="D150" s="33"/>
      <c r="E150" s="34"/>
      <c r="F150" s="34"/>
      <c r="G150" s="34"/>
      <c r="H150" s="35"/>
      <c r="I150" s="35" t="str">
        <f t="shared" si="89"/>
        <v/>
      </c>
      <c r="J150" s="35" t="str">
        <f t="shared" si="102"/>
        <v/>
      </c>
      <c r="K150" s="34"/>
      <c r="L150" s="35"/>
      <c r="M150" s="61" t="str">
        <f t="shared" si="103"/>
        <v/>
      </c>
      <c r="N150" s="35"/>
      <c r="O150" s="34"/>
      <c r="P150" s="35"/>
      <c r="Q150" s="35"/>
      <c r="R150" s="36"/>
      <c r="S150" s="30" t="str">
        <f t="shared" si="90"/>
        <v/>
      </c>
      <c r="T150" s="6" t="str">
        <f>IF($D150="Villa Elena",COUNTIF($D$3:$D150,"Villa Elena"),"")</f>
        <v/>
      </c>
      <c r="U150" s="30" t="str">
        <f t="shared" si="91"/>
        <v/>
      </c>
      <c r="V150" s="30" t="str">
        <f t="shared" si="92"/>
        <v/>
      </c>
      <c r="W150" s="30" t="str">
        <f t="shared" si="93"/>
        <v/>
      </c>
      <c r="X150" s="30" t="str">
        <f t="shared" si="94"/>
        <v/>
      </c>
      <c r="Y150" s="30" t="str">
        <f t="shared" si="95"/>
        <v/>
      </c>
      <c r="Z150" s="30" t="str">
        <f t="shared" si="96"/>
        <v/>
      </c>
      <c r="AA150" s="30" t="str">
        <f t="shared" si="97"/>
        <v/>
      </c>
      <c r="AB150" s="30" t="str">
        <f t="shared" si="98"/>
        <v/>
      </c>
      <c r="AC150" s="30" t="str">
        <f t="shared" si="99"/>
        <v/>
      </c>
      <c r="AD150" s="30" t="str">
        <f t="shared" si="100"/>
        <v/>
      </c>
      <c r="AE150" s="30" t="str">
        <f t="shared" si="101"/>
        <v/>
      </c>
      <c r="AF150" s="30" t="str">
        <f t="shared" si="72"/>
        <v/>
      </c>
      <c r="AG150" s="30" t="str">
        <f t="shared" si="73"/>
        <v/>
      </c>
      <c r="AH150" s="30" t="str">
        <f t="shared" si="74"/>
        <v/>
      </c>
      <c r="AI150" s="30" t="str">
        <f t="shared" si="75"/>
        <v/>
      </c>
      <c r="AJ150" s="30" t="str">
        <f t="shared" si="76"/>
        <v/>
      </c>
      <c r="AK150" s="30" t="str">
        <f t="shared" si="77"/>
        <v/>
      </c>
      <c r="AL150" s="30" t="str">
        <f t="shared" si="78"/>
        <v/>
      </c>
      <c r="AM150" s="30" t="str">
        <f t="shared" si="79"/>
        <v/>
      </c>
      <c r="AN150" s="30" t="str">
        <f t="shared" si="80"/>
        <v/>
      </c>
      <c r="AO150" s="30" t="str">
        <f t="shared" si="81"/>
        <v/>
      </c>
      <c r="AP150" s="30" t="str">
        <f t="shared" si="82"/>
        <v/>
      </c>
      <c r="AQ150" s="30" t="str">
        <f t="shared" si="83"/>
        <v/>
      </c>
      <c r="AR150" s="30" t="str">
        <f t="shared" si="84"/>
        <v/>
      </c>
      <c r="AS150" s="30" t="str">
        <f t="shared" si="85"/>
        <v/>
      </c>
      <c r="AT150" t="str">
        <f t="shared" si="86"/>
        <v/>
      </c>
      <c r="AU150" t="str">
        <f t="shared" si="87"/>
        <v/>
      </c>
    </row>
    <row r="151" spans="1:47" ht="22" customHeight="1" x14ac:dyDescent="0.2">
      <c r="A151" s="31"/>
      <c r="B151" s="31"/>
      <c r="C151" s="32" t="str">
        <f t="shared" si="104"/>
        <v/>
      </c>
      <c r="D151" s="33"/>
      <c r="E151" s="34"/>
      <c r="F151" s="34"/>
      <c r="G151" s="34"/>
      <c r="H151" s="35"/>
      <c r="I151" s="35" t="str">
        <f t="shared" si="89"/>
        <v/>
      </c>
      <c r="J151" s="35" t="str">
        <f t="shared" si="102"/>
        <v/>
      </c>
      <c r="K151" s="34"/>
      <c r="L151" s="35"/>
      <c r="M151" s="61" t="str">
        <f t="shared" si="103"/>
        <v/>
      </c>
      <c r="N151" s="35"/>
      <c r="O151" s="34"/>
      <c r="P151" s="35"/>
      <c r="Q151" s="35"/>
      <c r="R151" s="36"/>
      <c r="S151" s="30" t="str">
        <f t="shared" si="90"/>
        <v/>
      </c>
      <c r="T151" s="6" t="str">
        <f>IF($D151="Villa Elena",COUNTIF($D$3:$D151,"Villa Elena"),"")</f>
        <v/>
      </c>
      <c r="U151" s="30" t="str">
        <f t="shared" si="91"/>
        <v/>
      </c>
      <c r="V151" s="30" t="str">
        <f t="shared" si="92"/>
        <v/>
      </c>
      <c r="W151" s="30" t="str">
        <f t="shared" si="93"/>
        <v/>
      </c>
      <c r="X151" s="30" t="str">
        <f t="shared" si="94"/>
        <v/>
      </c>
      <c r="Y151" s="30" t="str">
        <f t="shared" si="95"/>
        <v/>
      </c>
      <c r="Z151" s="30" t="str">
        <f t="shared" si="96"/>
        <v/>
      </c>
      <c r="AA151" s="30" t="str">
        <f t="shared" si="97"/>
        <v/>
      </c>
      <c r="AB151" s="30" t="str">
        <f t="shared" si="98"/>
        <v/>
      </c>
      <c r="AC151" s="30" t="str">
        <f t="shared" si="99"/>
        <v/>
      </c>
      <c r="AD151" s="30" t="str">
        <f t="shared" si="100"/>
        <v/>
      </c>
      <c r="AE151" s="30" t="str">
        <f t="shared" si="101"/>
        <v/>
      </c>
      <c r="AF151" s="30" t="str">
        <f t="shared" si="72"/>
        <v/>
      </c>
      <c r="AG151" s="30" t="str">
        <f t="shared" si="73"/>
        <v/>
      </c>
      <c r="AH151" s="30" t="str">
        <f t="shared" si="74"/>
        <v/>
      </c>
      <c r="AI151" s="30" t="str">
        <f t="shared" si="75"/>
        <v/>
      </c>
      <c r="AJ151" s="30" t="str">
        <f t="shared" si="76"/>
        <v/>
      </c>
      <c r="AK151" s="30" t="str">
        <f t="shared" si="77"/>
        <v/>
      </c>
      <c r="AL151" s="30" t="str">
        <f t="shared" si="78"/>
        <v/>
      </c>
      <c r="AM151" s="30" t="str">
        <f t="shared" si="79"/>
        <v/>
      </c>
      <c r="AN151" s="30" t="str">
        <f t="shared" si="80"/>
        <v/>
      </c>
      <c r="AO151" s="30" t="str">
        <f t="shared" si="81"/>
        <v/>
      </c>
      <c r="AP151" s="30" t="str">
        <f t="shared" si="82"/>
        <v/>
      </c>
      <c r="AQ151" s="30" t="str">
        <f t="shared" si="83"/>
        <v/>
      </c>
      <c r="AR151" s="30" t="str">
        <f t="shared" si="84"/>
        <v/>
      </c>
      <c r="AS151" s="30" t="str">
        <f t="shared" si="85"/>
        <v/>
      </c>
      <c r="AT151" t="str">
        <f t="shared" si="86"/>
        <v/>
      </c>
      <c r="AU151" t="str">
        <f t="shared" si="87"/>
        <v/>
      </c>
    </row>
    <row r="152" spans="1:47" ht="22" customHeight="1" x14ac:dyDescent="0.2">
      <c r="A152" s="31"/>
      <c r="B152" s="31"/>
      <c r="C152" s="32" t="str">
        <f t="shared" si="104"/>
        <v/>
      </c>
      <c r="D152" s="33"/>
      <c r="E152" s="34"/>
      <c r="F152" s="34"/>
      <c r="G152" s="34"/>
      <c r="H152" s="35"/>
      <c r="I152" s="35" t="str">
        <f t="shared" si="89"/>
        <v/>
      </c>
      <c r="J152" s="35" t="str">
        <f t="shared" si="102"/>
        <v/>
      </c>
      <c r="K152" s="34"/>
      <c r="L152" s="35"/>
      <c r="M152" s="61" t="str">
        <f t="shared" si="103"/>
        <v/>
      </c>
      <c r="N152" s="35"/>
      <c r="O152" s="34"/>
      <c r="P152" s="35"/>
      <c r="Q152" s="35"/>
      <c r="R152" s="36"/>
      <c r="S152" s="30" t="str">
        <f t="shared" si="90"/>
        <v/>
      </c>
      <c r="T152" s="6" t="str">
        <f>IF($D152="Villa Elena",COUNTIF($D$3:$D152,"Villa Elena"),"")</f>
        <v/>
      </c>
      <c r="U152" s="30" t="str">
        <f t="shared" si="91"/>
        <v/>
      </c>
      <c r="V152" s="30" t="str">
        <f t="shared" si="92"/>
        <v/>
      </c>
      <c r="W152" s="30" t="str">
        <f t="shared" si="93"/>
        <v/>
      </c>
      <c r="X152" s="30" t="str">
        <f t="shared" si="94"/>
        <v/>
      </c>
      <c r="Y152" s="30" t="str">
        <f t="shared" si="95"/>
        <v/>
      </c>
      <c r="Z152" s="30" t="str">
        <f t="shared" si="96"/>
        <v/>
      </c>
      <c r="AA152" s="30" t="str">
        <f t="shared" si="97"/>
        <v/>
      </c>
      <c r="AB152" s="30" t="str">
        <f t="shared" si="98"/>
        <v/>
      </c>
      <c r="AC152" s="30" t="str">
        <f t="shared" si="99"/>
        <v/>
      </c>
      <c r="AD152" s="30" t="str">
        <f t="shared" si="100"/>
        <v/>
      </c>
      <c r="AE152" s="30" t="str">
        <f t="shared" si="101"/>
        <v/>
      </c>
      <c r="AF152" s="30" t="str">
        <f t="shared" si="72"/>
        <v/>
      </c>
      <c r="AG152" s="30" t="str">
        <f t="shared" si="73"/>
        <v/>
      </c>
      <c r="AH152" s="30" t="str">
        <f t="shared" si="74"/>
        <v/>
      </c>
      <c r="AI152" s="30" t="str">
        <f t="shared" si="75"/>
        <v/>
      </c>
      <c r="AJ152" s="30" t="str">
        <f t="shared" si="76"/>
        <v/>
      </c>
      <c r="AK152" s="30" t="str">
        <f t="shared" si="77"/>
        <v/>
      </c>
      <c r="AL152" s="30" t="str">
        <f t="shared" si="78"/>
        <v/>
      </c>
      <c r="AM152" s="30" t="str">
        <f t="shared" si="79"/>
        <v/>
      </c>
      <c r="AN152" s="30" t="str">
        <f t="shared" si="80"/>
        <v/>
      </c>
      <c r="AO152" s="30" t="str">
        <f t="shared" si="81"/>
        <v/>
      </c>
      <c r="AP152" s="30" t="str">
        <f t="shared" si="82"/>
        <v/>
      </c>
      <c r="AQ152" s="30" t="str">
        <f t="shared" si="83"/>
        <v/>
      </c>
      <c r="AR152" s="30" t="str">
        <f t="shared" si="84"/>
        <v/>
      </c>
      <c r="AS152" s="30" t="str">
        <f t="shared" si="85"/>
        <v/>
      </c>
      <c r="AT152" t="str">
        <f t="shared" si="86"/>
        <v/>
      </c>
      <c r="AU152" t="str">
        <f t="shared" si="87"/>
        <v/>
      </c>
    </row>
    <row r="153" spans="1:47" ht="22" customHeight="1" x14ac:dyDescent="0.2">
      <c r="A153" s="31"/>
      <c r="B153" s="31"/>
      <c r="C153" s="32" t="str">
        <f t="shared" si="104"/>
        <v/>
      </c>
      <c r="D153" s="33"/>
      <c r="E153" s="34"/>
      <c r="F153" s="34"/>
      <c r="G153" s="34"/>
      <c r="H153" s="35"/>
      <c r="I153" s="35" t="str">
        <f t="shared" si="89"/>
        <v/>
      </c>
      <c r="J153" s="35" t="str">
        <f t="shared" si="102"/>
        <v/>
      </c>
      <c r="K153" s="34"/>
      <c r="L153" s="35"/>
      <c r="M153" s="61" t="str">
        <f t="shared" si="103"/>
        <v/>
      </c>
      <c r="N153" s="35"/>
      <c r="O153" s="34"/>
      <c r="P153" s="35"/>
      <c r="Q153" s="35"/>
      <c r="R153" s="36"/>
      <c r="S153" s="30" t="str">
        <f t="shared" si="90"/>
        <v/>
      </c>
      <c r="T153" s="6" t="str">
        <f>IF($D153="Villa Elena",COUNTIF($D$3:$D153,"Villa Elena"),"")</f>
        <v/>
      </c>
      <c r="U153" s="30" t="str">
        <f t="shared" si="91"/>
        <v/>
      </c>
      <c r="V153" s="30" t="str">
        <f t="shared" si="92"/>
        <v/>
      </c>
      <c r="W153" s="30" t="str">
        <f t="shared" si="93"/>
        <v/>
      </c>
      <c r="X153" s="30" t="str">
        <f t="shared" si="94"/>
        <v/>
      </c>
      <c r="Y153" s="30" t="str">
        <f t="shared" si="95"/>
        <v/>
      </c>
      <c r="Z153" s="30" t="str">
        <f t="shared" si="96"/>
        <v/>
      </c>
      <c r="AA153" s="30" t="str">
        <f t="shared" si="97"/>
        <v/>
      </c>
      <c r="AB153" s="30" t="str">
        <f t="shared" si="98"/>
        <v/>
      </c>
      <c r="AC153" s="30" t="str">
        <f t="shared" si="99"/>
        <v/>
      </c>
      <c r="AD153" s="30" t="str">
        <f t="shared" si="100"/>
        <v/>
      </c>
      <c r="AE153" s="30" t="str">
        <f t="shared" si="101"/>
        <v/>
      </c>
      <c r="AF153" s="30" t="str">
        <f t="shared" si="72"/>
        <v/>
      </c>
      <c r="AG153" s="30" t="str">
        <f t="shared" si="73"/>
        <v/>
      </c>
      <c r="AH153" s="30" t="str">
        <f t="shared" si="74"/>
        <v/>
      </c>
      <c r="AI153" s="30" t="str">
        <f t="shared" si="75"/>
        <v/>
      </c>
      <c r="AJ153" s="30" t="str">
        <f t="shared" si="76"/>
        <v/>
      </c>
      <c r="AK153" s="30" t="str">
        <f t="shared" si="77"/>
        <v/>
      </c>
      <c r="AL153" s="30" t="str">
        <f t="shared" si="78"/>
        <v/>
      </c>
      <c r="AM153" s="30" t="str">
        <f t="shared" si="79"/>
        <v/>
      </c>
      <c r="AN153" s="30" t="str">
        <f t="shared" si="80"/>
        <v/>
      </c>
      <c r="AO153" s="30" t="str">
        <f t="shared" si="81"/>
        <v/>
      </c>
      <c r="AP153" s="30" t="str">
        <f t="shared" si="82"/>
        <v/>
      </c>
      <c r="AQ153" s="30" t="str">
        <f t="shared" si="83"/>
        <v/>
      </c>
      <c r="AR153" s="30" t="str">
        <f t="shared" si="84"/>
        <v/>
      </c>
      <c r="AS153" s="30" t="str">
        <f t="shared" si="85"/>
        <v/>
      </c>
      <c r="AT153" t="str">
        <f t="shared" si="86"/>
        <v/>
      </c>
      <c r="AU153" t="str">
        <f t="shared" si="87"/>
        <v/>
      </c>
    </row>
    <row r="154" spans="1:47" ht="22" customHeight="1" x14ac:dyDescent="0.2">
      <c r="A154" s="31"/>
      <c r="B154" s="31"/>
      <c r="C154" s="32" t="str">
        <f t="shared" si="104"/>
        <v/>
      </c>
      <c r="D154" s="33"/>
      <c r="E154" s="34"/>
      <c r="F154" s="34"/>
      <c r="G154" s="34"/>
      <c r="H154" s="35"/>
      <c r="I154" s="35" t="str">
        <f t="shared" si="89"/>
        <v/>
      </c>
      <c r="J154" s="35" t="str">
        <f t="shared" si="102"/>
        <v/>
      </c>
      <c r="K154" s="34"/>
      <c r="L154" s="35"/>
      <c r="M154" s="61" t="str">
        <f t="shared" si="103"/>
        <v/>
      </c>
      <c r="N154" s="35"/>
      <c r="O154" s="34"/>
      <c r="P154" s="35"/>
      <c r="Q154" s="35"/>
      <c r="R154" s="36"/>
      <c r="S154" s="30" t="str">
        <f t="shared" si="90"/>
        <v/>
      </c>
      <c r="T154" s="6" t="str">
        <f>IF($D154="Villa Elena",COUNTIF($D$3:$D154,"Villa Elena"),"")</f>
        <v/>
      </c>
      <c r="U154" s="30" t="str">
        <f t="shared" si="91"/>
        <v/>
      </c>
      <c r="V154" s="30" t="str">
        <f t="shared" si="92"/>
        <v/>
      </c>
      <c r="W154" s="30" t="str">
        <f t="shared" si="93"/>
        <v/>
      </c>
      <c r="X154" s="30" t="str">
        <f t="shared" si="94"/>
        <v/>
      </c>
      <c r="Y154" s="30" t="str">
        <f t="shared" si="95"/>
        <v/>
      </c>
      <c r="Z154" s="30" t="str">
        <f t="shared" si="96"/>
        <v/>
      </c>
      <c r="AA154" s="30" t="str">
        <f t="shared" si="97"/>
        <v/>
      </c>
      <c r="AB154" s="30" t="str">
        <f t="shared" si="98"/>
        <v/>
      </c>
      <c r="AC154" s="30" t="str">
        <f t="shared" si="99"/>
        <v/>
      </c>
      <c r="AD154" s="30" t="str">
        <f t="shared" si="100"/>
        <v/>
      </c>
      <c r="AE154" s="30" t="str">
        <f t="shared" si="101"/>
        <v/>
      </c>
      <c r="AF154" s="30" t="str">
        <f t="shared" si="72"/>
        <v/>
      </c>
      <c r="AG154" s="30" t="str">
        <f t="shared" si="73"/>
        <v/>
      </c>
      <c r="AH154" s="30" t="str">
        <f t="shared" si="74"/>
        <v/>
      </c>
      <c r="AI154" s="30" t="str">
        <f t="shared" si="75"/>
        <v/>
      </c>
      <c r="AJ154" s="30" t="str">
        <f t="shared" si="76"/>
        <v/>
      </c>
      <c r="AK154" s="30" t="str">
        <f t="shared" si="77"/>
        <v/>
      </c>
      <c r="AL154" s="30" t="str">
        <f t="shared" si="78"/>
        <v/>
      </c>
      <c r="AM154" s="30" t="str">
        <f t="shared" si="79"/>
        <v/>
      </c>
      <c r="AN154" s="30" t="str">
        <f t="shared" si="80"/>
        <v/>
      </c>
      <c r="AO154" s="30" t="str">
        <f t="shared" si="81"/>
        <v/>
      </c>
      <c r="AP154" s="30" t="str">
        <f t="shared" si="82"/>
        <v/>
      </c>
      <c r="AQ154" s="30" t="str">
        <f t="shared" si="83"/>
        <v/>
      </c>
      <c r="AR154" s="30" t="str">
        <f t="shared" si="84"/>
        <v/>
      </c>
      <c r="AS154" s="30" t="str">
        <f t="shared" si="85"/>
        <v/>
      </c>
      <c r="AT154" t="str">
        <f t="shared" si="86"/>
        <v/>
      </c>
      <c r="AU154" t="str">
        <f t="shared" si="87"/>
        <v/>
      </c>
    </row>
    <row r="155" spans="1:47" ht="22" customHeight="1" x14ac:dyDescent="0.2">
      <c r="A155" s="31"/>
      <c r="B155" s="31"/>
      <c r="C155" s="32" t="str">
        <f t="shared" si="104"/>
        <v/>
      </c>
      <c r="D155" s="33"/>
      <c r="E155" s="34"/>
      <c r="F155" s="34"/>
      <c r="G155" s="34"/>
      <c r="H155" s="35"/>
      <c r="I155" s="35" t="str">
        <f t="shared" si="89"/>
        <v/>
      </c>
      <c r="J155" s="35" t="str">
        <f t="shared" si="102"/>
        <v/>
      </c>
      <c r="K155" s="34"/>
      <c r="L155" s="35"/>
      <c r="M155" s="61" t="str">
        <f t="shared" si="103"/>
        <v/>
      </c>
      <c r="N155" s="35"/>
      <c r="O155" s="34"/>
      <c r="P155" s="35"/>
      <c r="Q155" s="35"/>
      <c r="R155" s="36"/>
      <c r="S155" s="30" t="str">
        <f t="shared" si="90"/>
        <v/>
      </c>
      <c r="T155" s="6" t="str">
        <f>IF($D155="Villa Elena",COUNTIF($D$3:$D155,"Villa Elena"),"")</f>
        <v/>
      </c>
      <c r="U155" s="30" t="str">
        <f t="shared" si="91"/>
        <v/>
      </c>
      <c r="V155" s="30" t="str">
        <f t="shared" si="92"/>
        <v/>
      </c>
      <c r="W155" s="30" t="str">
        <f t="shared" si="93"/>
        <v/>
      </c>
      <c r="X155" s="30" t="str">
        <f t="shared" si="94"/>
        <v/>
      </c>
      <c r="Y155" s="30" t="str">
        <f t="shared" si="95"/>
        <v/>
      </c>
      <c r="Z155" s="30" t="str">
        <f t="shared" si="96"/>
        <v/>
      </c>
      <c r="AA155" s="30" t="str">
        <f t="shared" si="97"/>
        <v/>
      </c>
      <c r="AB155" s="30" t="str">
        <f t="shared" si="98"/>
        <v/>
      </c>
      <c r="AC155" s="30" t="str">
        <f t="shared" si="99"/>
        <v/>
      </c>
      <c r="AD155" s="30" t="str">
        <f t="shared" si="100"/>
        <v/>
      </c>
      <c r="AE155" s="30" t="str">
        <f t="shared" si="101"/>
        <v/>
      </c>
      <c r="AF155" s="30" t="str">
        <f t="shared" si="72"/>
        <v/>
      </c>
      <c r="AG155" s="30" t="str">
        <f t="shared" si="73"/>
        <v/>
      </c>
      <c r="AH155" s="30" t="str">
        <f t="shared" si="74"/>
        <v/>
      </c>
      <c r="AI155" s="30" t="str">
        <f t="shared" si="75"/>
        <v/>
      </c>
      <c r="AJ155" s="30" t="str">
        <f t="shared" si="76"/>
        <v/>
      </c>
      <c r="AK155" s="30" t="str">
        <f t="shared" si="77"/>
        <v/>
      </c>
      <c r="AL155" s="30" t="str">
        <f t="shared" si="78"/>
        <v/>
      </c>
      <c r="AM155" s="30" t="str">
        <f t="shared" si="79"/>
        <v/>
      </c>
      <c r="AN155" s="30" t="str">
        <f t="shared" si="80"/>
        <v/>
      </c>
      <c r="AO155" s="30" t="str">
        <f t="shared" si="81"/>
        <v/>
      </c>
      <c r="AP155" s="30" t="str">
        <f t="shared" si="82"/>
        <v/>
      </c>
      <c r="AQ155" s="30" t="str">
        <f t="shared" si="83"/>
        <v/>
      </c>
      <c r="AR155" s="30" t="str">
        <f t="shared" si="84"/>
        <v/>
      </c>
      <c r="AS155" s="30" t="str">
        <f t="shared" si="85"/>
        <v/>
      </c>
      <c r="AT155" t="str">
        <f t="shared" si="86"/>
        <v/>
      </c>
      <c r="AU155" t="str">
        <f t="shared" si="87"/>
        <v/>
      </c>
    </row>
    <row r="156" spans="1:47" ht="22" customHeight="1" x14ac:dyDescent="0.2">
      <c r="A156" s="31"/>
      <c r="B156" s="31"/>
      <c r="C156" s="32" t="str">
        <f t="shared" si="104"/>
        <v/>
      </c>
      <c r="D156" s="33"/>
      <c r="E156" s="34"/>
      <c r="F156" s="34"/>
      <c r="G156" s="34"/>
      <c r="H156" s="35"/>
      <c r="I156" s="35" t="str">
        <f t="shared" si="89"/>
        <v/>
      </c>
      <c r="J156" s="35" t="str">
        <f t="shared" si="102"/>
        <v/>
      </c>
      <c r="K156" s="34"/>
      <c r="L156" s="35"/>
      <c r="M156" s="61" t="str">
        <f t="shared" si="103"/>
        <v/>
      </c>
      <c r="N156" s="35"/>
      <c r="O156" s="34"/>
      <c r="P156" s="35"/>
      <c r="Q156" s="35"/>
      <c r="R156" s="36"/>
      <c r="S156" s="30" t="str">
        <f t="shared" si="90"/>
        <v/>
      </c>
      <c r="T156" s="6" t="str">
        <f>IF($D156="Villa Elena",COUNTIF($D$3:$D156,"Villa Elena"),"")</f>
        <v/>
      </c>
      <c r="U156" s="30" t="str">
        <f t="shared" si="91"/>
        <v/>
      </c>
      <c r="V156" s="30" t="str">
        <f t="shared" si="92"/>
        <v/>
      </c>
      <c r="W156" s="30" t="str">
        <f t="shared" si="93"/>
        <v/>
      </c>
      <c r="X156" s="30" t="str">
        <f t="shared" si="94"/>
        <v/>
      </c>
      <c r="Y156" s="30" t="str">
        <f t="shared" si="95"/>
        <v/>
      </c>
      <c r="Z156" s="30" t="str">
        <f t="shared" si="96"/>
        <v/>
      </c>
      <c r="AA156" s="30" t="str">
        <f t="shared" si="97"/>
        <v/>
      </c>
      <c r="AB156" s="30" t="str">
        <f t="shared" si="98"/>
        <v/>
      </c>
      <c r="AC156" s="30" t="str">
        <f t="shared" si="99"/>
        <v/>
      </c>
      <c r="AD156" s="30" t="str">
        <f t="shared" si="100"/>
        <v/>
      </c>
      <c r="AE156" s="30" t="str">
        <f t="shared" si="101"/>
        <v/>
      </c>
      <c r="AF156" s="30" t="str">
        <f t="shared" si="72"/>
        <v/>
      </c>
      <c r="AG156" s="30" t="str">
        <f t="shared" si="73"/>
        <v/>
      </c>
      <c r="AH156" s="30" t="str">
        <f t="shared" si="74"/>
        <v/>
      </c>
      <c r="AI156" s="30" t="str">
        <f t="shared" si="75"/>
        <v/>
      </c>
      <c r="AJ156" s="30" t="str">
        <f t="shared" si="76"/>
        <v/>
      </c>
      <c r="AK156" s="30" t="str">
        <f t="shared" si="77"/>
        <v/>
      </c>
      <c r="AL156" s="30" t="str">
        <f t="shared" si="78"/>
        <v/>
      </c>
      <c r="AM156" s="30" t="str">
        <f t="shared" si="79"/>
        <v/>
      </c>
      <c r="AN156" s="30" t="str">
        <f t="shared" si="80"/>
        <v/>
      </c>
      <c r="AO156" s="30" t="str">
        <f t="shared" si="81"/>
        <v/>
      </c>
      <c r="AP156" s="30" t="str">
        <f t="shared" si="82"/>
        <v/>
      </c>
      <c r="AQ156" s="30" t="str">
        <f t="shared" si="83"/>
        <v/>
      </c>
      <c r="AR156" s="30" t="str">
        <f t="shared" si="84"/>
        <v/>
      </c>
      <c r="AS156" s="30" t="str">
        <f t="shared" si="85"/>
        <v/>
      </c>
      <c r="AT156" t="str">
        <f t="shared" si="86"/>
        <v/>
      </c>
      <c r="AU156" t="str">
        <f t="shared" si="87"/>
        <v/>
      </c>
    </row>
    <row r="157" spans="1:47" ht="22" customHeight="1" x14ac:dyDescent="0.2">
      <c r="A157" s="31"/>
      <c r="B157" s="31"/>
      <c r="C157" s="32" t="str">
        <f t="shared" si="104"/>
        <v/>
      </c>
      <c r="D157" s="33"/>
      <c r="E157" s="34"/>
      <c r="F157" s="34"/>
      <c r="G157" s="34"/>
      <c r="H157" s="35"/>
      <c r="I157" s="35" t="str">
        <f t="shared" si="89"/>
        <v/>
      </c>
      <c r="J157" s="35" t="str">
        <f t="shared" si="102"/>
        <v/>
      </c>
      <c r="K157" s="34"/>
      <c r="L157" s="35"/>
      <c r="M157" s="61" t="str">
        <f t="shared" si="103"/>
        <v/>
      </c>
      <c r="N157" s="35"/>
      <c r="O157" s="34"/>
      <c r="P157" s="35"/>
      <c r="Q157" s="35"/>
      <c r="R157" s="36"/>
      <c r="S157" s="30" t="str">
        <f t="shared" si="90"/>
        <v/>
      </c>
      <c r="T157" s="6" t="str">
        <f>IF($D157="Villa Elena",COUNTIF($D$3:$D157,"Villa Elena"),"")</f>
        <v/>
      </c>
      <c r="U157" s="30" t="str">
        <f t="shared" si="91"/>
        <v/>
      </c>
      <c r="V157" s="30" t="str">
        <f t="shared" si="92"/>
        <v/>
      </c>
      <c r="W157" s="30" t="str">
        <f t="shared" si="93"/>
        <v/>
      </c>
      <c r="X157" s="30" t="str">
        <f t="shared" si="94"/>
        <v/>
      </c>
      <c r="Y157" s="30" t="str">
        <f t="shared" si="95"/>
        <v/>
      </c>
      <c r="Z157" s="30" t="str">
        <f t="shared" si="96"/>
        <v/>
      </c>
      <c r="AA157" s="30" t="str">
        <f t="shared" si="97"/>
        <v/>
      </c>
      <c r="AB157" s="30" t="str">
        <f t="shared" si="98"/>
        <v/>
      </c>
      <c r="AC157" s="30" t="str">
        <f t="shared" si="99"/>
        <v/>
      </c>
      <c r="AD157" s="30" t="str">
        <f t="shared" si="100"/>
        <v/>
      </c>
      <c r="AE157" s="30" t="str">
        <f t="shared" si="101"/>
        <v/>
      </c>
      <c r="AF157" s="30" t="str">
        <f t="shared" si="72"/>
        <v/>
      </c>
      <c r="AG157" s="30" t="str">
        <f t="shared" si="73"/>
        <v/>
      </c>
      <c r="AH157" s="30" t="str">
        <f t="shared" si="74"/>
        <v/>
      </c>
      <c r="AI157" s="30" t="str">
        <f t="shared" si="75"/>
        <v/>
      </c>
      <c r="AJ157" s="30" t="str">
        <f t="shared" si="76"/>
        <v/>
      </c>
      <c r="AK157" s="30" t="str">
        <f t="shared" si="77"/>
        <v/>
      </c>
      <c r="AL157" s="30" t="str">
        <f t="shared" si="78"/>
        <v/>
      </c>
      <c r="AM157" s="30" t="str">
        <f t="shared" si="79"/>
        <v/>
      </c>
      <c r="AN157" s="30" t="str">
        <f t="shared" si="80"/>
        <v/>
      </c>
      <c r="AO157" s="30" t="str">
        <f t="shared" si="81"/>
        <v/>
      </c>
      <c r="AP157" s="30" t="str">
        <f t="shared" si="82"/>
        <v/>
      </c>
      <c r="AQ157" s="30" t="str">
        <f t="shared" si="83"/>
        <v/>
      </c>
      <c r="AR157" s="30" t="str">
        <f t="shared" si="84"/>
        <v/>
      </c>
      <c r="AS157" s="30" t="str">
        <f t="shared" si="85"/>
        <v/>
      </c>
      <c r="AT157" t="str">
        <f t="shared" si="86"/>
        <v/>
      </c>
      <c r="AU157" t="str">
        <f t="shared" si="87"/>
        <v/>
      </c>
    </row>
    <row r="158" spans="1:47" ht="22" customHeight="1" x14ac:dyDescent="0.2">
      <c r="A158" s="31"/>
      <c r="B158" s="31"/>
      <c r="C158" s="32" t="str">
        <f t="shared" si="104"/>
        <v/>
      </c>
      <c r="D158" s="33"/>
      <c r="E158" s="34"/>
      <c r="F158" s="34"/>
      <c r="G158" s="34"/>
      <c r="H158" s="35"/>
      <c r="I158" s="35" t="str">
        <f t="shared" si="89"/>
        <v/>
      </c>
      <c r="J158" s="35" t="str">
        <f t="shared" si="102"/>
        <v/>
      </c>
      <c r="K158" s="34"/>
      <c r="L158" s="35"/>
      <c r="M158" s="61" t="str">
        <f t="shared" si="103"/>
        <v/>
      </c>
      <c r="N158" s="35"/>
      <c r="O158" s="34"/>
      <c r="P158" s="35"/>
      <c r="Q158" s="35"/>
      <c r="R158" s="36"/>
      <c r="S158" s="30" t="str">
        <f t="shared" si="90"/>
        <v/>
      </c>
      <c r="T158" s="6" t="str">
        <f>IF($D158="Villa Elena",COUNTIF($D$3:$D158,"Villa Elena"),"")</f>
        <v/>
      </c>
      <c r="U158" s="30" t="str">
        <f t="shared" si="91"/>
        <v/>
      </c>
      <c r="V158" s="30" t="str">
        <f t="shared" si="92"/>
        <v/>
      </c>
      <c r="W158" s="30" t="str">
        <f t="shared" si="93"/>
        <v/>
      </c>
      <c r="X158" s="30" t="str">
        <f t="shared" si="94"/>
        <v/>
      </c>
      <c r="Y158" s="30" t="str">
        <f t="shared" si="95"/>
        <v/>
      </c>
      <c r="Z158" s="30" t="str">
        <f t="shared" si="96"/>
        <v/>
      </c>
      <c r="AA158" s="30" t="str">
        <f t="shared" si="97"/>
        <v/>
      </c>
      <c r="AB158" s="30" t="str">
        <f t="shared" si="98"/>
        <v/>
      </c>
      <c r="AC158" s="30" t="str">
        <f t="shared" si="99"/>
        <v/>
      </c>
      <c r="AD158" s="30" t="str">
        <f t="shared" si="100"/>
        <v/>
      </c>
      <c r="AE158" s="30" t="str">
        <f t="shared" si="101"/>
        <v/>
      </c>
      <c r="AF158" s="30" t="str">
        <f t="shared" si="72"/>
        <v/>
      </c>
      <c r="AG158" s="30" t="str">
        <f t="shared" si="73"/>
        <v/>
      </c>
      <c r="AH158" s="30" t="str">
        <f t="shared" si="74"/>
        <v/>
      </c>
      <c r="AI158" s="30" t="str">
        <f t="shared" si="75"/>
        <v/>
      </c>
      <c r="AJ158" s="30" t="str">
        <f t="shared" si="76"/>
        <v/>
      </c>
      <c r="AK158" s="30" t="str">
        <f t="shared" si="77"/>
        <v/>
      </c>
      <c r="AL158" s="30" t="str">
        <f t="shared" si="78"/>
        <v/>
      </c>
      <c r="AM158" s="30" t="str">
        <f t="shared" si="79"/>
        <v/>
      </c>
      <c r="AN158" s="30" t="str">
        <f t="shared" si="80"/>
        <v/>
      </c>
      <c r="AO158" s="30" t="str">
        <f t="shared" si="81"/>
        <v/>
      </c>
      <c r="AP158" s="30" t="str">
        <f t="shared" si="82"/>
        <v/>
      </c>
      <c r="AQ158" s="30" t="str">
        <f t="shared" si="83"/>
        <v/>
      </c>
      <c r="AR158" s="30" t="str">
        <f t="shared" si="84"/>
        <v/>
      </c>
      <c r="AS158" s="30" t="str">
        <f t="shared" si="85"/>
        <v/>
      </c>
      <c r="AT158" t="str">
        <f t="shared" si="86"/>
        <v/>
      </c>
      <c r="AU158" t="str">
        <f t="shared" si="87"/>
        <v/>
      </c>
    </row>
    <row r="159" spans="1:47" ht="22" customHeight="1" x14ac:dyDescent="0.2">
      <c r="A159" s="31"/>
      <c r="B159" s="31"/>
      <c r="C159" s="32" t="str">
        <f t="shared" si="104"/>
        <v/>
      </c>
      <c r="D159" s="33"/>
      <c r="E159" s="34"/>
      <c r="F159" s="34"/>
      <c r="G159" s="34"/>
      <c r="H159" s="35"/>
      <c r="I159" s="35" t="str">
        <f t="shared" si="89"/>
        <v/>
      </c>
      <c r="J159" s="35" t="str">
        <f t="shared" si="102"/>
        <v/>
      </c>
      <c r="K159" s="34"/>
      <c r="L159" s="35"/>
      <c r="M159" s="61" t="str">
        <f t="shared" si="103"/>
        <v/>
      </c>
      <c r="N159" s="35"/>
      <c r="O159" s="34"/>
      <c r="P159" s="35"/>
      <c r="Q159" s="35"/>
      <c r="R159" s="36"/>
      <c r="S159" s="30" t="str">
        <f t="shared" si="90"/>
        <v/>
      </c>
      <c r="T159" s="6" t="str">
        <f>IF($D159="Villa Elena",COUNTIF($D$3:$D159,"Villa Elena"),"")</f>
        <v/>
      </c>
      <c r="U159" s="30" t="str">
        <f t="shared" si="91"/>
        <v/>
      </c>
      <c r="V159" s="30" t="str">
        <f t="shared" si="92"/>
        <v/>
      </c>
      <c r="W159" s="30" t="str">
        <f t="shared" si="93"/>
        <v/>
      </c>
      <c r="X159" s="30" t="str">
        <f t="shared" si="94"/>
        <v/>
      </c>
      <c r="Y159" s="30" t="str">
        <f t="shared" si="95"/>
        <v/>
      </c>
      <c r="Z159" s="30" t="str">
        <f t="shared" si="96"/>
        <v/>
      </c>
      <c r="AA159" s="30" t="str">
        <f t="shared" si="97"/>
        <v/>
      </c>
      <c r="AB159" s="30" t="str">
        <f t="shared" si="98"/>
        <v/>
      </c>
      <c r="AC159" s="30" t="str">
        <f t="shared" si="99"/>
        <v/>
      </c>
      <c r="AD159" s="30" t="str">
        <f t="shared" si="100"/>
        <v/>
      </c>
      <c r="AE159" s="30" t="str">
        <f t="shared" si="101"/>
        <v/>
      </c>
      <c r="AF159" s="30" t="str">
        <f t="shared" si="72"/>
        <v/>
      </c>
      <c r="AG159" s="30" t="str">
        <f t="shared" si="73"/>
        <v/>
      </c>
      <c r="AH159" s="30" t="str">
        <f t="shared" si="74"/>
        <v/>
      </c>
      <c r="AI159" s="30" t="str">
        <f t="shared" si="75"/>
        <v/>
      </c>
      <c r="AJ159" s="30" t="str">
        <f t="shared" si="76"/>
        <v/>
      </c>
      <c r="AK159" s="30" t="str">
        <f t="shared" si="77"/>
        <v/>
      </c>
      <c r="AL159" s="30" t="str">
        <f t="shared" si="78"/>
        <v/>
      </c>
      <c r="AM159" s="30" t="str">
        <f t="shared" si="79"/>
        <v/>
      </c>
      <c r="AN159" s="30" t="str">
        <f t="shared" si="80"/>
        <v/>
      </c>
      <c r="AO159" s="30" t="str">
        <f t="shared" si="81"/>
        <v/>
      </c>
      <c r="AP159" s="30" t="str">
        <f t="shared" si="82"/>
        <v/>
      </c>
      <c r="AQ159" s="30" t="str">
        <f t="shared" si="83"/>
        <v/>
      </c>
      <c r="AR159" s="30" t="str">
        <f t="shared" si="84"/>
        <v/>
      </c>
      <c r="AS159" s="30" t="str">
        <f t="shared" si="85"/>
        <v/>
      </c>
      <c r="AT159" t="str">
        <f t="shared" si="86"/>
        <v/>
      </c>
      <c r="AU159" t="str">
        <f t="shared" si="87"/>
        <v/>
      </c>
    </row>
    <row r="160" spans="1:47" ht="22" customHeight="1" x14ac:dyDescent="0.2">
      <c r="A160" s="31"/>
      <c r="B160" s="31"/>
      <c r="C160" s="32" t="str">
        <f t="shared" si="104"/>
        <v/>
      </c>
      <c r="D160" s="33"/>
      <c r="E160" s="34"/>
      <c r="F160" s="34"/>
      <c r="G160" s="34"/>
      <c r="H160" s="35"/>
      <c r="I160" s="35" t="str">
        <f t="shared" si="89"/>
        <v/>
      </c>
      <c r="J160" s="35" t="str">
        <f t="shared" si="102"/>
        <v/>
      </c>
      <c r="K160" s="34"/>
      <c r="L160" s="35"/>
      <c r="M160" s="61" t="str">
        <f t="shared" si="103"/>
        <v/>
      </c>
      <c r="N160" s="35"/>
      <c r="O160" s="34"/>
      <c r="P160" s="35"/>
      <c r="Q160" s="35"/>
      <c r="R160" s="36"/>
      <c r="S160" s="30" t="str">
        <f t="shared" si="90"/>
        <v/>
      </c>
      <c r="T160" s="6" t="str">
        <f>IF($D160="Villa Elena",COUNTIF($D$3:$D160,"Villa Elena"),"")</f>
        <v/>
      </c>
      <c r="U160" s="30" t="str">
        <f t="shared" si="91"/>
        <v/>
      </c>
      <c r="V160" s="30" t="str">
        <f t="shared" si="92"/>
        <v/>
      </c>
      <c r="W160" s="30" t="str">
        <f t="shared" si="93"/>
        <v/>
      </c>
      <c r="X160" s="30" t="str">
        <f t="shared" si="94"/>
        <v/>
      </c>
      <c r="Y160" s="30" t="str">
        <f t="shared" si="95"/>
        <v/>
      </c>
      <c r="Z160" s="30" t="str">
        <f t="shared" si="96"/>
        <v/>
      </c>
      <c r="AA160" s="30" t="str">
        <f t="shared" si="97"/>
        <v/>
      </c>
      <c r="AB160" s="30" t="str">
        <f t="shared" si="98"/>
        <v/>
      </c>
      <c r="AC160" s="30" t="str">
        <f t="shared" si="99"/>
        <v/>
      </c>
      <c r="AD160" s="30" t="str">
        <f t="shared" si="100"/>
        <v/>
      </c>
      <c r="AE160" s="30" t="str">
        <f t="shared" si="101"/>
        <v/>
      </c>
      <c r="AF160" s="30" t="str">
        <f t="shared" si="72"/>
        <v/>
      </c>
      <c r="AG160" s="30" t="str">
        <f t="shared" si="73"/>
        <v/>
      </c>
      <c r="AH160" s="30" t="str">
        <f t="shared" si="74"/>
        <v/>
      </c>
      <c r="AI160" s="30" t="str">
        <f t="shared" si="75"/>
        <v/>
      </c>
      <c r="AJ160" s="30" t="str">
        <f t="shared" si="76"/>
        <v/>
      </c>
      <c r="AK160" s="30" t="str">
        <f t="shared" si="77"/>
        <v/>
      </c>
      <c r="AL160" s="30" t="str">
        <f t="shared" si="78"/>
        <v/>
      </c>
      <c r="AM160" s="30" t="str">
        <f t="shared" si="79"/>
        <v/>
      </c>
      <c r="AN160" s="30" t="str">
        <f t="shared" si="80"/>
        <v/>
      </c>
      <c r="AO160" s="30" t="str">
        <f t="shared" si="81"/>
        <v/>
      </c>
      <c r="AP160" s="30" t="str">
        <f t="shared" si="82"/>
        <v/>
      </c>
      <c r="AQ160" s="30" t="str">
        <f t="shared" si="83"/>
        <v/>
      </c>
      <c r="AR160" s="30" t="str">
        <f t="shared" si="84"/>
        <v/>
      </c>
      <c r="AS160" s="30" t="str">
        <f t="shared" si="85"/>
        <v/>
      </c>
      <c r="AT160" t="str">
        <f t="shared" si="86"/>
        <v/>
      </c>
      <c r="AU160" t="str">
        <f t="shared" si="87"/>
        <v/>
      </c>
    </row>
    <row r="161" spans="1:47" ht="22" customHeight="1" x14ac:dyDescent="0.2">
      <c r="A161" s="31"/>
      <c r="B161" s="31"/>
      <c r="C161" s="32" t="str">
        <f t="shared" si="104"/>
        <v/>
      </c>
      <c r="D161" s="33"/>
      <c r="E161" s="34"/>
      <c r="F161" s="34"/>
      <c r="G161" s="34"/>
      <c r="H161" s="35"/>
      <c r="I161" s="35" t="str">
        <f t="shared" si="89"/>
        <v/>
      </c>
      <c r="J161" s="35" t="str">
        <f t="shared" si="102"/>
        <v/>
      </c>
      <c r="K161" s="34"/>
      <c r="L161" s="35"/>
      <c r="M161" s="61" t="str">
        <f t="shared" si="103"/>
        <v/>
      </c>
      <c r="N161" s="35"/>
      <c r="O161" s="34"/>
      <c r="P161" s="35"/>
      <c r="Q161" s="35"/>
      <c r="R161" s="36"/>
      <c r="S161" s="30" t="str">
        <f t="shared" si="90"/>
        <v/>
      </c>
      <c r="T161" s="6" t="str">
        <f>IF($D161="Villa Elena",COUNTIF($D$3:$D161,"Villa Elena"),"")</f>
        <v/>
      </c>
      <c r="U161" s="30" t="str">
        <f t="shared" si="91"/>
        <v/>
      </c>
      <c r="V161" s="30" t="str">
        <f t="shared" si="92"/>
        <v/>
      </c>
      <c r="W161" s="30" t="str">
        <f t="shared" si="93"/>
        <v/>
      </c>
      <c r="X161" s="30" t="str">
        <f t="shared" si="94"/>
        <v/>
      </c>
      <c r="Y161" s="30" t="str">
        <f t="shared" si="95"/>
        <v/>
      </c>
      <c r="Z161" s="30" t="str">
        <f t="shared" si="96"/>
        <v/>
      </c>
      <c r="AA161" s="30" t="str">
        <f t="shared" si="97"/>
        <v/>
      </c>
      <c r="AB161" s="30" t="str">
        <f t="shared" si="98"/>
        <v/>
      </c>
      <c r="AC161" s="30" t="str">
        <f t="shared" si="99"/>
        <v/>
      </c>
      <c r="AD161" s="30" t="str">
        <f t="shared" si="100"/>
        <v/>
      </c>
      <c r="AE161" s="30" t="str">
        <f t="shared" si="101"/>
        <v/>
      </c>
      <c r="AF161" s="30" t="str">
        <f t="shared" si="72"/>
        <v/>
      </c>
      <c r="AG161" s="30" t="str">
        <f t="shared" si="73"/>
        <v/>
      </c>
      <c r="AH161" s="30" t="str">
        <f t="shared" si="74"/>
        <v/>
      </c>
      <c r="AI161" s="30" t="str">
        <f t="shared" si="75"/>
        <v/>
      </c>
      <c r="AJ161" s="30" t="str">
        <f t="shared" si="76"/>
        <v/>
      </c>
      <c r="AK161" s="30" t="str">
        <f t="shared" si="77"/>
        <v/>
      </c>
      <c r="AL161" s="30" t="str">
        <f t="shared" si="78"/>
        <v/>
      </c>
      <c r="AM161" s="30" t="str">
        <f t="shared" si="79"/>
        <v/>
      </c>
      <c r="AN161" s="30" t="str">
        <f t="shared" si="80"/>
        <v/>
      </c>
      <c r="AO161" s="30" t="str">
        <f t="shared" si="81"/>
        <v/>
      </c>
      <c r="AP161" s="30" t="str">
        <f t="shared" si="82"/>
        <v/>
      </c>
      <c r="AQ161" s="30" t="str">
        <f t="shared" si="83"/>
        <v/>
      </c>
      <c r="AR161" s="30" t="str">
        <f t="shared" si="84"/>
        <v/>
      </c>
      <c r="AS161" s="30" t="str">
        <f t="shared" si="85"/>
        <v/>
      </c>
      <c r="AT161" t="str">
        <f t="shared" si="86"/>
        <v/>
      </c>
      <c r="AU161" t="str">
        <f t="shared" si="87"/>
        <v/>
      </c>
    </row>
    <row r="162" spans="1:47" ht="22" customHeight="1" x14ac:dyDescent="0.2">
      <c r="A162" s="31"/>
      <c r="B162" s="31"/>
      <c r="C162" s="32" t="str">
        <f t="shared" si="104"/>
        <v/>
      </c>
      <c r="D162" s="33"/>
      <c r="E162" s="34"/>
      <c r="F162" s="34"/>
      <c r="G162" s="34"/>
      <c r="H162" s="35"/>
      <c r="I162" s="35" t="str">
        <f t="shared" si="89"/>
        <v/>
      </c>
      <c r="J162" s="35" t="str">
        <f t="shared" si="102"/>
        <v/>
      </c>
      <c r="K162" s="34"/>
      <c r="L162" s="35"/>
      <c r="M162" s="61" t="str">
        <f t="shared" si="103"/>
        <v/>
      </c>
      <c r="N162" s="35"/>
      <c r="O162" s="34"/>
      <c r="P162" s="35"/>
      <c r="Q162" s="35"/>
      <c r="R162" s="36"/>
      <c r="S162" s="30" t="str">
        <f t="shared" si="90"/>
        <v/>
      </c>
      <c r="T162" s="6" t="str">
        <f>IF($D162="Villa Elena",COUNTIF($D$3:$D162,"Villa Elena"),"")</f>
        <v/>
      </c>
      <c r="U162" s="30" t="str">
        <f t="shared" si="91"/>
        <v/>
      </c>
      <c r="V162" s="30" t="str">
        <f t="shared" si="92"/>
        <v/>
      </c>
      <c r="W162" s="30" t="str">
        <f t="shared" si="93"/>
        <v/>
      </c>
      <c r="X162" s="30" t="str">
        <f t="shared" si="94"/>
        <v/>
      </c>
      <c r="Y162" s="30" t="str">
        <f t="shared" si="95"/>
        <v/>
      </c>
      <c r="Z162" s="30" t="str">
        <f t="shared" si="96"/>
        <v/>
      </c>
      <c r="AA162" s="30" t="str">
        <f t="shared" si="97"/>
        <v/>
      </c>
      <c r="AB162" s="30" t="str">
        <f t="shared" si="98"/>
        <v/>
      </c>
      <c r="AC162" s="30" t="str">
        <f t="shared" si="99"/>
        <v/>
      </c>
      <c r="AD162" s="30" t="str">
        <f t="shared" si="100"/>
        <v/>
      </c>
      <c r="AE162" s="30" t="str">
        <f t="shared" si="101"/>
        <v/>
      </c>
      <c r="AF162" s="30" t="str">
        <f t="shared" si="72"/>
        <v/>
      </c>
      <c r="AG162" s="30" t="str">
        <f t="shared" si="73"/>
        <v/>
      </c>
      <c r="AH162" s="30" t="str">
        <f t="shared" si="74"/>
        <v/>
      </c>
      <c r="AI162" s="30" t="str">
        <f t="shared" si="75"/>
        <v/>
      </c>
      <c r="AJ162" s="30" t="str">
        <f t="shared" si="76"/>
        <v/>
      </c>
      <c r="AK162" s="30" t="str">
        <f t="shared" si="77"/>
        <v/>
      </c>
      <c r="AL162" s="30" t="str">
        <f t="shared" si="78"/>
        <v/>
      </c>
      <c r="AM162" s="30" t="str">
        <f t="shared" si="79"/>
        <v/>
      </c>
      <c r="AN162" s="30" t="str">
        <f t="shared" si="80"/>
        <v/>
      </c>
      <c r="AO162" s="30" t="str">
        <f t="shared" si="81"/>
        <v/>
      </c>
      <c r="AP162" s="30" t="str">
        <f t="shared" si="82"/>
        <v/>
      </c>
      <c r="AQ162" s="30" t="str">
        <f t="shared" si="83"/>
        <v/>
      </c>
      <c r="AR162" s="30" t="str">
        <f t="shared" si="84"/>
        <v/>
      </c>
      <c r="AS162" s="30" t="str">
        <f t="shared" si="85"/>
        <v/>
      </c>
      <c r="AT162" t="str">
        <f t="shared" si="86"/>
        <v/>
      </c>
      <c r="AU162" t="str">
        <f t="shared" si="87"/>
        <v/>
      </c>
    </row>
    <row r="163" spans="1:47" ht="22" customHeight="1" x14ac:dyDescent="0.2">
      <c r="A163" s="31"/>
      <c r="B163" s="31"/>
      <c r="C163" s="32" t="str">
        <f t="shared" si="104"/>
        <v/>
      </c>
      <c r="D163" s="33"/>
      <c r="E163" s="34"/>
      <c r="F163" s="34"/>
      <c r="G163" s="34"/>
      <c r="H163" s="35"/>
      <c r="I163" s="35" t="str">
        <f t="shared" si="89"/>
        <v/>
      </c>
      <c r="J163" s="35" t="str">
        <f t="shared" si="102"/>
        <v/>
      </c>
      <c r="K163" s="34"/>
      <c r="L163" s="35"/>
      <c r="M163" s="61" t="str">
        <f t="shared" si="103"/>
        <v/>
      </c>
      <c r="N163" s="35"/>
      <c r="O163" s="34"/>
      <c r="P163" s="35"/>
      <c r="Q163" s="35"/>
      <c r="R163" s="36"/>
      <c r="S163" s="30" t="str">
        <f t="shared" si="90"/>
        <v/>
      </c>
      <c r="T163" s="6" t="str">
        <f>IF($D163="Villa Elena",COUNTIF($D$3:$D163,"Villa Elena"),"")</f>
        <v/>
      </c>
      <c r="U163" s="30" t="str">
        <f t="shared" si="91"/>
        <v/>
      </c>
      <c r="V163" s="30" t="str">
        <f t="shared" si="92"/>
        <v/>
      </c>
      <c r="W163" s="30" t="str">
        <f t="shared" si="93"/>
        <v/>
      </c>
      <c r="X163" s="30" t="str">
        <f t="shared" si="94"/>
        <v/>
      </c>
      <c r="Y163" s="30" t="str">
        <f t="shared" si="95"/>
        <v/>
      </c>
      <c r="Z163" s="30" t="str">
        <f t="shared" si="96"/>
        <v/>
      </c>
      <c r="AA163" s="30" t="str">
        <f t="shared" si="97"/>
        <v/>
      </c>
      <c r="AB163" s="30" t="str">
        <f t="shared" si="98"/>
        <v/>
      </c>
      <c r="AC163" s="30" t="str">
        <f t="shared" si="99"/>
        <v/>
      </c>
      <c r="AD163" s="30" t="str">
        <f t="shared" si="100"/>
        <v/>
      </c>
      <c r="AE163" s="30" t="str">
        <f t="shared" si="101"/>
        <v/>
      </c>
      <c r="AF163" s="30" t="str">
        <f t="shared" si="72"/>
        <v/>
      </c>
      <c r="AG163" s="30" t="str">
        <f t="shared" si="73"/>
        <v/>
      </c>
      <c r="AH163" s="30" t="str">
        <f t="shared" si="74"/>
        <v/>
      </c>
      <c r="AI163" s="30" t="str">
        <f t="shared" si="75"/>
        <v/>
      </c>
      <c r="AJ163" s="30" t="str">
        <f t="shared" si="76"/>
        <v/>
      </c>
      <c r="AK163" s="30" t="str">
        <f t="shared" si="77"/>
        <v/>
      </c>
      <c r="AL163" s="30" t="str">
        <f t="shared" si="78"/>
        <v/>
      </c>
      <c r="AM163" s="30" t="str">
        <f t="shared" si="79"/>
        <v/>
      </c>
      <c r="AN163" s="30" t="str">
        <f t="shared" si="80"/>
        <v/>
      </c>
      <c r="AO163" s="30" t="str">
        <f t="shared" si="81"/>
        <v/>
      </c>
      <c r="AP163" s="30" t="str">
        <f t="shared" si="82"/>
        <v/>
      </c>
      <c r="AQ163" s="30" t="str">
        <f t="shared" si="83"/>
        <v/>
      </c>
      <c r="AR163" s="30" t="str">
        <f t="shared" si="84"/>
        <v/>
      </c>
      <c r="AS163" s="30" t="str">
        <f t="shared" si="85"/>
        <v/>
      </c>
      <c r="AT163" t="str">
        <f t="shared" si="86"/>
        <v/>
      </c>
      <c r="AU163" t="str">
        <f t="shared" si="87"/>
        <v/>
      </c>
    </row>
    <row r="164" spans="1:47" ht="22" customHeight="1" x14ac:dyDescent="0.2">
      <c r="A164" s="31"/>
      <c r="B164" s="31"/>
      <c r="C164" s="32" t="str">
        <f t="shared" si="104"/>
        <v/>
      </c>
      <c r="D164" s="33"/>
      <c r="E164" s="34"/>
      <c r="F164" s="34"/>
      <c r="G164" s="34"/>
      <c r="H164" s="35"/>
      <c r="I164" s="35" t="str">
        <f t="shared" si="89"/>
        <v/>
      </c>
      <c r="J164" s="35" t="str">
        <f t="shared" si="102"/>
        <v/>
      </c>
      <c r="K164" s="34"/>
      <c r="L164" s="35"/>
      <c r="M164" s="61" t="str">
        <f t="shared" si="103"/>
        <v/>
      </c>
      <c r="N164" s="35"/>
      <c r="O164" s="34"/>
      <c r="P164" s="35"/>
      <c r="Q164" s="35"/>
      <c r="R164" s="36"/>
      <c r="S164" s="30" t="str">
        <f t="shared" si="90"/>
        <v/>
      </c>
      <c r="T164" s="6" t="str">
        <f>IF($D164="Villa Elena",COUNTIF($D$3:$D164,"Villa Elena"),"")</f>
        <v/>
      </c>
      <c r="U164" s="30" t="str">
        <f t="shared" si="91"/>
        <v/>
      </c>
      <c r="V164" s="30" t="str">
        <f t="shared" si="92"/>
        <v/>
      </c>
      <c r="W164" s="30" t="str">
        <f t="shared" si="93"/>
        <v/>
      </c>
      <c r="X164" s="30" t="str">
        <f t="shared" si="94"/>
        <v/>
      </c>
      <c r="Y164" s="30" t="str">
        <f t="shared" si="95"/>
        <v/>
      </c>
      <c r="Z164" s="30" t="str">
        <f t="shared" si="96"/>
        <v/>
      </c>
      <c r="AA164" s="30" t="str">
        <f t="shared" si="97"/>
        <v/>
      </c>
      <c r="AB164" s="30" t="str">
        <f t="shared" si="98"/>
        <v/>
      </c>
      <c r="AC164" s="30" t="str">
        <f t="shared" si="99"/>
        <v/>
      </c>
      <c r="AD164" s="30" t="str">
        <f t="shared" si="100"/>
        <v/>
      </c>
      <c r="AE164" s="30" t="str">
        <f t="shared" si="101"/>
        <v/>
      </c>
      <c r="AF164" s="30" t="str">
        <f t="shared" si="72"/>
        <v/>
      </c>
      <c r="AG164" s="30" t="str">
        <f t="shared" si="73"/>
        <v/>
      </c>
      <c r="AH164" s="30" t="str">
        <f t="shared" si="74"/>
        <v/>
      </c>
      <c r="AI164" s="30" t="str">
        <f t="shared" si="75"/>
        <v/>
      </c>
      <c r="AJ164" s="30" t="str">
        <f t="shared" si="76"/>
        <v/>
      </c>
      <c r="AK164" s="30" t="str">
        <f t="shared" si="77"/>
        <v/>
      </c>
      <c r="AL164" s="30" t="str">
        <f t="shared" si="78"/>
        <v/>
      </c>
      <c r="AM164" s="30" t="str">
        <f t="shared" si="79"/>
        <v/>
      </c>
      <c r="AN164" s="30" t="str">
        <f t="shared" si="80"/>
        <v/>
      </c>
      <c r="AO164" s="30" t="str">
        <f t="shared" si="81"/>
        <v/>
      </c>
      <c r="AP164" s="30" t="str">
        <f t="shared" si="82"/>
        <v/>
      </c>
      <c r="AQ164" s="30" t="str">
        <f t="shared" si="83"/>
        <v/>
      </c>
      <c r="AR164" s="30" t="str">
        <f t="shared" si="84"/>
        <v/>
      </c>
      <c r="AS164" s="30" t="str">
        <f t="shared" si="85"/>
        <v/>
      </c>
      <c r="AT164" t="str">
        <f t="shared" si="86"/>
        <v/>
      </c>
      <c r="AU164" t="str">
        <f t="shared" si="87"/>
        <v/>
      </c>
    </row>
    <row r="165" spans="1:47" ht="22" customHeight="1" x14ac:dyDescent="0.2">
      <c r="A165" s="31"/>
      <c r="B165" s="31"/>
      <c r="C165" s="32" t="str">
        <f t="shared" si="104"/>
        <v/>
      </c>
      <c r="D165" s="33"/>
      <c r="E165" s="34"/>
      <c r="F165" s="34"/>
      <c r="G165" s="34"/>
      <c r="H165" s="35"/>
      <c r="I165" s="35" t="str">
        <f t="shared" si="89"/>
        <v/>
      </c>
      <c r="J165" s="35" t="str">
        <f t="shared" si="102"/>
        <v/>
      </c>
      <c r="K165" s="34"/>
      <c r="L165" s="35"/>
      <c r="M165" s="61" t="str">
        <f t="shared" si="103"/>
        <v/>
      </c>
      <c r="N165" s="35"/>
      <c r="O165" s="34"/>
      <c r="P165" s="35"/>
      <c r="Q165" s="35"/>
      <c r="R165" s="36"/>
      <c r="S165" s="30" t="str">
        <f t="shared" si="90"/>
        <v/>
      </c>
      <c r="T165" s="6" t="str">
        <f>IF($D165="Villa Elena",COUNTIF($D$3:$D165,"Villa Elena"),"")</f>
        <v/>
      </c>
      <c r="U165" s="30" t="str">
        <f t="shared" si="91"/>
        <v/>
      </c>
      <c r="V165" s="30" t="str">
        <f t="shared" si="92"/>
        <v/>
      </c>
      <c r="W165" s="30" t="str">
        <f t="shared" si="93"/>
        <v/>
      </c>
      <c r="X165" s="30" t="str">
        <f t="shared" si="94"/>
        <v/>
      </c>
      <c r="Y165" s="30" t="str">
        <f t="shared" si="95"/>
        <v/>
      </c>
      <c r="Z165" s="30" t="str">
        <f t="shared" si="96"/>
        <v/>
      </c>
      <c r="AA165" s="30" t="str">
        <f t="shared" si="97"/>
        <v/>
      </c>
      <c r="AB165" s="30" t="str">
        <f t="shared" si="98"/>
        <v/>
      </c>
      <c r="AC165" s="30" t="str">
        <f t="shared" si="99"/>
        <v/>
      </c>
      <c r="AD165" s="30" t="str">
        <f t="shared" si="100"/>
        <v/>
      </c>
      <c r="AE165" s="30" t="str">
        <f t="shared" si="101"/>
        <v/>
      </c>
      <c r="AF165" s="30" t="str">
        <f t="shared" si="72"/>
        <v/>
      </c>
      <c r="AG165" s="30" t="str">
        <f t="shared" si="73"/>
        <v/>
      </c>
      <c r="AH165" s="30" t="str">
        <f t="shared" si="74"/>
        <v/>
      </c>
      <c r="AI165" s="30" t="str">
        <f t="shared" si="75"/>
        <v/>
      </c>
      <c r="AJ165" s="30" t="str">
        <f t="shared" si="76"/>
        <v/>
      </c>
      <c r="AK165" s="30" t="str">
        <f t="shared" si="77"/>
        <v/>
      </c>
      <c r="AL165" s="30" t="str">
        <f t="shared" si="78"/>
        <v/>
      </c>
      <c r="AM165" s="30" t="str">
        <f t="shared" si="79"/>
        <v/>
      </c>
      <c r="AN165" s="30" t="str">
        <f t="shared" si="80"/>
        <v/>
      </c>
      <c r="AO165" s="30" t="str">
        <f t="shared" si="81"/>
        <v/>
      </c>
      <c r="AP165" s="30" t="str">
        <f t="shared" si="82"/>
        <v/>
      </c>
      <c r="AQ165" s="30" t="str">
        <f t="shared" si="83"/>
        <v/>
      </c>
      <c r="AR165" s="30" t="str">
        <f t="shared" si="84"/>
        <v/>
      </c>
      <c r="AS165" s="30" t="str">
        <f t="shared" si="85"/>
        <v/>
      </c>
      <c r="AT165" t="str">
        <f t="shared" si="86"/>
        <v/>
      </c>
      <c r="AU165" t="str">
        <f t="shared" si="87"/>
        <v/>
      </c>
    </row>
    <row r="166" spans="1:47" ht="22" customHeight="1" x14ac:dyDescent="0.2">
      <c r="A166" s="31"/>
      <c r="B166" s="31"/>
      <c r="C166" s="32" t="str">
        <f t="shared" si="104"/>
        <v/>
      </c>
      <c r="D166" s="33"/>
      <c r="E166" s="34"/>
      <c r="F166" s="34"/>
      <c r="G166" s="34"/>
      <c r="H166" s="35"/>
      <c r="I166" s="35" t="str">
        <f t="shared" si="89"/>
        <v/>
      </c>
      <c r="J166" s="35" t="str">
        <f t="shared" si="102"/>
        <v/>
      </c>
      <c r="K166" s="34"/>
      <c r="L166" s="35"/>
      <c r="M166" s="61" t="str">
        <f t="shared" si="103"/>
        <v/>
      </c>
      <c r="N166" s="35"/>
      <c r="O166" s="34"/>
      <c r="P166" s="35"/>
      <c r="Q166" s="35"/>
      <c r="R166" s="36"/>
      <c r="S166" s="30" t="str">
        <f t="shared" si="90"/>
        <v/>
      </c>
      <c r="T166" s="6" t="str">
        <f>IF($D166="Villa Elena",COUNTIF($D$3:$D166,"Villa Elena"),"")</f>
        <v/>
      </c>
      <c r="U166" s="30" t="str">
        <f t="shared" si="91"/>
        <v/>
      </c>
      <c r="V166" s="30" t="str">
        <f t="shared" si="92"/>
        <v/>
      </c>
      <c r="W166" s="30" t="str">
        <f t="shared" si="93"/>
        <v/>
      </c>
      <c r="X166" s="30" t="str">
        <f t="shared" si="94"/>
        <v/>
      </c>
      <c r="Y166" s="30" t="str">
        <f t="shared" si="95"/>
        <v/>
      </c>
      <c r="Z166" s="30" t="str">
        <f t="shared" si="96"/>
        <v/>
      </c>
      <c r="AA166" s="30" t="str">
        <f t="shared" si="97"/>
        <v/>
      </c>
      <c r="AB166" s="30" t="str">
        <f t="shared" si="98"/>
        <v/>
      </c>
      <c r="AC166" s="30" t="str">
        <f t="shared" si="99"/>
        <v/>
      </c>
      <c r="AD166" s="30" t="str">
        <f t="shared" si="100"/>
        <v/>
      </c>
      <c r="AE166" s="30" t="str">
        <f t="shared" si="101"/>
        <v/>
      </c>
      <c r="AF166" s="30" t="str">
        <f t="shared" si="72"/>
        <v/>
      </c>
      <c r="AG166" s="30" t="str">
        <f t="shared" si="73"/>
        <v/>
      </c>
      <c r="AH166" s="30" t="str">
        <f t="shared" si="74"/>
        <v/>
      </c>
      <c r="AI166" s="30" t="str">
        <f t="shared" si="75"/>
        <v/>
      </c>
      <c r="AJ166" s="30" t="str">
        <f t="shared" si="76"/>
        <v/>
      </c>
      <c r="AK166" s="30" t="str">
        <f t="shared" si="77"/>
        <v/>
      </c>
      <c r="AL166" s="30" t="str">
        <f t="shared" si="78"/>
        <v/>
      </c>
      <c r="AM166" s="30" t="str">
        <f t="shared" si="79"/>
        <v/>
      </c>
      <c r="AN166" s="30" t="str">
        <f t="shared" si="80"/>
        <v/>
      </c>
      <c r="AO166" s="30" t="str">
        <f t="shared" si="81"/>
        <v/>
      </c>
      <c r="AP166" s="30" t="str">
        <f t="shared" si="82"/>
        <v/>
      </c>
      <c r="AQ166" s="30" t="str">
        <f t="shared" si="83"/>
        <v/>
      </c>
      <c r="AR166" s="30" t="str">
        <f t="shared" si="84"/>
        <v/>
      </c>
      <c r="AS166" s="30" t="str">
        <f t="shared" si="85"/>
        <v/>
      </c>
      <c r="AT166" t="str">
        <f t="shared" si="86"/>
        <v/>
      </c>
      <c r="AU166" t="str">
        <f t="shared" si="87"/>
        <v/>
      </c>
    </row>
    <row r="167" spans="1:47" ht="22" customHeight="1" x14ac:dyDescent="0.2">
      <c r="A167" s="31"/>
      <c r="B167" s="31"/>
      <c r="C167" s="32" t="str">
        <f t="shared" si="104"/>
        <v/>
      </c>
      <c r="D167" s="33"/>
      <c r="E167" s="34"/>
      <c r="F167" s="34"/>
      <c r="G167" s="34"/>
      <c r="H167" s="35"/>
      <c r="I167" s="35" t="str">
        <f t="shared" si="89"/>
        <v/>
      </c>
      <c r="J167" s="35" t="str">
        <f t="shared" ref="J167:J198" si="105">IF(AND(ISNUMBER(SEARCH("booking",G167)),OR(D167="Via San Rocco",D167="Via Cavour")),H167*0.165,IF(ISNUMBER(SEARCH("airbnb",G167)),H167*0.155,IF(ISNUMBER(SEARCH("booking",G167)),H167*0.15,"")))</f>
        <v/>
      </c>
      <c r="K167" s="34"/>
      <c r="L167" s="35"/>
      <c r="M167" s="61" t="str">
        <f t="shared" si="103"/>
        <v/>
      </c>
      <c r="N167" s="35"/>
      <c r="O167" s="34"/>
      <c r="P167" s="35"/>
      <c r="Q167" s="35"/>
      <c r="R167" s="36"/>
      <c r="S167" s="30" t="str">
        <f t="shared" si="90"/>
        <v/>
      </c>
      <c r="T167" s="6" t="str">
        <f>IF($D167="Villa Elena",COUNTIF($D$3:$D167,"Villa Elena"),"")</f>
        <v/>
      </c>
      <c r="U167" s="30" t="str">
        <f t="shared" si="91"/>
        <v/>
      </c>
      <c r="V167" s="30" t="str">
        <f t="shared" si="92"/>
        <v/>
      </c>
      <c r="W167" s="30" t="str">
        <f t="shared" si="93"/>
        <v/>
      </c>
      <c r="X167" s="30" t="str">
        <f t="shared" si="94"/>
        <v/>
      </c>
      <c r="Y167" s="30" t="str">
        <f t="shared" si="95"/>
        <v/>
      </c>
      <c r="Z167" s="30" t="str">
        <f t="shared" si="96"/>
        <v/>
      </c>
      <c r="AA167" s="30" t="str">
        <f t="shared" si="97"/>
        <v/>
      </c>
      <c r="AB167" s="30" t="str">
        <f t="shared" si="98"/>
        <v/>
      </c>
      <c r="AC167" s="30" t="str">
        <f t="shared" si="99"/>
        <v/>
      </c>
      <c r="AD167" s="30" t="str">
        <f t="shared" si="100"/>
        <v/>
      </c>
      <c r="AE167" s="30" t="str">
        <f t="shared" si="101"/>
        <v/>
      </c>
      <c r="AF167" s="30" t="str">
        <f t="shared" si="72"/>
        <v/>
      </c>
      <c r="AG167" s="30" t="str">
        <f t="shared" si="73"/>
        <v/>
      </c>
      <c r="AH167" s="30" t="str">
        <f t="shared" si="74"/>
        <v/>
      </c>
      <c r="AI167" s="30" t="str">
        <f t="shared" si="75"/>
        <v/>
      </c>
      <c r="AJ167" s="30" t="str">
        <f t="shared" si="76"/>
        <v/>
      </c>
      <c r="AK167" s="30" t="str">
        <f t="shared" si="77"/>
        <v/>
      </c>
      <c r="AL167" s="30" t="str">
        <f t="shared" si="78"/>
        <v/>
      </c>
      <c r="AM167" s="30" t="str">
        <f t="shared" si="79"/>
        <v/>
      </c>
      <c r="AN167" s="30" t="str">
        <f t="shared" si="80"/>
        <v/>
      </c>
      <c r="AO167" s="30" t="str">
        <f t="shared" si="81"/>
        <v/>
      </c>
      <c r="AP167" s="30" t="str">
        <f t="shared" si="82"/>
        <v/>
      </c>
      <c r="AQ167" s="30" t="str">
        <f t="shared" si="83"/>
        <v/>
      </c>
      <c r="AR167" s="30" t="str">
        <f t="shared" si="84"/>
        <v/>
      </c>
      <c r="AS167" s="30" t="str">
        <f t="shared" si="85"/>
        <v/>
      </c>
      <c r="AT167" t="str">
        <f t="shared" si="86"/>
        <v/>
      </c>
      <c r="AU167" t="str">
        <f t="shared" si="87"/>
        <v/>
      </c>
    </row>
    <row r="168" spans="1:47" ht="22" customHeight="1" x14ac:dyDescent="0.2">
      <c r="A168" s="31"/>
      <c r="B168" s="31"/>
      <c r="C168" s="32" t="str">
        <f t="shared" si="104"/>
        <v/>
      </c>
      <c r="D168" s="33"/>
      <c r="E168" s="34"/>
      <c r="F168" s="34"/>
      <c r="G168" s="34"/>
      <c r="H168" s="35"/>
      <c r="I168" s="35" t="str">
        <f t="shared" si="89"/>
        <v/>
      </c>
      <c r="J168" s="35" t="str">
        <f t="shared" si="105"/>
        <v/>
      </c>
      <c r="K168" s="34"/>
      <c r="L168" s="35"/>
      <c r="M168" s="61" t="str">
        <f t="shared" si="103"/>
        <v/>
      </c>
      <c r="N168" s="35"/>
      <c r="O168" s="34"/>
      <c r="P168" s="35"/>
      <c r="Q168" s="35"/>
      <c r="R168" s="36"/>
      <c r="S168" s="30" t="str">
        <f t="shared" si="90"/>
        <v/>
      </c>
      <c r="T168" s="6" t="str">
        <f>IF($D168="Villa Elena",COUNTIF($D$3:$D168,"Villa Elena"),"")</f>
        <v/>
      </c>
      <c r="U168" s="30" t="str">
        <f t="shared" si="91"/>
        <v/>
      </c>
      <c r="V168" s="30" t="str">
        <f t="shared" si="92"/>
        <v/>
      </c>
      <c r="W168" s="30" t="str">
        <f t="shared" si="93"/>
        <v/>
      </c>
      <c r="X168" s="30" t="str">
        <f t="shared" si="94"/>
        <v/>
      </c>
      <c r="Y168" s="30" t="str">
        <f t="shared" si="95"/>
        <v/>
      </c>
      <c r="Z168" s="30" t="str">
        <f t="shared" si="96"/>
        <v/>
      </c>
      <c r="AA168" s="30" t="str">
        <f t="shared" si="97"/>
        <v/>
      </c>
      <c r="AB168" s="30" t="str">
        <f t="shared" si="98"/>
        <v/>
      </c>
      <c r="AC168" s="30" t="str">
        <f t="shared" si="99"/>
        <v/>
      </c>
      <c r="AD168" s="30" t="str">
        <f t="shared" si="100"/>
        <v/>
      </c>
      <c r="AE168" s="30" t="str">
        <f t="shared" si="101"/>
        <v/>
      </c>
      <c r="AF168" s="30" t="str">
        <f t="shared" si="72"/>
        <v/>
      </c>
      <c r="AG168" s="30" t="str">
        <f t="shared" si="73"/>
        <v/>
      </c>
      <c r="AH168" s="30" t="str">
        <f t="shared" si="74"/>
        <v/>
      </c>
      <c r="AI168" s="30" t="str">
        <f t="shared" si="75"/>
        <v/>
      </c>
      <c r="AJ168" s="30" t="str">
        <f t="shared" si="76"/>
        <v/>
      </c>
      <c r="AK168" s="30" t="str">
        <f t="shared" si="77"/>
        <v/>
      </c>
      <c r="AL168" s="30" t="str">
        <f t="shared" si="78"/>
        <v/>
      </c>
      <c r="AM168" s="30" t="str">
        <f t="shared" si="79"/>
        <v/>
      </c>
      <c r="AN168" s="30" t="str">
        <f t="shared" si="80"/>
        <v/>
      </c>
      <c r="AO168" s="30" t="str">
        <f t="shared" si="81"/>
        <v/>
      </c>
      <c r="AP168" s="30" t="str">
        <f t="shared" si="82"/>
        <v/>
      </c>
      <c r="AQ168" s="30" t="str">
        <f t="shared" si="83"/>
        <v/>
      </c>
      <c r="AR168" s="30" t="str">
        <f t="shared" si="84"/>
        <v/>
      </c>
      <c r="AS168" s="30" t="str">
        <f t="shared" si="85"/>
        <v/>
      </c>
      <c r="AT168" t="str">
        <f t="shared" si="86"/>
        <v/>
      </c>
      <c r="AU168" t="str">
        <f t="shared" si="87"/>
        <v/>
      </c>
    </row>
    <row r="169" spans="1:47" ht="22" customHeight="1" x14ac:dyDescent="0.2">
      <c r="A169" s="31"/>
      <c r="B169" s="31"/>
      <c r="C169" s="32" t="str">
        <f t="shared" si="104"/>
        <v/>
      </c>
      <c r="D169" s="33"/>
      <c r="E169" s="34"/>
      <c r="F169" s="34"/>
      <c r="G169" s="34"/>
      <c r="H169" s="35"/>
      <c r="I169" s="35" t="str">
        <f t="shared" si="89"/>
        <v/>
      </c>
      <c r="J169" s="35" t="str">
        <f t="shared" si="105"/>
        <v/>
      </c>
      <c r="K169" s="34"/>
      <c r="L169" s="35"/>
      <c r="M169" s="61" t="str">
        <f t="shared" ref="M169:M200" si="106">IF(H169&lt;&gt;"",H169*0.25,"")</f>
        <v/>
      </c>
      <c r="N169" s="35"/>
      <c r="O169" s="34"/>
      <c r="P169" s="35"/>
      <c r="Q169" s="35"/>
      <c r="R169" s="36"/>
      <c r="S169" s="30" t="str">
        <f t="shared" si="90"/>
        <v/>
      </c>
      <c r="T169" s="6" t="str">
        <f>IF($D169="Villa Elena",COUNTIF($D$3:$D169,"Villa Elena"),"")</f>
        <v/>
      </c>
      <c r="U169" s="30" t="str">
        <f t="shared" si="91"/>
        <v/>
      </c>
      <c r="V169" s="30" t="str">
        <f t="shared" si="92"/>
        <v/>
      </c>
      <c r="W169" s="30" t="str">
        <f t="shared" si="93"/>
        <v/>
      </c>
      <c r="X169" s="30" t="str">
        <f t="shared" si="94"/>
        <v/>
      </c>
      <c r="Y169" s="30" t="str">
        <f t="shared" si="95"/>
        <v/>
      </c>
      <c r="Z169" s="30" t="str">
        <f t="shared" si="96"/>
        <v/>
      </c>
      <c r="AA169" s="30" t="str">
        <f t="shared" si="97"/>
        <v/>
      </c>
      <c r="AB169" s="30" t="str">
        <f t="shared" si="98"/>
        <v/>
      </c>
      <c r="AC169" s="30" t="str">
        <f t="shared" si="99"/>
        <v/>
      </c>
      <c r="AD169" s="30" t="str">
        <f t="shared" si="100"/>
        <v/>
      </c>
      <c r="AE169" s="30" t="str">
        <f t="shared" si="101"/>
        <v/>
      </c>
      <c r="AF169" s="30" t="str">
        <f t="shared" si="72"/>
        <v/>
      </c>
      <c r="AG169" s="30" t="str">
        <f t="shared" si="73"/>
        <v/>
      </c>
      <c r="AH169" s="30" t="str">
        <f t="shared" si="74"/>
        <v/>
      </c>
      <c r="AI169" s="30" t="str">
        <f t="shared" si="75"/>
        <v/>
      </c>
      <c r="AJ169" s="30" t="str">
        <f t="shared" si="76"/>
        <v/>
      </c>
      <c r="AK169" s="30" t="str">
        <f t="shared" si="77"/>
        <v/>
      </c>
      <c r="AL169" s="30" t="str">
        <f t="shared" si="78"/>
        <v/>
      </c>
      <c r="AM169" s="30" t="str">
        <f t="shared" si="79"/>
        <v/>
      </c>
      <c r="AN169" s="30" t="str">
        <f t="shared" si="80"/>
        <v/>
      </c>
      <c r="AO169" s="30" t="str">
        <f t="shared" si="81"/>
        <v/>
      </c>
      <c r="AP169" s="30" t="str">
        <f t="shared" si="82"/>
        <v/>
      </c>
      <c r="AQ169" s="30" t="str">
        <f t="shared" si="83"/>
        <v/>
      </c>
      <c r="AR169" s="30" t="str">
        <f t="shared" si="84"/>
        <v/>
      </c>
      <c r="AS169" s="30" t="str">
        <f t="shared" si="85"/>
        <v/>
      </c>
      <c r="AT169" t="str">
        <f t="shared" si="86"/>
        <v/>
      </c>
      <c r="AU169" t="str">
        <f t="shared" si="87"/>
        <v/>
      </c>
    </row>
    <row r="170" spans="1:47" ht="22" customHeight="1" x14ac:dyDescent="0.2">
      <c r="A170" s="31"/>
      <c r="B170" s="31"/>
      <c r="C170" s="32" t="str">
        <f t="shared" si="104"/>
        <v/>
      </c>
      <c r="D170" s="33"/>
      <c r="E170" s="34"/>
      <c r="F170" s="34"/>
      <c r="G170" s="34"/>
      <c r="H170" s="35"/>
      <c r="I170" s="35" t="str">
        <f t="shared" si="89"/>
        <v/>
      </c>
      <c r="J170" s="35" t="str">
        <f t="shared" si="105"/>
        <v/>
      </c>
      <c r="K170" s="34"/>
      <c r="L170" s="35"/>
      <c r="M170" s="61" t="str">
        <f t="shared" si="106"/>
        <v/>
      </c>
      <c r="N170" s="35"/>
      <c r="O170" s="34"/>
      <c r="P170" s="35"/>
      <c r="Q170" s="35"/>
      <c r="R170" s="36"/>
      <c r="S170" s="30" t="str">
        <f t="shared" si="90"/>
        <v/>
      </c>
      <c r="T170" s="6" t="str">
        <f>IF($D170="Villa Elena",COUNTIF($D$3:$D170,"Villa Elena"),"")</f>
        <v/>
      </c>
      <c r="U170" s="30" t="str">
        <f t="shared" si="91"/>
        <v/>
      </c>
      <c r="V170" s="30" t="str">
        <f t="shared" si="92"/>
        <v/>
      </c>
      <c r="W170" s="30" t="str">
        <f t="shared" si="93"/>
        <v/>
      </c>
      <c r="X170" s="30" t="str">
        <f t="shared" si="94"/>
        <v/>
      </c>
      <c r="Y170" s="30" t="str">
        <f t="shared" si="95"/>
        <v/>
      </c>
      <c r="Z170" s="30" t="str">
        <f t="shared" si="96"/>
        <v/>
      </c>
      <c r="AA170" s="30" t="str">
        <f t="shared" si="97"/>
        <v/>
      </c>
      <c r="AB170" s="30" t="str">
        <f t="shared" si="98"/>
        <v/>
      </c>
      <c r="AC170" s="30" t="str">
        <f t="shared" si="99"/>
        <v/>
      </c>
      <c r="AD170" s="30" t="str">
        <f t="shared" si="100"/>
        <v/>
      </c>
      <c r="AE170" s="30" t="str">
        <f t="shared" si="101"/>
        <v/>
      </c>
      <c r="AF170" s="30" t="str">
        <f t="shared" si="72"/>
        <v/>
      </c>
      <c r="AG170" s="30" t="str">
        <f t="shared" si="73"/>
        <v/>
      </c>
      <c r="AH170" s="30" t="str">
        <f t="shared" si="74"/>
        <v/>
      </c>
      <c r="AI170" s="30" t="str">
        <f t="shared" si="75"/>
        <v/>
      </c>
      <c r="AJ170" s="30" t="str">
        <f t="shared" si="76"/>
        <v/>
      </c>
      <c r="AK170" s="30" t="str">
        <f t="shared" si="77"/>
        <v/>
      </c>
      <c r="AL170" s="30" t="str">
        <f t="shared" si="78"/>
        <v/>
      </c>
      <c r="AM170" s="30" t="str">
        <f t="shared" si="79"/>
        <v/>
      </c>
      <c r="AN170" s="30" t="str">
        <f t="shared" si="80"/>
        <v/>
      </c>
      <c r="AO170" s="30" t="str">
        <f t="shared" si="81"/>
        <v/>
      </c>
      <c r="AP170" s="30" t="str">
        <f t="shared" si="82"/>
        <v/>
      </c>
      <c r="AQ170" s="30" t="str">
        <f t="shared" si="83"/>
        <v/>
      </c>
      <c r="AR170" s="30" t="str">
        <f t="shared" si="84"/>
        <v/>
      </c>
      <c r="AS170" s="30" t="str">
        <f t="shared" si="85"/>
        <v/>
      </c>
      <c r="AT170" t="str">
        <f t="shared" si="86"/>
        <v/>
      </c>
      <c r="AU170" t="str">
        <f t="shared" si="87"/>
        <v/>
      </c>
    </row>
    <row r="171" spans="1:47" ht="22" customHeight="1" x14ac:dyDescent="0.2">
      <c r="A171" s="31"/>
      <c r="B171" s="31"/>
      <c r="C171" s="32" t="str">
        <f t="shared" si="104"/>
        <v/>
      </c>
      <c r="D171" s="33"/>
      <c r="E171" s="34"/>
      <c r="F171" s="34"/>
      <c r="G171" s="34"/>
      <c r="H171" s="35"/>
      <c r="I171" s="35" t="str">
        <f t="shared" si="89"/>
        <v/>
      </c>
      <c r="J171" s="35" t="str">
        <f t="shared" si="105"/>
        <v/>
      </c>
      <c r="K171" s="34"/>
      <c r="L171" s="35"/>
      <c r="M171" s="61" t="str">
        <f t="shared" si="106"/>
        <v/>
      </c>
      <c r="N171" s="35"/>
      <c r="O171" s="34"/>
      <c r="P171" s="35"/>
      <c r="Q171" s="35"/>
      <c r="R171" s="36"/>
      <c r="S171" s="30" t="str">
        <f t="shared" si="90"/>
        <v/>
      </c>
      <c r="T171" s="6" t="str">
        <f>IF($D171="Villa Elena",COUNTIF($D$3:$D171,"Villa Elena"),"")</f>
        <v/>
      </c>
      <c r="U171" s="30" t="str">
        <f t="shared" si="91"/>
        <v/>
      </c>
      <c r="V171" s="30" t="str">
        <f t="shared" si="92"/>
        <v/>
      </c>
      <c r="W171" s="30" t="str">
        <f t="shared" si="93"/>
        <v/>
      </c>
      <c r="X171" s="30" t="str">
        <f t="shared" si="94"/>
        <v/>
      </c>
      <c r="Y171" s="30" t="str">
        <f t="shared" si="95"/>
        <v/>
      </c>
      <c r="Z171" s="30" t="str">
        <f t="shared" si="96"/>
        <v/>
      </c>
      <c r="AA171" s="30" t="str">
        <f t="shared" si="97"/>
        <v/>
      </c>
      <c r="AB171" s="30" t="str">
        <f t="shared" si="98"/>
        <v/>
      </c>
      <c r="AC171" s="30" t="str">
        <f t="shared" si="99"/>
        <v/>
      </c>
      <c r="AD171" s="30" t="str">
        <f t="shared" si="100"/>
        <v/>
      </c>
      <c r="AE171" s="30" t="str">
        <f t="shared" si="101"/>
        <v/>
      </c>
      <c r="AF171" s="30" t="str">
        <f t="shared" ref="AF171:AF234" si="107">IF(AND($D171="Villa Elena",$G171&lt;&gt;""),ROW(),"")</f>
        <v/>
      </c>
      <c r="AG171" s="30" t="str">
        <f t="shared" ref="AG171:AG234" si="108">IF(AND($D171="Sotto la Quercia",$G171=""),ROW(),"")</f>
        <v/>
      </c>
      <c r="AH171" s="30" t="str">
        <f t="shared" ref="AH171:AH234" si="109">IF(AND($D171="Villa Elena",$G171=""),ROW(),"")</f>
        <v/>
      </c>
      <c r="AI171" s="30" t="str">
        <f t="shared" ref="AI171:AI234" si="110">IF(AND($D171="Casa Letizia",$G171=""),ROW(),"")</f>
        <v/>
      </c>
      <c r="AJ171" s="30" t="str">
        <f t="shared" ref="AJ171:AJ234" si="111">IF(AND($D171="Casa nel Borgo",$G171=""),ROW(),"")</f>
        <v/>
      </c>
      <c r="AK171" s="30" t="str">
        <f t="shared" ref="AK171:AK234" si="112">IF(AND($D171="Via San Rocco",$G171=""),ROW(),"")</f>
        <v/>
      </c>
      <c r="AL171" s="30" t="str">
        <f t="shared" ref="AL171:AL234" si="113">IF(AND($D171="Via Cavour",$G171=""),ROW(),"")</f>
        <v/>
      </c>
      <c r="AM171" s="30" t="str">
        <f t="shared" ref="AM171:AM234" si="114">IF(AND($D171="Miramare",$G171=""),ROW(),"")</f>
        <v/>
      </c>
      <c r="AN171" s="30" t="str">
        <f t="shared" ref="AN171:AN234" si="115">IF(AND($D171="Agantonio",$G171=""),ROW(),"")</f>
        <v/>
      </c>
      <c r="AO171" s="30" t="str">
        <f t="shared" ref="AO171:AO234" si="116">IF(AND($D171="Casa Bella Gialla",$G171=""),ROW(),"")</f>
        <v/>
      </c>
      <c r="AP171" s="30" t="str">
        <f t="shared" ref="AP171:AP234" si="117">IF(AND($D171="Casa Verde Oliva",$G171=""),ROW(),"")</f>
        <v/>
      </c>
      <c r="AQ171" s="30" t="str">
        <f t="shared" ref="AQ171:AQ234" si="118">IF(AND($D171="Casa Nicola",$G171=""),ROW(),"")</f>
        <v/>
      </c>
      <c r="AR171" s="30" t="str">
        <f t="shared" ref="AR171:AR234" si="119">IF(AND($D171="White Cottage",$G171=""),ROW(),"")</f>
        <v/>
      </c>
      <c r="AS171" s="30" t="str">
        <f t="shared" ref="AS171:AS234" si="120">IF(AND($D171="Villa Nella",$G171=""),ROW(),"")</f>
        <v/>
      </c>
      <c r="AT171" t="str">
        <f t="shared" ref="AT171:AT234" si="121">IF(AND($D171="Nel Cuore di Lanciano",$G171&lt;&gt;""),ROW(),"")</f>
        <v/>
      </c>
      <c r="AU171" t="str">
        <f t="shared" ref="AU171:AU234" si="122">IF(AND($D171="Nel Cuore di Lanciano",$G171=""),ROW(),"")</f>
        <v/>
      </c>
    </row>
    <row r="172" spans="1:47" ht="22" customHeight="1" x14ac:dyDescent="0.2">
      <c r="A172" s="31"/>
      <c r="B172" s="31"/>
      <c r="C172" s="32" t="str">
        <f t="shared" si="104"/>
        <v/>
      </c>
      <c r="D172" s="33"/>
      <c r="E172" s="34"/>
      <c r="F172" s="34"/>
      <c r="G172" s="34"/>
      <c r="H172" s="35"/>
      <c r="I172" s="35" t="str">
        <f t="shared" si="89"/>
        <v/>
      </c>
      <c r="J172" s="35" t="str">
        <f t="shared" si="105"/>
        <v/>
      </c>
      <c r="K172" s="34"/>
      <c r="L172" s="35"/>
      <c r="M172" s="61" t="str">
        <f t="shared" si="106"/>
        <v/>
      </c>
      <c r="N172" s="35"/>
      <c r="O172" s="34"/>
      <c r="P172" s="35"/>
      <c r="Q172" s="35"/>
      <c r="R172" s="36"/>
      <c r="S172" s="30" t="str">
        <f t="shared" si="90"/>
        <v/>
      </c>
      <c r="T172" s="6" t="str">
        <f>IF($D172="Villa Elena",COUNTIF($D$3:$D172,"Villa Elena"),"")</f>
        <v/>
      </c>
      <c r="U172" s="30" t="str">
        <f t="shared" si="91"/>
        <v/>
      </c>
      <c r="V172" s="30" t="str">
        <f t="shared" si="92"/>
        <v/>
      </c>
      <c r="W172" s="30" t="str">
        <f t="shared" si="93"/>
        <v/>
      </c>
      <c r="X172" s="30" t="str">
        <f t="shared" si="94"/>
        <v/>
      </c>
      <c r="Y172" s="30" t="str">
        <f t="shared" si="95"/>
        <v/>
      </c>
      <c r="Z172" s="30" t="str">
        <f t="shared" si="96"/>
        <v/>
      </c>
      <c r="AA172" s="30" t="str">
        <f t="shared" si="97"/>
        <v/>
      </c>
      <c r="AB172" s="30" t="str">
        <f t="shared" si="98"/>
        <v/>
      </c>
      <c r="AC172" s="30" t="str">
        <f t="shared" si="99"/>
        <v/>
      </c>
      <c r="AD172" s="30" t="str">
        <f t="shared" si="100"/>
        <v/>
      </c>
      <c r="AE172" s="30" t="str">
        <f t="shared" si="101"/>
        <v/>
      </c>
      <c r="AF172" s="30" t="str">
        <f t="shared" si="107"/>
        <v/>
      </c>
      <c r="AG172" s="30" t="str">
        <f t="shared" si="108"/>
        <v/>
      </c>
      <c r="AH172" s="30" t="str">
        <f t="shared" si="109"/>
        <v/>
      </c>
      <c r="AI172" s="30" t="str">
        <f t="shared" si="110"/>
        <v/>
      </c>
      <c r="AJ172" s="30" t="str">
        <f t="shared" si="111"/>
        <v/>
      </c>
      <c r="AK172" s="30" t="str">
        <f t="shared" si="112"/>
        <v/>
      </c>
      <c r="AL172" s="30" t="str">
        <f t="shared" si="113"/>
        <v/>
      </c>
      <c r="AM172" s="30" t="str">
        <f t="shared" si="114"/>
        <v/>
      </c>
      <c r="AN172" s="30" t="str">
        <f t="shared" si="115"/>
        <v/>
      </c>
      <c r="AO172" s="30" t="str">
        <f t="shared" si="116"/>
        <v/>
      </c>
      <c r="AP172" s="30" t="str">
        <f t="shared" si="117"/>
        <v/>
      </c>
      <c r="AQ172" s="30" t="str">
        <f t="shared" si="118"/>
        <v/>
      </c>
      <c r="AR172" s="30" t="str">
        <f t="shared" si="119"/>
        <v/>
      </c>
      <c r="AS172" s="30" t="str">
        <f t="shared" si="120"/>
        <v/>
      </c>
      <c r="AT172" t="str">
        <f t="shared" si="121"/>
        <v/>
      </c>
      <c r="AU172" t="str">
        <f t="shared" si="122"/>
        <v/>
      </c>
    </row>
    <row r="173" spans="1:47" ht="22" customHeight="1" x14ac:dyDescent="0.2">
      <c r="A173" s="31"/>
      <c r="B173" s="31"/>
      <c r="C173" s="32" t="str">
        <f t="shared" si="104"/>
        <v/>
      </c>
      <c r="D173" s="33"/>
      <c r="E173" s="34"/>
      <c r="F173" s="34"/>
      <c r="G173" s="34"/>
      <c r="H173" s="35"/>
      <c r="I173" s="35" t="str">
        <f t="shared" si="89"/>
        <v/>
      </c>
      <c r="J173" s="35" t="str">
        <f t="shared" si="105"/>
        <v/>
      </c>
      <c r="K173" s="34"/>
      <c r="L173" s="35"/>
      <c r="M173" s="61" t="str">
        <f t="shared" si="106"/>
        <v/>
      </c>
      <c r="N173" s="35"/>
      <c r="O173" s="34"/>
      <c r="P173" s="35"/>
      <c r="Q173" s="35"/>
      <c r="R173" s="36"/>
      <c r="S173" s="30" t="str">
        <f t="shared" si="90"/>
        <v/>
      </c>
      <c r="T173" s="6" t="str">
        <f>IF($D173="Villa Elena",COUNTIF($D$3:$D173,"Villa Elena"),"")</f>
        <v/>
      </c>
      <c r="U173" s="30" t="str">
        <f t="shared" si="91"/>
        <v/>
      </c>
      <c r="V173" s="30" t="str">
        <f t="shared" si="92"/>
        <v/>
      </c>
      <c r="W173" s="30" t="str">
        <f t="shared" si="93"/>
        <v/>
      </c>
      <c r="X173" s="30" t="str">
        <f t="shared" si="94"/>
        <v/>
      </c>
      <c r="Y173" s="30" t="str">
        <f t="shared" si="95"/>
        <v/>
      </c>
      <c r="Z173" s="30" t="str">
        <f t="shared" si="96"/>
        <v/>
      </c>
      <c r="AA173" s="30" t="str">
        <f t="shared" si="97"/>
        <v/>
      </c>
      <c r="AB173" s="30" t="str">
        <f t="shared" si="98"/>
        <v/>
      </c>
      <c r="AC173" s="30" t="str">
        <f t="shared" si="99"/>
        <v/>
      </c>
      <c r="AD173" s="30" t="str">
        <f t="shared" si="100"/>
        <v/>
      </c>
      <c r="AE173" s="30" t="str">
        <f t="shared" si="101"/>
        <v/>
      </c>
      <c r="AF173" s="30" t="str">
        <f t="shared" si="107"/>
        <v/>
      </c>
      <c r="AG173" s="30" t="str">
        <f t="shared" si="108"/>
        <v/>
      </c>
      <c r="AH173" s="30" t="str">
        <f t="shared" si="109"/>
        <v/>
      </c>
      <c r="AI173" s="30" t="str">
        <f t="shared" si="110"/>
        <v/>
      </c>
      <c r="AJ173" s="30" t="str">
        <f t="shared" si="111"/>
        <v/>
      </c>
      <c r="AK173" s="30" t="str">
        <f t="shared" si="112"/>
        <v/>
      </c>
      <c r="AL173" s="30" t="str">
        <f t="shared" si="113"/>
        <v/>
      </c>
      <c r="AM173" s="30" t="str">
        <f t="shared" si="114"/>
        <v/>
      </c>
      <c r="AN173" s="30" t="str">
        <f t="shared" si="115"/>
        <v/>
      </c>
      <c r="AO173" s="30" t="str">
        <f t="shared" si="116"/>
        <v/>
      </c>
      <c r="AP173" s="30" t="str">
        <f t="shared" si="117"/>
        <v/>
      </c>
      <c r="AQ173" s="30" t="str">
        <f t="shared" si="118"/>
        <v/>
      </c>
      <c r="AR173" s="30" t="str">
        <f t="shared" si="119"/>
        <v/>
      </c>
      <c r="AS173" s="30" t="str">
        <f t="shared" si="120"/>
        <v/>
      </c>
      <c r="AT173" t="str">
        <f t="shared" si="121"/>
        <v/>
      </c>
      <c r="AU173" t="str">
        <f t="shared" si="122"/>
        <v/>
      </c>
    </row>
    <row r="174" spans="1:47" ht="22" customHeight="1" x14ac:dyDescent="0.2">
      <c r="A174" s="31"/>
      <c r="B174" s="31"/>
      <c r="C174" s="32" t="str">
        <f t="shared" si="104"/>
        <v/>
      </c>
      <c r="D174" s="33"/>
      <c r="E174" s="34"/>
      <c r="F174" s="34"/>
      <c r="G174" s="34"/>
      <c r="H174" s="35"/>
      <c r="I174" s="35" t="str">
        <f t="shared" si="89"/>
        <v/>
      </c>
      <c r="J174" s="35" t="str">
        <f t="shared" si="105"/>
        <v/>
      </c>
      <c r="K174" s="34"/>
      <c r="L174" s="35"/>
      <c r="M174" s="61" t="str">
        <f t="shared" si="106"/>
        <v/>
      </c>
      <c r="N174" s="35"/>
      <c r="O174" s="34"/>
      <c r="P174" s="35"/>
      <c r="Q174" s="35"/>
      <c r="R174" s="36"/>
      <c r="S174" s="30" t="str">
        <f t="shared" si="90"/>
        <v/>
      </c>
      <c r="T174" s="6" t="str">
        <f>IF($D174="Villa Elena",COUNTIF($D$3:$D174,"Villa Elena"),"")</f>
        <v/>
      </c>
      <c r="U174" s="30" t="str">
        <f t="shared" si="91"/>
        <v/>
      </c>
      <c r="V174" s="30" t="str">
        <f t="shared" si="92"/>
        <v/>
      </c>
      <c r="W174" s="30" t="str">
        <f t="shared" si="93"/>
        <v/>
      </c>
      <c r="X174" s="30" t="str">
        <f t="shared" si="94"/>
        <v/>
      </c>
      <c r="Y174" s="30" t="str">
        <f t="shared" si="95"/>
        <v/>
      </c>
      <c r="Z174" s="30" t="str">
        <f t="shared" si="96"/>
        <v/>
      </c>
      <c r="AA174" s="30" t="str">
        <f t="shared" si="97"/>
        <v/>
      </c>
      <c r="AB174" s="30" t="str">
        <f t="shared" si="98"/>
        <v/>
      </c>
      <c r="AC174" s="30" t="str">
        <f t="shared" si="99"/>
        <v/>
      </c>
      <c r="AD174" s="30" t="str">
        <f t="shared" si="100"/>
        <v/>
      </c>
      <c r="AE174" s="30" t="str">
        <f t="shared" si="101"/>
        <v/>
      </c>
      <c r="AF174" s="30" t="str">
        <f t="shared" si="107"/>
        <v/>
      </c>
      <c r="AG174" s="30" t="str">
        <f t="shared" si="108"/>
        <v/>
      </c>
      <c r="AH174" s="30" t="str">
        <f t="shared" si="109"/>
        <v/>
      </c>
      <c r="AI174" s="30" t="str">
        <f t="shared" si="110"/>
        <v/>
      </c>
      <c r="AJ174" s="30" t="str">
        <f t="shared" si="111"/>
        <v/>
      </c>
      <c r="AK174" s="30" t="str">
        <f t="shared" si="112"/>
        <v/>
      </c>
      <c r="AL174" s="30" t="str">
        <f t="shared" si="113"/>
        <v/>
      </c>
      <c r="AM174" s="30" t="str">
        <f t="shared" si="114"/>
        <v/>
      </c>
      <c r="AN174" s="30" t="str">
        <f t="shared" si="115"/>
        <v/>
      </c>
      <c r="AO174" s="30" t="str">
        <f t="shared" si="116"/>
        <v/>
      </c>
      <c r="AP174" s="30" t="str">
        <f t="shared" si="117"/>
        <v/>
      </c>
      <c r="AQ174" s="30" t="str">
        <f t="shared" si="118"/>
        <v/>
      </c>
      <c r="AR174" s="30" t="str">
        <f t="shared" si="119"/>
        <v/>
      </c>
      <c r="AS174" s="30" t="str">
        <f t="shared" si="120"/>
        <v/>
      </c>
      <c r="AT174" t="str">
        <f t="shared" si="121"/>
        <v/>
      </c>
      <c r="AU174" t="str">
        <f t="shared" si="122"/>
        <v/>
      </c>
    </row>
    <row r="175" spans="1:47" ht="22" customHeight="1" x14ac:dyDescent="0.2">
      <c r="A175" s="31"/>
      <c r="B175" s="31"/>
      <c r="C175" s="32" t="str">
        <f t="shared" si="104"/>
        <v/>
      </c>
      <c r="D175" s="33"/>
      <c r="E175" s="34"/>
      <c r="F175" s="34"/>
      <c r="G175" s="34"/>
      <c r="H175" s="35"/>
      <c r="I175" s="35" t="str">
        <f t="shared" si="89"/>
        <v/>
      </c>
      <c r="J175" s="35" t="str">
        <f t="shared" si="105"/>
        <v/>
      </c>
      <c r="K175" s="34"/>
      <c r="L175" s="35"/>
      <c r="M175" s="61" t="str">
        <f t="shared" si="106"/>
        <v/>
      </c>
      <c r="N175" s="35"/>
      <c r="O175" s="34"/>
      <c r="P175" s="35"/>
      <c r="Q175" s="35"/>
      <c r="R175" s="36"/>
      <c r="S175" s="30" t="str">
        <f t="shared" si="90"/>
        <v/>
      </c>
      <c r="T175" s="6" t="str">
        <f>IF($D175="Villa Elena",COUNTIF($D$3:$D175,"Villa Elena"),"")</f>
        <v/>
      </c>
      <c r="U175" s="30" t="str">
        <f t="shared" si="91"/>
        <v/>
      </c>
      <c r="V175" s="30" t="str">
        <f t="shared" si="92"/>
        <v/>
      </c>
      <c r="W175" s="30" t="str">
        <f t="shared" si="93"/>
        <v/>
      </c>
      <c r="X175" s="30" t="str">
        <f t="shared" si="94"/>
        <v/>
      </c>
      <c r="Y175" s="30" t="str">
        <f t="shared" si="95"/>
        <v/>
      </c>
      <c r="Z175" s="30" t="str">
        <f t="shared" si="96"/>
        <v/>
      </c>
      <c r="AA175" s="30" t="str">
        <f t="shared" si="97"/>
        <v/>
      </c>
      <c r="AB175" s="30" t="str">
        <f t="shared" si="98"/>
        <v/>
      </c>
      <c r="AC175" s="30" t="str">
        <f t="shared" si="99"/>
        <v/>
      </c>
      <c r="AD175" s="30" t="str">
        <f t="shared" si="100"/>
        <v/>
      </c>
      <c r="AE175" s="30" t="str">
        <f t="shared" si="101"/>
        <v/>
      </c>
      <c r="AF175" s="30" t="str">
        <f t="shared" si="107"/>
        <v/>
      </c>
      <c r="AG175" s="30" t="str">
        <f t="shared" si="108"/>
        <v/>
      </c>
      <c r="AH175" s="30" t="str">
        <f t="shared" si="109"/>
        <v/>
      </c>
      <c r="AI175" s="30" t="str">
        <f t="shared" si="110"/>
        <v/>
      </c>
      <c r="AJ175" s="30" t="str">
        <f t="shared" si="111"/>
        <v/>
      </c>
      <c r="AK175" s="30" t="str">
        <f t="shared" si="112"/>
        <v/>
      </c>
      <c r="AL175" s="30" t="str">
        <f t="shared" si="113"/>
        <v/>
      </c>
      <c r="AM175" s="30" t="str">
        <f t="shared" si="114"/>
        <v/>
      </c>
      <c r="AN175" s="30" t="str">
        <f t="shared" si="115"/>
        <v/>
      </c>
      <c r="AO175" s="30" t="str">
        <f t="shared" si="116"/>
        <v/>
      </c>
      <c r="AP175" s="30" t="str">
        <f t="shared" si="117"/>
        <v/>
      </c>
      <c r="AQ175" s="30" t="str">
        <f t="shared" si="118"/>
        <v/>
      </c>
      <c r="AR175" s="30" t="str">
        <f t="shared" si="119"/>
        <v/>
      </c>
      <c r="AS175" s="30" t="str">
        <f t="shared" si="120"/>
        <v/>
      </c>
      <c r="AT175" t="str">
        <f t="shared" si="121"/>
        <v/>
      </c>
      <c r="AU175" t="str">
        <f t="shared" si="122"/>
        <v/>
      </c>
    </row>
    <row r="176" spans="1:47" ht="22" customHeight="1" x14ac:dyDescent="0.2">
      <c r="A176" s="31"/>
      <c r="B176" s="31"/>
      <c r="C176" s="32" t="str">
        <f t="shared" si="104"/>
        <v/>
      </c>
      <c r="D176" s="33"/>
      <c r="E176" s="34"/>
      <c r="F176" s="34"/>
      <c r="G176" s="34"/>
      <c r="H176" s="35"/>
      <c r="I176" s="35" t="str">
        <f t="shared" si="89"/>
        <v/>
      </c>
      <c r="J176" s="35" t="str">
        <f t="shared" si="105"/>
        <v/>
      </c>
      <c r="K176" s="34"/>
      <c r="L176" s="35"/>
      <c r="M176" s="61" t="str">
        <f t="shared" si="106"/>
        <v/>
      </c>
      <c r="N176" s="35"/>
      <c r="O176" s="34"/>
      <c r="P176" s="35"/>
      <c r="Q176" s="35"/>
      <c r="R176" s="36"/>
      <c r="S176" s="30" t="str">
        <f t="shared" si="90"/>
        <v/>
      </c>
      <c r="T176" s="6" t="str">
        <f>IF($D176="Villa Elena",COUNTIF($D$3:$D176,"Villa Elena"),"")</f>
        <v/>
      </c>
      <c r="U176" s="30" t="str">
        <f t="shared" si="91"/>
        <v/>
      </c>
      <c r="V176" s="30" t="str">
        <f t="shared" si="92"/>
        <v/>
      </c>
      <c r="W176" s="30" t="str">
        <f t="shared" si="93"/>
        <v/>
      </c>
      <c r="X176" s="30" t="str">
        <f t="shared" si="94"/>
        <v/>
      </c>
      <c r="Y176" s="30" t="str">
        <f t="shared" si="95"/>
        <v/>
      </c>
      <c r="Z176" s="30" t="str">
        <f t="shared" si="96"/>
        <v/>
      </c>
      <c r="AA176" s="30" t="str">
        <f t="shared" si="97"/>
        <v/>
      </c>
      <c r="AB176" s="30" t="str">
        <f t="shared" si="98"/>
        <v/>
      </c>
      <c r="AC176" s="30" t="str">
        <f t="shared" si="99"/>
        <v/>
      </c>
      <c r="AD176" s="30" t="str">
        <f t="shared" si="100"/>
        <v/>
      </c>
      <c r="AE176" s="30" t="str">
        <f t="shared" si="101"/>
        <v/>
      </c>
      <c r="AF176" s="30" t="str">
        <f t="shared" si="107"/>
        <v/>
      </c>
      <c r="AG176" s="30" t="str">
        <f t="shared" si="108"/>
        <v/>
      </c>
      <c r="AH176" s="30" t="str">
        <f t="shared" si="109"/>
        <v/>
      </c>
      <c r="AI176" s="30" t="str">
        <f t="shared" si="110"/>
        <v/>
      </c>
      <c r="AJ176" s="30" t="str">
        <f t="shared" si="111"/>
        <v/>
      </c>
      <c r="AK176" s="30" t="str">
        <f t="shared" si="112"/>
        <v/>
      </c>
      <c r="AL176" s="30" t="str">
        <f t="shared" si="113"/>
        <v/>
      </c>
      <c r="AM176" s="30" t="str">
        <f t="shared" si="114"/>
        <v/>
      </c>
      <c r="AN176" s="30" t="str">
        <f t="shared" si="115"/>
        <v/>
      </c>
      <c r="AO176" s="30" t="str">
        <f t="shared" si="116"/>
        <v/>
      </c>
      <c r="AP176" s="30" t="str">
        <f t="shared" si="117"/>
        <v/>
      </c>
      <c r="AQ176" s="30" t="str">
        <f t="shared" si="118"/>
        <v/>
      </c>
      <c r="AR176" s="30" t="str">
        <f t="shared" si="119"/>
        <v/>
      </c>
      <c r="AS176" s="30" t="str">
        <f t="shared" si="120"/>
        <v/>
      </c>
      <c r="AT176" t="str">
        <f t="shared" si="121"/>
        <v/>
      </c>
      <c r="AU176" t="str">
        <f t="shared" si="122"/>
        <v/>
      </c>
    </row>
    <row r="177" spans="1:47" ht="22" customHeight="1" x14ac:dyDescent="0.2">
      <c r="A177" s="31"/>
      <c r="B177" s="31"/>
      <c r="C177" s="32" t="str">
        <f t="shared" ref="C177:C208" si="123">IF(A177&lt;&gt;"",B177-A177,"")</f>
        <v/>
      </c>
      <c r="D177" s="33"/>
      <c r="E177" s="34"/>
      <c r="F177" s="34"/>
      <c r="G177" s="34"/>
      <c r="H177" s="35"/>
      <c r="I177" s="35" t="str">
        <f t="shared" si="89"/>
        <v/>
      </c>
      <c r="J177" s="35" t="str">
        <f t="shared" si="105"/>
        <v/>
      </c>
      <c r="K177" s="34"/>
      <c r="L177" s="35"/>
      <c r="M177" s="61" t="str">
        <f t="shared" si="106"/>
        <v/>
      </c>
      <c r="N177" s="35"/>
      <c r="O177" s="34"/>
      <c r="P177" s="35"/>
      <c r="Q177" s="35"/>
      <c r="R177" s="36"/>
      <c r="S177" s="30" t="str">
        <f t="shared" si="90"/>
        <v/>
      </c>
      <c r="T177" s="6" t="str">
        <f>IF($D177="Villa Elena",COUNTIF($D$3:$D177,"Villa Elena"),"")</f>
        <v/>
      </c>
      <c r="U177" s="30" t="str">
        <f t="shared" si="91"/>
        <v/>
      </c>
      <c r="V177" s="30" t="str">
        <f t="shared" si="92"/>
        <v/>
      </c>
      <c r="W177" s="30" t="str">
        <f t="shared" si="93"/>
        <v/>
      </c>
      <c r="X177" s="30" t="str">
        <f t="shared" si="94"/>
        <v/>
      </c>
      <c r="Y177" s="30" t="str">
        <f t="shared" si="95"/>
        <v/>
      </c>
      <c r="Z177" s="30" t="str">
        <f t="shared" si="96"/>
        <v/>
      </c>
      <c r="AA177" s="30" t="str">
        <f t="shared" si="97"/>
        <v/>
      </c>
      <c r="AB177" s="30" t="str">
        <f t="shared" si="98"/>
        <v/>
      </c>
      <c r="AC177" s="30" t="str">
        <f t="shared" si="99"/>
        <v/>
      </c>
      <c r="AD177" s="30" t="str">
        <f t="shared" si="100"/>
        <v/>
      </c>
      <c r="AE177" s="30" t="str">
        <f t="shared" si="101"/>
        <v/>
      </c>
      <c r="AF177" s="30" t="str">
        <f t="shared" si="107"/>
        <v/>
      </c>
      <c r="AG177" s="30" t="str">
        <f t="shared" si="108"/>
        <v/>
      </c>
      <c r="AH177" s="30" t="str">
        <f t="shared" si="109"/>
        <v/>
      </c>
      <c r="AI177" s="30" t="str">
        <f t="shared" si="110"/>
        <v/>
      </c>
      <c r="AJ177" s="30" t="str">
        <f t="shared" si="111"/>
        <v/>
      </c>
      <c r="AK177" s="30" t="str">
        <f t="shared" si="112"/>
        <v/>
      </c>
      <c r="AL177" s="30" t="str">
        <f t="shared" si="113"/>
        <v/>
      </c>
      <c r="AM177" s="30" t="str">
        <f t="shared" si="114"/>
        <v/>
      </c>
      <c r="AN177" s="30" t="str">
        <f t="shared" si="115"/>
        <v/>
      </c>
      <c r="AO177" s="30" t="str">
        <f t="shared" si="116"/>
        <v/>
      </c>
      <c r="AP177" s="30" t="str">
        <f t="shared" si="117"/>
        <v/>
      </c>
      <c r="AQ177" s="30" t="str">
        <f t="shared" si="118"/>
        <v/>
      </c>
      <c r="AR177" s="30" t="str">
        <f t="shared" si="119"/>
        <v/>
      </c>
      <c r="AS177" s="30" t="str">
        <f t="shared" si="120"/>
        <v/>
      </c>
      <c r="AT177" t="str">
        <f t="shared" si="121"/>
        <v/>
      </c>
      <c r="AU177" t="str">
        <f t="shared" si="122"/>
        <v/>
      </c>
    </row>
    <row r="178" spans="1:47" ht="22" customHeight="1" x14ac:dyDescent="0.2">
      <c r="A178" s="31"/>
      <c r="B178" s="31"/>
      <c r="C178" s="32" t="str">
        <f t="shared" si="123"/>
        <v/>
      </c>
      <c r="D178" s="33"/>
      <c r="E178" s="34"/>
      <c r="F178" s="34"/>
      <c r="G178" s="34"/>
      <c r="H178" s="35"/>
      <c r="I178" s="35" t="str">
        <f t="shared" si="89"/>
        <v/>
      </c>
      <c r="J178" s="35" t="str">
        <f t="shared" si="105"/>
        <v/>
      </c>
      <c r="K178" s="34"/>
      <c r="L178" s="35"/>
      <c r="M178" s="61" t="str">
        <f t="shared" si="106"/>
        <v/>
      </c>
      <c r="N178" s="35"/>
      <c r="O178" s="34"/>
      <c r="P178" s="35"/>
      <c r="Q178" s="35"/>
      <c r="R178" s="36"/>
      <c r="S178" s="30" t="str">
        <f t="shared" si="90"/>
        <v/>
      </c>
      <c r="T178" s="6" t="str">
        <f>IF($D178="Villa Elena",COUNTIF($D$3:$D178,"Villa Elena"),"")</f>
        <v/>
      </c>
      <c r="U178" s="30" t="str">
        <f t="shared" si="91"/>
        <v/>
      </c>
      <c r="V178" s="30" t="str">
        <f t="shared" si="92"/>
        <v/>
      </c>
      <c r="W178" s="30" t="str">
        <f t="shared" si="93"/>
        <v/>
      </c>
      <c r="X178" s="30" t="str">
        <f t="shared" si="94"/>
        <v/>
      </c>
      <c r="Y178" s="30" t="str">
        <f t="shared" si="95"/>
        <v/>
      </c>
      <c r="Z178" s="30" t="str">
        <f t="shared" si="96"/>
        <v/>
      </c>
      <c r="AA178" s="30" t="str">
        <f t="shared" si="97"/>
        <v/>
      </c>
      <c r="AB178" s="30" t="str">
        <f t="shared" si="98"/>
        <v/>
      </c>
      <c r="AC178" s="30" t="str">
        <f t="shared" si="99"/>
        <v/>
      </c>
      <c r="AD178" s="30" t="str">
        <f t="shared" si="100"/>
        <v/>
      </c>
      <c r="AE178" s="30" t="str">
        <f t="shared" si="101"/>
        <v/>
      </c>
      <c r="AF178" s="30" t="str">
        <f t="shared" si="107"/>
        <v/>
      </c>
      <c r="AG178" s="30" t="str">
        <f t="shared" si="108"/>
        <v/>
      </c>
      <c r="AH178" s="30" t="str">
        <f t="shared" si="109"/>
        <v/>
      </c>
      <c r="AI178" s="30" t="str">
        <f t="shared" si="110"/>
        <v/>
      </c>
      <c r="AJ178" s="30" t="str">
        <f t="shared" si="111"/>
        <v/>
      </c>
      <c r="AK178" s="30" t="str">
        <f t="shared" si="112"/>
        <v/>
      </c>
      <c r="AL178" s="30" t="str">
        <f t="shared" si="113"/>
        <v/>
      </c>
      <c r="AM178" s="30" t="str">
        <f t="shared" si="114"/>
        <v/>
      </c>
      <c r="AN178" s="30" t="str">
        <f t="shared" si="115"/>
        <v/>
      </c>
      <c r="AO178" s="30" t="str">
        <f t="shared" si="116"/>
        <v/>
      </c>
      <c r="AP178" s="30" t="str">
        <f t="shared" si="117"/>
        <v/>
      </c>
      <c r="AQ178" s="30" t="str">
        <f t="shared" si="118"/>
        <v/>
      </c>
      <c r="AR178" s="30" t="str">
        <f t="shared" si="119"/>
        <v/>
      </c>
      <c r="AS178" s="30" t="str">
        <f t="shared" si="120"/>
        <v/>
      </c>
      <c r="AT178" t="str">
        <f t="shared" si="121"/>
        <v/>
      </c>
      <c r="AU178" t="str">
        <f t="shared" si="122"/>
        <v/>
      </c>
    </row>
    <row r="179" spans="1:47" ht="22" customHeight="1" x14ac:dyDescent="0.2">
      <c r="A179" s="31"/>
      <c r="B179" s="31"/>
      <c r="C179" s="32" t="str">
        <f t="shared" si="123"/>
        <v/>
      </c>
      <c r="D179" s="33"/>
      <c r="E179" s="34"/>
      <c r="F179" s="34"/>
      <c r="G179" s="34"/>
      <c r="H179" s="35"/>
      <c r="I179" s="35" t="str">
        <f t="shared" si="89"/>
        <v/>
      </c>
      <c r="J179" s="35" t="str">
        <f t="shared" si="105"/>
        <v/>
      </c>
      <c r="K179" s="34"/>
      <c r="L179" s="35"/>
      <c r="M179" s="61" t="str">
        <f t="shared" si="106"/>
        <v/>
      </c>
      <c r="N179" s="35"/>
      <c r="O179" s="34"/>
      <c r="P179" s="35"/>
      <c r="Q179" s="35"/>
      <c r="R179" s="36"/>
      <c r="S179" s="30" t="str">
        <f t="shared" si="90"/>
        <v/>
      </c>
      <c r="T179" s="6" t="str">
        <f>IF($D179="Villa Elena",COUNTIF($D$3:$D179,"Villa Elena"),"")</f>
        <v/>
      </c>
      <c r="U179" s="30" t="str">
        <f t="shared" si="91"/>
        <v/>
      </c>
      <c r="V179" s="30" t="str">
        <f t="shared" si="92"/>
        <v/>
      </c>
      <c r="W179" s="30" t="str">
        <f t="shared" si="93"/>
        <v/>
      </c>
      <c r="X179" s="30" t="str">
        <f t="shared" si="94"/>
        <v/>
      </c>
      <c r="Y179" s="30" t="str">
        <f t="shared" si="95"/>
        <v/>
      </c>
      <c r="Z179" s="30" t="str">
        <f t="shared" si="96"/>
        <v/>
      </c>
      <c r="AA179" s="30" t="str">
        <f t="shared" si="97"/>
        <v/>
      </c>
      <c r="AB179" s="30" t="str">
        <f t="shared" si="98"/>
        <v/>
      </c>
      <c r="AC179" s="30" t="str">
        <f t="shared" si="99"/>
        <v/>
      </c>
      <c r="AD179" s="30" t="str">
        <f t="shared" si="100"/>
        <v/>
      </c>
      <c r="AE179" s="30" t="str">
        <f t="shared" si="101"/>
        <v/>
      </c>
      <c r="AF179" s="30" t="str">
        <f t="shared" si="107"/>
        <v/>
      </c>
      <c r="AG179" s="30" t="str">
        <f t="shared" si="108"/>
        <v/>
      </c>
      <c r="AH179" s="30" t="str">
        <f t="shared" si="109"/>
        <v/>
      </c>
      <c r="AI179" s="30" t="str">
        <f t="shared" si="110"/>
        <v/>
      </c>
      <c r="AJ179" s="30" t="str">
        <f t="shared" si="111"/>
        <v/>
      </c>
      <c r="AK179" s="30" t="str">
        <f t="shared" si="112"/>
        <v/>
      </c>
      <c r="AL179" s="30" t="str">
        <f t="shared" si="113"/>
        <v/>
      </c>
      <c r="AM179" s="30" t="str">
        <f t="shared" si="114"/>
        <v/>
      </c>
      <c r="AN179" s="30" t="str">
        <f t="shared" si="115"/>
        <v/>
      </c>
      <c r="AO179" s="30" t="str">
        <f t="shared" si="116"/>
        <v/>
      </c>
      <c r="AP179" s="30" t="str">
        <f t="shared" si="117"/>
        <v/>
      </c>
      <c r="AQ179" s="30" t="str">
        <f t="shared" si="118"/>
        <v/>
      </c>
      <c r="AR179" s="30" t="str">
        <f t="shared" si="119"/>
        <v/>
      </c>
      <c r="AS179" s="30" t="str">
        <f t="shared" si="120"/>
        <v/>
      </c>
      <c r="AT179" t="str">
        <f t="shared" si="121"/>
        <v/>
      </c>
      <c r="AU179" t="str">
        <f t="shared" si="122"/>
        <v/>
      </c>
    </row>
    <row r="180" spans="1:47" ht="22" customHeight="1" x14ac:dyDescent="0.2">
      <c r="A180" s="31"/>
      <c r="B180" s="31"/>
      <c r="C180" s="32" t="str">
        <f t="shared" si="123"/>
        <v/>
      </c>
      <c r="D180" s="33"/>
      <c r="E180" s="34"/>
      <c r="F180" s="34"/>
      <c r="G180" s="34"/>
      <c r="H180" s="35"/>
      <c r="I180" s="35" t="str">
        <f t="shared" si="89"/>
        <v/>
      </c>
      <c r="J180" s="35" t="str">
        <f t="shared" si="105"/>
        <v/>
      </c>
      <c r="K180" s="34"/>
      <c r="L180" s="35"/>
      <c r="M180" s="61" t="str">
        <f t="shared" si="106"/>
        <v/>
      </c>
      <c r="N180" s="35"/>
      <c r="O180" s="34"/>
      <c r="P180" s="35"/>
      <c r="Q180" s="35"/>
      <c r="R180" s="36"/>
      <c r="S180" s="30" t="str">
        <f t="shared" si="90"/>
        <v/>
      </c>
      <c r="T180" s="6" t="str">
        <f>IF($D180="Villa Elena",COUNTIF($D$3:$D180,"Villa Elena"),"")</f>
        <v/>
      </c>
      <c r="U180" s="30" t="str">
        <f t="shared" si="91"/>
        <v/>
      </c>
      <c r="V180" s="30" t="str">
        <f t="shared" si="92"/>
        <v/>
      </c>
      <c r="W180" s="30" t="str">
        <f t="shared" si="93"/>
        <v/>
      </c>
      <c r="X180" s="30" t="str">
        <f t="shared" si="94"/>
        <v/>
      </c>
      <c r="Y180" s="30" t="str">
        <f t="shared" si="95"/>
        <v/>
      </c>
      <c r="Z180" s="30" t="str">
        <f t="shared" si="96"/>
        <v/>
      </c>
      <c r="AA180" s="30" t="str">
        <f t="shared" si="97"/>
        <v/>
      </c>
      <c r="AB180" s="30" t="str">
        <f t="shared" si="98"/>
        <v/>
      </c>
      <c r="AC180" s="30" t="str">
        <f t="shared" si="99"/>
        <v/>
      </c>
      <c r="AD180" s="30" t="str">
        <f t="shared" si="100"/>
        <v/>
      </c>
      <c r="AE180" s="30" t="str">
        <f t="shared" si="101"/>
        <v/>
      </c>
      <c r="AF180" s="30" t="str">
        <f t="shared" si="107"/>
        <v/>
      </c>
      <c r="AG180" s="30" t="str">
        <f t="shared" si="108"/>
        <v/>
      </c>
      <c r="AH180" s="30" t="str">
        <f t="shared" si="109"/>
        <v/>
      </c>
      <c r="AI180" s="30" t="str">
        <f t="shared" si="110"/>
        <v/>
      </c>
      <c r="AJ180" s="30" t="str">
        <f t="shared" si="111"/>
        <v/>
      </c>
      <c r="AK180" s="30" t="str">
        <f t="shared" si="112"/>
        <v/>
      </c>
      <c r="AL180" s="30" t="str">
        <f t="shared" si="113"/>
        <v/>
      </c>
      <c r="AM180" s="30" t="str">
        <f t="shared" si="114"/>
        <v/>
      </c>
      <c r="AN180" s="30" t="str">
        <f t="shared" si="115"/>
        <v/>
      </c>
      <c r="AO180" s="30" t="str">
        <f t="shared" si="116"/>
        <v/>
      </c>
      <c r="AP180" s="30" t="str">
        <f t="shared" si="117"/>
        <v/>
      </c>
      <c r="AQ180" s="30" t="str">
        <f t="shared" si="118"/>
        <v/>
      </c>
      <c r="AR180" s="30" t="str">
        <f t="shared" si="119"/>
        <v/>
      </c>
      <c r="AS180" s="30" t="str">
        <f t="shared" si="120"/>
        <v/>
      </c>
      <c r="AT180" t="str">
        <f t="shared" si="121"/>
        <v/>
      </c>
      <c r="AU180" t="str">
        <f t="shared" si="122"/>
        <v/>
      </c>
    </row>
    <row r="181" spans="1:47" ht="22" customHeight="1" x14ac:dyDescent="0.2">
      <c r="A181" s="31"/>
      <c r="B181" s="31"/>
      <c r="C181" s="32" t="str">
        <f t="shared" si="123"/>
        <v/>
      </c>
      <c r="D181" s="33"/>
      <c r="E181" s="34"/>
      <c r="F181" s="34"/>
      <c r="G181" s="34"/>
      <c r="H181" s="35"/>
      <c r="I181" s="35" t="str">
        <f t="shared" si="89"/>
        <v/>
      </c>
      <c r="J181" s="35" t="str">
        <f t="shared" si="105"/>
        <v/>
      </c>
      <c r="K181" s="34"/>
      <c r="L181" s="35"/>
      <c r="M181" s="61" t="str">
        <f t="shared" si="106"/>
        <v/>
      </c>
      <c r="N181" s="35"/>
      <c r="O181" s="34"/>
      <c r="P181" s="35"/>
      <c r="Q181" s="35"/>
      <c r="R181" s="36"/>
      <c r="S181" s="30" t="str">
        <f t="shared" si="90"/>
        <v/>
      </c>
      <c r="T181" s="6" t="str">
        <f>IF($D181="Villa Elena",COUNTIF($D$3:$D181,"Villa Elena"),"")</f>
        <v/>
      </c>
      <c r="U181" s="30" t="str">
        <f t="shared" si="91"/>
        <v/>
      </c>
      <c r="V181" s="30" t="str">
        <f t="shared" si="92"/>
        <v/>
      </c>
      <c r="W181" s="30" t="str">
        <f t="shared" si="93"/>
        <v/>
      </c>
      <c r="X181" s="30" t="str">
        <f t="shared" si="94"/>
        <v/>
      </c>
      <c r="Y181" s="30" t="str">
        <f t="shared" si="95"/>
        <v/>
      </c>
      <c r="Z181" s="30" t="str">
        <f t="shared" si="96"/>
        <v/>
      </c>
      <c r="AA181" s="30" t="str">
        <f t="shared" si="97"/>
        <v/>
      </c>
      <c r="AB181" s="30" t="str">
        <f t="shared" si="98"/>
        <v/>
      </c>
      <c r="AC181" s="30" t="str">
        <f t="shared" si="99"/>
        <v/>
      </c>
      <c r="AD181" s="30" t="str">
        <f t="shared" si="100"/>
        <v/>
      </c>
      <c r="AE181" s="30" t="str">
        <f t="shared" si="101"/>
        <v/>
      </c>
      <c r="AF181" s="30" t="str">
        <f t="shared" si="107"/>
        <v/>
      </c>
      <c r="AG181" s="30" t="str">
        <f t="shared" si="108"/>
        <v/>
      </c>
      <c r="AH181" s="30" t="str">
        <f t="shared" si="109"/>
        <v/>
      </c>
      <c r="AI181" s="30" t="str">
        <f t="shared" si="110"/>
        <v/>
      </c>
      <c r="AJ181" s="30" t="str">
        <f t="shared" si="111"/>
        <v/>
      </c>
      <c r="AK181" s="30" t="str">
        <f t="shared" si="112"/>
        <v/>
      </c>
      <c r="AL181" s="30" t="str">
        <f t="shared" si="113"/>
        <v/>
      </c>
      <c r="AM181" s="30" t="str">
        <f t="shared" si="114"/>
        <v/>
      </c>
      <c r="AN181" s="30" t="str">
        <f t="shared" si="115"/>
        <v/>
      </c>
      <c r="AO181" s="30" t="str">
        <f t="shared" si="116"/>
        <v/>
      </c>
      <c r="AP181" s="30" t="str">
        <f t="shared" si="117"/>
        <v/>
      </c>
      <c r="AQ181" s="30" t="str">
        <f t="shared" si="118"/>
        <v/>
      </c>
      <c r="AR181" s="30" t="str">
        <f t="shared" si="119"/>
        <v/>
      </c>
      <c r="AS181" s="30" t="str">
        <f t="shared" si="120"/>
        <v/>
      </c>
      <c r="AT181" t="str">
        <f t="shared" si="121"/>
        <v/>
      </c>
      <c r="AU181" t="str">
        <f t="shared" si="122"/>
        <v/>
      </c>
    </row>
    <row r="182" spans="1:47" ht="22" customHeight="1" x14ac:dyDescent="0.2">
      <c r="A182" s="31"/>
      <c r="B182" s="31"/>
      <c r="C182" s="32" t="str">
        <f t="shared" si="123"/>
        <v/>
      </c>
      <c r="D182" s="33"/>
      <c r="E182" s="34"/>
      <c r="F182" s="34"/>
      <c r="G182" s="34"/>
      <c r="H182" s="35"/>
      <c r="I182" s="35" t="str">
        <f t="shared" si="89"/>
        <v/>
      </c>
      <c r="J182" s="35" t="str">
        <f t="shared" si="105"/>
        <v/>
      </c>
      <c r="K182" s="34"/>
      <c r="L182" s="35"/>
      <c r="M182" s="61" t="str">
        <f t="shared" si="106"/>
        <v/>
      </c>
      <c r="N182" s="35"/>
      <c r="O182" s="34"/>
      <c r="P182" s="35"/>
      <c r="Q182" s="35"/>
      <c r="R182" s="36"/>
      <c r="S182" s="30" t="str">
        <f t="shared" si="90"/>
        <v/>
      </c>
      <c r="T182" s="6" t="str">
        <f>IF($D182="Villa Elena",COUNTIF($D$3:$D182,"Villa Elena"),"")</f>
        <v/>
      </c>
      <c r="U182" s="30" t="str">
        <f t="shared" si="91"/>
        <v/>
      </c>
      <c r="V182" s="30" t="str">
        <f t="shared" si="92"/>
        <v/>
      </c>
      <c r="W182" s="30" t="str">
        <f t="shared" si="93"/>
        <v/>
      </c>
      <c r="X182" s="30" t="str">
        <f t="shared" si="94"/>
        <v/>
      </c>
      <c r="Y182" s="30" t="str">
        <f t="shared" si="95"/>
        <v/>
      </c>
      <c r="Z182" s="30" t="str">
        <f t="shared" si="96"/>
        <v/>
      </c>
      <c r="AA182" s="30" t="str">
        <f t="shared" si="97"/>
        <v/>
      </c>
      <c r="AB182" s="30" t="str">
        <f t="shared" si="98"/>
        <v/>
      </c>
      <c r="AC182" s="30" t="str">
        <f t="shared" si="99"/>
        <v/>
      </c>
      <c r="AD182" s="30" t="str">
        <f t="shared" si="100"/>
        <v/>
      </c>
      <c r="AE182" s="30" t="str">
        <f t="shared" si="101"/>
        <v/>
      </c>
      <c r="AF182" s="30" t="str">
        <f t="shared" si="107"/>
        <v/>
      </c>
      <c r="AG182" s="30" t="str">
        <f t="shared" si="108"/>
        <v/>
      </c>
      <c r="AH182" s="30" t="str">
        <f t="shared" si="109"/>
        <v/>
      </c>
      <c r="AI182" s="30" t="str">
        <f t="shared" si="110"/>
        <v/>
      </c>
      <c r="AJ182" s="30" t="str">
        <f t="shared" si="111"/>
        <v/>
      </c>
      <c r="AK182" s="30" t="str">
        <f t="shared" si="112"/>
        <v/>
      </c>
      <c r="AL182" s="30" t="str">
        <f t="shared" si="113"/>
        <v/>
      </c>
      <c r="AM182" s="30" t="str">
        <f t="shared" si="114"/>
        <v/>
      </c>
      <c r="AN182" s="30" t="str">
        <f t="shared" si="115"/>
        <v/>
      </c>
      <c r="AO182" s="30" t="str">
        <f t="shared" si="116"/>
        <v/>
      </c>
      <c r="AP182" s="30" t="str">
        <f t="shared" si="117"/>
        <v/>
      </c>
      <c r="AQ182" s="30" t="str">
        <f t="shared" si="118"/>
        <v/>
      </c>
      <c r="AR182" s="30" t="str">
        <f t="shared" si="119"/>
        <v/>
      </c>
      <c r="AS182" s="30" t="str">
        <f t="shared" si="120"/>
        <v/>
      </c>
      <c r="AT182" t="str">
        <f t="shared" si="121"/>
        <v/>
      </c>
      <c r="AU182" t="str">
        <f t="shared" si="122"/>
        <v/>
      </c>
    </row>
    <row r="183" spans="1:47" ht="22" customHeight="1" x14ac:dyDescent="0.2">
      <c r="A183" s="31"/>
      <c r="B183" s="31"/>
      <c r="C183" s="32" t="str">
        <f t="shared" si="123"/>
        <v/>
      </c>
      <c r="D183" s="33"/>
      <c r="E183" s="34"/>
      <c r="F183" s="34"/>
      <c r="G183" s="34"/>
      <c r="H183" s="35"/>
      <c r="I183" s="35" t="str">
        <f t="shared" si="89"/>
        <v/>
      </c>
      <c r="J183" s="35" t="str">
        <f t="shared" si="105"/>
        <v/>
      </c>
      <c r="K183" s="34"/>
      <c r="L183" s="35"/>
      <c r="M183" s="61" t="str">
        <f t="shared" si="106"/>
        <v/>
      </c>
      <c r="N183" s="35"/>
      <c r="O183" s="34"/>
      <c r="P183" s="35"/>
      <c r="Q183" s="35"/>
      <c r="R183" s="36"/>
      <c r="S183" s="30" t="str">
        <f t="shared" si="90"/>
        <v/>
      </c>
      <c r="T183" s="6" t="str">
        <f>IF($D183="Villa Elena",COUNTIF($D$3:$D183,"Villa Elena"),"")</f>
        <v/>
      </c>
      <c r="U183" s="30" t="str">
        <f t="shared" si="91"/>
        <v/>
      </c>
      <c r="V183" s="30" t="str">
        <f t="shared" si="92"/>
        <v/>
      </c>
      <c r="W183" s="30" t="str">
        <f t="shared" si="93"/>
        <v/>
      </c>
      <c r="X183" s="30" t="str">
        <f t="shared" si="94"/>
        <v/>
      </c>
      <c r="Y183" s="30" t="str">
        <f t="shared" si="95"/>
        <v/>
      </c>
      <c r="Z183" s="30" t="str">
        <f t="shared" si="96"/>
        <v/>
      </c>
      <c r="AA183" s="30" t="str">
        <f t="shared" si="97"/>
        <v/>
      </c>
      <c r="AB183" s="30" t="str">
        <f t="shared" si="98"/>
        <v/>
      </c>
      <c r="AC183" s="30" t="str">
        <f t="shared" si="99"/>
        <v/>
      </c>
      <c r="AD183" s="30" t="str">
        <f t="shared" si="100"/>
        <v/>
      </c>
      <c r="AE183" s="30" t="str">
        <f t="shared" si="101"/>
        <v/>
      </c>
      <c r="AF183" s="30" t="str">
        <f t="shared" si="107"/>
        <v/>
      </c>
      <c r="AG183" s="30" t="str">
        <f t="shared" si="108"/>
        <v/>
      </c>
      <c r="AH183" s="30" t="str">
        <f t="shared" si="109"/>
        <v/>
      </c>
      <c r="AI183" s="30" t="str">
        <f t="shared" si="110"/>
        <v/>
      </c>
      <c r="AJ183" s="30" t="str">
        <f t="shared" si="111"/>
        <v/>
      </c>
      <c r="AK183" s="30" t="str">
        <f t="shared" si="112"/>
        <v/>
      </c>
      <c r="AL183" s="30" t="str">
        <f t="shared" si="113"/>
        <v/>
      </c>
      <c r="AM183" s="30" t="str">
        <f t="shared" si="114"/>
        <v/>
      </c>
      <c r="AN183" s="30" t="str">
        <f t="shared" si="115"/>
        <v/>
      </c>
      <c r="AO183" s="30" t="str">
        <f t="shared" si="116"/>
        <v/>
      </c>
      <c r="AP183" s="30" t="str">
        <f t="shared" si="117"/>
        <v/>
      </c>
      <c r="AQ183" s="30" t="str">
        <f t="shared" si="118"/>
        <v/>
      </c>
      <c r="AR183" s="30" t="str">
        <f t="shared" si="119"/>
        <v/>
      </c>
      <c r="AS183" s="30" t="str">
        <f t="shared" si="120"/>
        <v/>
      </c>
      <c r="AT183" t="str">
        <f t="shared" si="121"/>
        <v/>
      </c>
      <c r="AU183" t="str">
        <f t="shared" si="122"/>
        <v/>
      </c>
    </row>
    <row r="184" spans="1:47" ht="22" customHeight="1" x14ac:dyDescent="0.2">
      <c r="A184" s="31"/>
      <c r="B184" s="31"/>
      <c r="C184" s="32" t="str">
        <f t="shared" si="123"/>
        <v/>
      </c>
      <c r="D184" s="33"/>
      <c r="E184" s="34"/>
      <c r="F184" s="34"/>
      <c r="G184" s="34"/>
      <c r="H184" s="35"/>
      <c r="I184" s="35" t="str">
        <f t="shared" si="89"/>
        <v/>
      </c>
      <c r="J184" s="35" t="str">
        <f t="shared" si="105"/>
        <v/>
      </c>
      <c r="K184" s="34"/>
      <c r="L184" s="35"/>
      <c r="M184" s="61" t="str">
        <f t="shared" si="106"/>
        <v/>
      </c>
      <c r="N184" s="35"/>
      <c r="O184" s="34"/>
      <c r="P184" s="35"/>
      <c r="Q184" s="35"/>
      <c r="R184" s="36"/>
      <c r="S184" s="30" t="str">
        <f t="shared" si="90"/>
        <v/>
      </c>
      <c r="T184" s="6" t="str">
        <f>IF($D184="Villa Elena",COUNTIF($D$3:$D184,"Villa Elena"),"")</f>
        <v/>
      </c>
      <c r="U184" s="30" t="str">
        <f t="shared" si="91"/>
        <v/>
      </c>
      <c r="V184" s="30" t="str">
        <f t="shared" si="92"/>
        <v/>
      </c>
      <c r="W184" s="30" t="str">
        <f t="shared" si="93"/>
        <v/>
      </c>
      <c r="X184" s="30" t="str">
        <f t="shared" si="94"/>
        <v/>
      </c>
      <c r="Y184" s="30" t="str">
        <f t="shared" si="95"/>
        <v/>
      </c>
      <c r="Z184" s="30" t="str">
        <f t="shared" si="96"/>
        <v/>
      </c>
      <c r="AA184" s="30" t="str">
        <f t="shared" si="97"/>
        <v/>
      </c>
      <c r="AB184" s="30" t="str">
        <f t="shared" si="98"/>
        <v/>
      </c>
      <c r="AC184" s="30" t="str">
        <f t="shared" si="99"/>
        <v/>
      </c>
      <c r="AD184" s="30" t="str">
        <f t="shared" si="100"/>
        <v/>
      </c>
      <c r="AE184" s="30" t="str">
        <f t="shared" si="101"/>
        <v/>
      </c>
      <c r="AF184" s="30" t="str">
        <f t="shared" si="107"/>
        <v/>
      </c>
      <c r="AG184" s="30" t="str">
        <f t="shared" si="108"/>
        <v/>
      </c>
      <c r="AH184" s="30" t="str">
        <f t="shared" si="109"/>
        <v/>
      </c>
      <c r="AI184" s="30" t="str">
        <f t="shared" si="110"/>
        <v/>
      </c>
      <c r="AJ184" s="30" t="str">
        <f t="shared" si="111"/>
        <v/>
      </c>
      <c r="AK184" s="30" t="str">
        <f t="shared" si="112"/>
        <v/>
      </c>
      <c r="AL184" s="30" t="str">
        <f t="shared" si="113"/>
        <v/>
      </c>
      <c r="AM184" s="30" t="str">
        <f t="shared" si="114"/>
        <v/>
      </c>
      <c r="AN184" s="30" t="str">
        <f t="shared" si="115"/>
        <v/>
      </c>
      <c r="AO184" s="30" t="str">
        <f t="shared" si="116"/>
        <v/>
      </c>
      <c r="AP184" s="30" t="str">
        <f t="shared" si="117"/>
        <v/>
      </c>
      <c r="AQ184" s="30" t="str">
        <f t="shared" si="118"/>
        <v/>
      </c>
      <c r="AR184" s="30" t="str">
        <f t="shared" si="119"/>
        <v/>
      </c>
      <c r="AS184" s="30" t="str">
        <f t="shared" si="120"/>
        <v/>
      </c>
      <c r="AT184" t="str">
        <f t="shared" si="121"/>
        <v/>
      </c>
      <c r="AU184" t="str">
        <f t="shared" si="122"/>
        <v/>
      </c>
    </row>
    <row r="185" spans="1:47" ht="22" customHeight="1" x14ac:dyDescent="0.2">
      <c r="A185" s="31"/>
      <c r="B185" s="31"/>
      <c r="C185" s="32" t="str">
        <f t="shared" si="123"/>
        <v/>
      </c>
      <c r="D185" s="33"/>
      <c r="E185" s="34"/>
      <c r="F185" s="34"/>
      <c r="G185" s="34"/>
      <c r="H185" s="35"/>
      <c r="I185" s="35" t="str">
        <f t="shared" si="89"/>
        <v/>
      </c>
      <c r="J185" s="35" t="str">
        <f t="shared" si="105"/>
        <v/>
      </c>
      <c r="K185" s="34"/>
      <c r="L185" s="35"/>
      <c r="M185" s="61" t="str">
        <f t="shared" si="106"/>
        <v/>
      </c>
      <c r="N185" s="35"/>
      <c r="O185" s="34"/>
      <c r="P185" s="35"/>
      <c r="Q185" s="35"/>
      <c r="R185" s="36"/>
      <c r="S185" s="30" t="str">
        <f t="shared" si="90"/>
        <v/>
      </c>
      <c r="T185" s="6" t="str">
        <f>IF($D185="Villa Elena",COUNTIF($D$3:$D185,"Villa Elena"),"")</f>
        <v/>
      </c>
      <c r="U185" s="30" t="str">
        <f t="shared" si="91"/>
        <v/>
      </c>
      <c r="V185" s="30" t="str">
        <f t="shared" si="92"/>
        <v/>
      </c>
      <c r="W185" s="30" t="str">
        <f t="shared" si="93"/>
        <v/>
      </c>
      <c r="X185" s="30" t="str">
        <f t="shared" si="94"/>
        <v/>
      </c>
      <c r="Y185" s="30" t="str">
        <f t="shared" si="95"/>
        <v/>
      </c>
      <c r="Z185" s="30" t="str">
        <f t="shared" si="96"/>
        <v/>
      </c>
      <c r="AA185" s="30" t="str">
        <f t="shared" si="97"/>
        <v/>
      </c>
      <c r="AB185" s="30" t="str">
        <f t="shared" si="98"/>
        <v/>
      </c>
      <c r="AC185" s="30" t="str">
        <f t="shared" si="99"/>
        <v/>
      </c>
      <c r="AD185" s="30" t="str">
        <f t="shared" si="100"/>
        <v/>
      </c>
      <c r="AE185" s="30" t="str">
        <f t="shared" si="101"/>
        <v/>
      </c>
      <c r="AF185" s="30" t="str">
        <f t="shared" si="107"/>
        <v/>
      </c>
      <c r="AG185" s="30" t="str">
        <f t="shared" si="108"/>
        <v/>
      </c>
      <c r="AH185" s="30" t="str">
        <f t="shared" si="109"/>
        <v/>
      </c>
      <c r="AI185" s="30" t="str">
        <f t="shared" si="110"/>
        <v/>
      </c>
      <c r="AJ185" s="30" t="str">
        <f t="shared" si="111"/>
        <v/>
      </c>
      <c r="AK185" s="30" t="str">
        <f t="shared" si="112"/>
        <v/>
      </c>
      <c r="AL185" s="30" t="str">
        <f t="shared" si="113"/>
        <v/>
      </c>
      <c r="AM185" s="30" t="str">
        <f t="shared" si="114"/>
        <v/>
      </c>
      <c r="AN185" s="30" t="str">
        <f t="shared" si="115"/>
        <v/>
      </c>
      <c r="AO185" s="30" t="str">
        <f t="shared" si="116"/>
        <v/>
      </c>
      <c r="AP185" s="30" t="str">
        <f t="shared" si="117"/>
        <v/>
      </c>
      <c r="AQ185" s="30" t="str">
        <f t="shared" si="118"/>
        <v/>
      </c>
      <c r="AR185" s="30" t="str">
        <f t="shared" si="119"/>
        <v/>
      </c>
      <c r="AS185" s="30" t="str">
        <f t="shared" si="120"/>
        <v/>
      </c>
      <c r="AT185" t="str">
        <f t="shared" si="121"/>
        <v/>
      </c>
      <c r="AU185" t="str">
        <f t="shared" si="122"/>
        <v/>
      </c>
    </row>
    <row r="186" spans="1:47" ht="22" customHeight="1" x14ac:dyDescent="0.2">
      <c r="A186" s="31"/>
      <c r="B186" s="31"/>
      <c r="C186" s="32" t="str">
        <f t="shared" si="123"/>
        <v/>
      </c>
      <c r="D186" s="33"/>
      <c r="E186" s="34"/>
      <c r="F186" s="34"/>
      <c r="G186" s="34"/>
      <c r="H186" s="35"/>
      <c r="I186" s="35" t="str">
        <f t="shared" si="89"/>
        <v/>
      </c>
      <c r="J186" s="35" t="str">
        <f t="shared" si="105"/>
        <v/>
      </c>
      <c r="K186" s="34"/>
      <c r="L186" s="35"/>
      <c r="M186" s="61" t="str">
        <f t="shared" si="106"/>
        <v/>
      </c>
      <c r="N186" s="35"/>
      <c r="O186" s="34"/>
      <c r="P186" s="35"/>
      <c r="Q186" s="35"/>
      <c r="R186" s="36"/>
      <c r="S186" s="30" t="str">
        <f t="shared" si="90"/>
        <v/>
      </c>
      <c r="T186" s="6" t="str">
        <f>IF($D186="Villa Elena",COUNTIF($D$3:$D186,"Villa Elena"),"")</f>
        <v/>
      </c>
      <c r="U186" s="30" t="str">
        <f t="shared" si="91"/>
        <v/>
      </c>
      <c r="V186" s="30" t="str">
        <f t="shared" si="92"/>
        <v/>
      </c>
      <c r="W186" s="30" t="str">
        <f t="shared" si="93"/>
        <v/>
      </c>
      <c r="X186" s="30" t="str">
        <f t="shared" si="94"/>
        <v/>
      </c>
      <c r="Y186" s="30" t="str">
        <f t="shared" si="95"/>
        <v/>
      </c>
      <c r="Z186" s="30" t="str">
        <f t="shared" si="96"/>
        <v/>
      </c>
      <c r="AA186" s="30" t="str">
        <f t="shared" si="97"/>
        <v/>
      </c>
      <c r="AB186" s="30" t="str">
        <f t="shared" si="98"/>
        <v/>
      </c>
      <c r="AC186" s="30" t="str">
        <f t="shared" si="99"/>
        <v/>
      </c>
      <c r="AD186" s="30" t="str">
        <f t="shared" si="100"/>
        <v/>
      </c>
      <c r="AE186" s="30" t="str">
        <f t="shared" si="101"/>
        <v/>
      </c>
      <c r="AF186" s="30" t="str">
        <f t="shared" si="107"/>
        <v/>
      </c>
      <c r="AG186" s="30" t="str">
        <f t="shared" si="108"/>
        <v/>
      </c>
      <c r="AH186" s="30" t="str">
        <f t="shared" si="109"/>
        <v/>
      </c>
      <c r="AI186" s="30" t="str">
        <f t="shared" si="110"/>
        <v/>
      </c>
      <c r="AJ186" s="30" t="str">
        <f t="shared" si="111"/>
        <v/>
      </c>
      <c r="AK186" s="30" t="str">
        <f t="shared" si="112"/>
        <v/>
      </c>
      <c r="AL186" s="30" t="str">
        <f t="shared" si="113"/>
        <v/>
      </c>
      <c r="AM186" s="30" t="str">
        <f t="shared" si="114"/>
        <v/>
      </c>
      <c r="AN186" s="30" t="str">
        <f t="shared" si="115"/>
        <v/>
      </c>
      <c r="AO186" s="30" t="str">
        <f t="shared" si="116"/>
        <v/>
      </c>
      <c r="AP186" s="30" t="str">
        <f t="shared" si="117"/>
        <v/>
      </c>
      <c r="AQ186" s="30" t="str">
        <f t="shared" si="118"/>
        <v/>
      </c>
      <c r="AR186" s="30" t="str">
        <f t="shared" si="119"/>
        <v/>
      </c>
      <c r="AS186" s="30" t="str">
        <f t="shared" si="120"/>
        <v/>
      </c>
      <c r="AT186" t="str">
        <f t="shared" si="121"/>
        <v/>
      </c>
      <c r="AU186" t="str">
        <f t="shared" si="122"/>
        <v/>
      </c>
    </row>
    <row r="187" spans="1:47" ht="22" customHeight="1" x14ac:dyDescent="0.2">
      <c r="A187" s="31"/>
      <c r="B187" s="31"/>
      <c r="C187" s="32" t="str">
        <f t="shared" si="123"/>
        <v/>
      </c>
      <c r="D187" s="33"/>
      <c r="E187" s="34"/>
      <c r="F187" s="34"/>
      <c r="G187" s="34"/>
      <c r="H187" s="35"/>
      <c r="I187" s="35" t="str">
        <f t="shared" si="89"/>
        <v/>
      </c>
      <c r="J187" s="35" t="str">
        <f t="shared" si="105"/>
        <v/>
      </c>
      <c r="K187" s="34"/>
      <c r="L187" s="35"/>
      <c r="M187" s="61" t="str">
        <f t="shared" si="106"/>
        <v/>
      </c>
      <c r="N187" s="35"/>
      <c r="O187" s="34"/>
      <c r="P187" s="35"/>
      <c r="Q187" s="35"/>
      <c r="R187" s="36"/>
      <c r="S187" s="30" t="str">
        <f t="shared" si="90"/>
        <v/>
      </c>
      <c r="T187" s="6" t="str">
        <f>IF($D187="Villa Elena",COUNTIF($D$3:$D187,"Villa Elena"),"")</f>
        <v/>
      </c>
      <c r="U187" s="30" t="str">
        <f t="shared" si="91"/>
        <v/>
      </c>
      <c r="V187" s="30" t="str">
        <f t="shared" si="92"/>
        <v/>
      </c>
      <c r="W187" s="30" t="str">
        <f t="shared" si="93"/>
        <v/>
      </c>
      <c r="X187" s="30" t="str">
        <f t="shared" si="94"/>
        <v/>
      </c>
      <c r="Y187" s="30" t="str">
        <f t="shared" si="95"/>
        <v/>
      </c>
      <c r="Z187" s="30" t="str">
        <f t="shared" si="96"/>
        <v/>
      </c>
      <c r="AA187" s="30" t="str">
        <f t="shared" si="97"/>
        <v/>
      </c>
      <c r="AB187" s="30" t="str">
        <f t="shared" si="98"/>
        <v/>
      </c>
      <c r="AC187" s="30" t="str">
        <f t="shared" si="99"/>
        <v/>
      </c>
      <c r="AD187" s="30" t="str">
        <f t="shared" si="100"/>
        <v/>
      </c>
      <c r="AE187" s="30" t="str">
        <f t="shared" si="101"/>
        <v/>
      </c>
      <c r="AF187" s="30" t="str">
        <f t="shared" si="107"/>
        <v/>
      </c>
      <c r="AG187" s="30" t="str">
        <f t="shared" si="108"/>
        <v/>
      </c>
      <c r="AH187" s="30" t="str">
        <f t="shared" si="109"/>
        <v/>
      </c>
      <c r="AI187" s="30" t="str">
        <f t="shared" si="110"/>
        <v/>
      </c>
      <c r="AJ187" s="30" t="str">
        <f t="shared" si="111"/>
        <v/>
      </c>
      <c r="AK187" s="30" t="str">
        <f t="shared" si="112"/>
        <v/>
      </c>
      <c r="AL187" s="30" t="str">
        <f t="shared" si="113"/>
        <v/>
      </c>
      <c r="AM187" s="30" t="str">
        <f t="shared" si="114"/>
        <v/>
      </c>
      <c r="AN187" s="30" t="str">
        <f t="shared" si="115"/>
        <v/>
      </c>
      <c r="AO187" s="30" t="str">
        <f t="shared" si="116"/>
        <v/>
      </c>
      <c r="AP187" s="30" t="str">
        <f t="shared" si="117"/>
        <v/>
      </c>
      <c r="AQ187" s="30" t="str">
        <f t="shared" si="118"/>
        <v/>
      </c>
      <c r="AR187" s="30" t="str">
        <f t="shared" si="119"/>
        <v/>
      </c>
      <c r="AS187" s="30" t="str">
        <f t="shared" si="120"/>
        <v/>
      </c>
      <c r="AT187" t="str">
        <f t="shared" si="121"/>
        <v/>
      </c>
      <c r="AU187" t="str">
        <f t="shared" si="122"/>
        <v/>
      </c>
    </row>
    <row r="188" spans="1:47" ht="22" customHeight="1" x14ac:dyDescent="0.2">
      <c r="A188" s="31"/>
      <c r="B188" s="31"/>
      <c r="C188" s="32" t="str">
        <f t="shared" si="123"/>
        <v/>
      </c>
      <c r="D188" s="33"/>
      <c r="E188" s="34"/>
      <c r="F188" s="34"/>
      <c r="G188" s="34"/>
      <c r="H188" s="35"/>
      <c r="I188" s="35" t="str">
        <f t="shared" si="89"/>
        <v/>
      </c>
      <c r="J188" s="35" t="str">
        <f t="shared" si="105"/>
        <v/>
      </c>
      <c r="K188" s="34"/>
      <c r="L188" s="35"/>
      <c r="M188" s="61" t="str">
        <f t="shared" si="106"/>
        <v/>
      </c>
      <c r="N188" s="35"/>
      <c r="O188" s="34"/>
      <c r="P188" s="35"/>
      <c r="Q188" s="35"/>
      <c r="R188" s="36"/>
      <c r="S188" s="30" t="str">
        <f t="shared" si="90"/>
        <v/>
      </c>
      <c r="T188" s="6" t="str">
        <f>IF($D188="Villa Elena",COUNTIF($D$3:$D188,"Villa Elena"),"")</f>
        <v/>
      </c>
      <c r="U188" s="30" t="str">
        <f t="shared" si="91"/>
        <v/>
      </c>
      <c r="V188" s="30" t="str">
        <f t="shared" si="92"/>
        <v/>
      </c>
      <c r="W188" s="30" t="str">
        <f t="shared" si="93"/>
        <v/>
      </c>
      <c r="X188" s="30" t="str">
        <f t="shared" si="94"/>
        <v/>
      </c>
      <c r="Y188" s="30" t="str">
        <f t="shared" si="95"/>
        <v/>
      </c>
      <c r="Z188" s="30" t="str">
        <f t="shared" si="96"/>
        <v/>
      </c>
      <c r="AA188" s="30" t="str">
        <f t="shared" si="97"/>
        <v/>
      </c>
      <c r="AB188" s="30" t="str">
        <f t="shared" si="98"/>
        <v/>
      </c>
      <c r="AC188" s="30" t="str">
        <f t="shared" si="99"/>
        <v/>
      </c>
      <c r="AD188" s="30" t="str">
        <f t="shared" si="100"/>
        <v/>
      </c>
      <c r="AE188" s="30" t="str">
        <f t="shared" si="101"/>
        <v/>
      </c>
      <c r="AF188" s="30" t="str">
        <f t="shared" si="107"/>
        <v/>
      </c>
      <c r="AG188" s="30" t="str">
        <f t="shared" si="108"/>
        <v/>
      </c>
      <c r="AH188" s="30" t="str">
        <f t="shared" si="109"/>
        <v/>
      </c>
      <c r="AI188" s="30" t="str">
        <f t="shared" si="110"/>
        <v/>
      </c>
      <c r="AJ188" s="30" t="str">
        <f t="shared" si="111"/>
        <v/>
      </c>
      <c r="AK188" s="30" t="str">
        <f t="shared" si="112"/>
        <v/>
      </c>
      <c r="AL188" s="30" t="str">
        <f t="shared" si="113"/>
        <v/>
      </c>
      <c r="AM188" s="30" t="str">
        <f t="shared" si="114"/>
        <v/>
      </c>
      <c r="AN188" s="30" t="str">
        <f t="shared" si="115"/>
        <v/>
      </c>
      <c r="AO188" s="30" t="str">
        <f t="shared" si="116"/>
        <v/>
      </c>
      <c r="AP188" s="30" t="str">
        <f t="shared" si="117"/>
        <v/>
      </c>
      <c r="AQ188" s="30" t="str">
        <f t="shared" si="118"/>
        <v/>
      </c>
      <c r="AR188" s="30" t="str">
        <f t="shared" si="119"/>
        <v/>
      </c>
      <c r="AS188" s="30" t="str">
        <f t="shared" si="120"/>
        <v/>
      </c>
      <c r="AT188" t="str">
        <f t="shared" si="121"/>
        <v/>
      </c>
      <c r="AU188" t="str">
        <f t="shared" si="122"/>
        <v/>
      </c>
    </row>
    <row r="189" spans="1:47" ht="22" customHeight="1" x14ac:dyDescent="0.2">
      <c r="A189" s="31"/>
      <c r="B189" s="31"/>
      <c r="C189" s="32" t="str">
        <f t="shared" si="123"/>
        <v/>
      </c>
      <c r="D189" s="33"/>
      <c r="E189" s="34"/>
      <c r="F189" s="34"/>
      <c r="G189" s="34"/>
      <c r="H189" s="35"/>
      <c r="I189" s="35" t="str">
        <f t="shared" si="89"/>
        <v/>
      </c>
      <c r="J189" s="35" t="str">
        <f t="shared" si="105"/>
        <v/>
      </c>
      <c r="K189" s="34"/>
      <c r="L189" s="35"/>
      <c r="M189" s="61" t="str">
        <f t="shared" si="106"/>
        <v/>
      </c>
      <c r="N189" s="35"/>
      <c r="O189" s="34"/>
      <c r="P189" s="35"/>
      <c r="Q189" s="35"/>
      <c r="R189" s="36"/>
      <c r="S189" s="30" t="str">
        <f t="shared" si="90"/>
        <v/>
      </c>
      <c r="T189" s="6" t="str">
        <f>IF($D189="Villa Elena",COUNTIF($D$3:$D189,"Villa Elena"),"")</f>
        <v/>
      </c>
      <c r="U189" s="30" t="str">
        <f t="shared" si="91"/>
        <v/>
      </c>
      <c r="V189" s="30" t="str">
        <f t="shared" si="92"/>
        <v/>
      </c>
      <c r="W189" s="30" t="str">
        <f t="shared" si="93"/>
        <v/>
      </c>
      <c r="X189" s="30" t="str">
        <f t="shared" si="94"/>
        <v/>
      </c>
      <c r="Y189" s="30" t="str">
        <f t="shared" si="95"/>
        <v/>
      </c>
      <c r="Z189" s="30" t="str">
        <f t="shared" si="96"/>
        <v/>
      </c>
      <c r="AA189" s="30" t="str">
        <f t="shared" si="97"/>
        <v/>
      </c>
      <c r="AB189" s="30" t="str">
        <f t="shared" si="98"/>
        <v/>
      </c>
      <c r="AC189" s="30" t="str">
        <f t="shared" si="99"/>
        <v/>
      </c>
      <c r="AD189" s="30" t="str">
        <f t="shared" si="100"/>
        <v/>
      </c>
      <c r="AE189" s="30" t="str">
        <f t="shared" si="101"/>
        <v/>
      </c>
      <c r="AF189" s="30" t="str">
        <f t="shared" si="107"/>
        <v/>
      </c>
      <c r="AG189" s="30" t="str">
        <f t="shared" si="108"/>
        <v/>
      </c>
      <c r="AH189" s="30" t="str">
        <f t="shared" si="109"/>
        <v/>
      </c>
      <c r="AI189" s="30" t="str">
        <f t="shared" si="110"/>
        <v/>
      </c>
      <c r="AJ189" s="30" t="str">
        <f t="shared" si="111"/>
        <v/>
      </c>
      <c r="AK189" s="30" t="str">
        <f t="shared" si="112"/>
        <v/>
      </c>
      <c r="AL189" s="30" t="str">
        <f t="shared" si="113"/>
        <v/>
      </c>
      <c r="AM189" s="30" t="str">
        <f t="shared" si="114"/>
        <v/>
      </c>
      <c r="AN189" s="30" t="str">
        <f t="shared" si="115"/>
        <v/>
      </c>
      <c r="AO189" s="30" t="str">
        <f t="shared" si="116"/>
        <v/>
      </c>
      <c r="AP189" s="30" t="str">
        <f t="shared" si="117"/>
        <v/>
      </c>
      <c r="AQ189" s="30" t="str">
        <f t="shared" si="118"/>
        <v/>
      </c>
      <c r="AR189" s="30" t="str">
        <f t="shared" si="119"/>
        <v/>
      </c>
      <c r="AS189" s="30" t="str">
        <f t="shared" si="120"/>
        <v/>
      </c>
      <c r="AT189" t="str">
        <f t="shared" si="121"/>
        <v/>
      </c>
      <c r="AU189" t="str">
        <f t="shared" si="122"/>
        <v/>
      </c>
    </row>
    <row r="190" spans="1:47" ht="22" customHeight="1" x14ac:dyDescent="0.2">
      <c r="A190" s="31"/>
      <c r="B190" s="31"/>
      <c r="C190" s="32" t="str">
        <f t="shared" si="123"/>
        <v/>
      </c>
      <c r="D190" s="33"/>
      <c r="E190" s="34"/>
      <c r="F190" s="34"/>
      <c r="G190" s="34"/>
      <c r="H190" s="35"/>
      <c r="I190" s="35" t="str">
        <f t="shared" si="89"/>
        <v/>
      </c>
      <c r="J190" s="35" t="str">
        <f t="shared" si="105"/>
        <v/>
      </c>
      <c r="K190" s="34"/>
      <c r="L190" s="35"/>
      <c r="M190" s="61" t="str">
        <f t="shared" si="106"/>
        <v/>
      </c>
      <c r="N190" s="35"/>
      <c r="O190" s="34"/>
      <c r="P190" s="35"/>
      <c r="Q190" s="35"/>
      <c r="R190" s="36"/>
      <c r="S190" s="30" t="str">
        <f t="shared" si="90"/>
        <v/>
      </c>
      <c r="T190" s="6" t="str">
        <f>IF($D190="Villa Elena",COUNTIF($D$3:$D190,"Villa Elena"),"")</f>
        <v/>
      </c>
      <c r="U190" s="30" t="str">
        <f t="shared" si="91"/>
        <v/>
      </c>
      <c r="V190" s="30" t="str">
        <f t="shared" si="92"/>
        <v/>
      </c>
      <c r="W190" s="30" t="str">
        <f t="shared" si="93"/>
        <v/>
      </c>
      <c r="X190" s="30" t="str">
        <f t="shared" si="94"/>
        <v/>
      </c>
      <c r="Y190" s="30" t="str">
        <f t="shared" si="95"/>
        <v/>
      </c>
      <c r="Z190" s="30" t="str">
        <f t="shared" si="96"/>
        <v/>
      </c>
      <c r="AA190" s="30" t="str">
        <f t="shared" si="97"/>
        <v/>
      </c>
      <c r="AB190" s="30" t="str">
        <f t="shared" si="98"/>
        <v/>
      </c>
      <c r="AC190" s="30" t="str">
        <f t="shared" si="99"/>
        <v/>
      </c>
      <c r="AD190" s="30" t="str">
        <f t="shared" si="100"/>
        <v/>
      </c>
      <c r="AE190" s="30" t="str">
        <f t="shared" si="101"/>
        <v/>
      </c>
      <c r="AF190" s="30" t="str">
        <f t="shared" si="107"/>
        <v/>
      </c>
      <c r="AG190" s="30" t="str">
        <f t="shared" si="108"/>
        <v/>
      </c>
      <c r="AH190" s="30" t="str">
        <f t="shared" si="109"/>
        <v/>
      </c>
      <c r="AI190" s="30" t="str">
        <f t="shared" si="110"/>
        <v/>
      </c>
      <c r="AJ190" s="30" t="str">
        <f t="shared" si="111"/>
        <v/>
      </c>
      <c r="AK190" s="30" t="str">
        <f t="shared" si="112"/>
        <v/>
      </c>
      <c r="AL190" s="30" t="str">
        <f t="shared" si="113"/>
        <v/>
      </c>
      <c r="AM190" s="30" t="str">
        <f t="shared" si="114"/>
        <v/>
      </c>
      <c r="AN190" s="30" t="str">
        <f t="shared" si="115"/>
        <v/>
      </c>
      <c r="AO190" s="30" t="str">
        <f t="shared" si="116"/>
        <v/>
      </c>
      <c r="AP190" s="30" t="str">
        <f t="shared" si="117"/>
        <v/>
      </c>
      <c r="AQ190" s="30" t="str">
        <f t="shared" si="118"/>
        <v/>
      </c>
      <c r="AR190" s="30" t="str">
        <f t="shared" si="119"/>
        <v/>
      </c>
      <c r="AS190" s="30" t="str">
        <f t="shared" si="120"/>
        <v/>
      </c>
      <c r="AT190" t="str">
        <f t="shared" si="121"/>
        <v/>
      </c>
      <c r="AU190" t="str">
        <f t="shared" si="122"/>
        <v/>
      </c>
    </row>
    <row r="191" spans="1:47" ht="22" customHeight="1" x14ac:dyDescent="0.2">
      <c r="A191" s="31"/>
      <c r="B191" s="31"/>
      <c r="C191" s="32" t="str">
        <f t="shared" si="123"/>
        <v/>
      </c>
      <c r="D191" s="33"/>
      <c r="E191" s="34"/>
      <c r="F191" s="34"/>
      <c r="G191" s="34"/>
      <c r="H191" s="35"/>
      <c r="I191" s="35" t="str">
        <f t="shared" si="89"/>
        <v/>
      </c>
      <c r="J191" s="35" t="str">
        <f t="shared" si="105"/>
        <v/>
      </c>
      <c r="K191" s="34"/>
      <c r="L191" s="35"/>
      <c r="M191" s="61" t="str">
        <f t="shared" si="106"/>
        <v/>
      </c>
      <c r="N191" s="35"/>
      <c r="O191" s="34"/>
      <c r="P191" s="35"/>
      <c r="Q191" s="35"/>
      <c r="R191" s="36"/>
      <c r="S191" s="30" t="str">
        <f t="shared" si="90"/>
        <v/>
      </c>
      <c r="T191" s="6" t="str">
        <f>IF($D191="Villa Elena",COUNTIF($D$3:$D191,"Villa Elena"),"")</f>
        <v/>
      </c>
      <c r="U191" s="30" t="str">
        <f t="shared" si="91"/>
        <v/>
      </c>
      <c r="V191" s="30" t="str">
        <f t="shared" si="92"/>
        <v/>
      </c>
      <c r="W191" s="30" t="str">
        <f t="shared" si="93"/>
        <v/>
      </c>
      <c r="X191" s="30" t="str">
        <f t="shared" si="94"/>
        <v/>
      </c>
      <c r="Y191" s="30" t="str">
        <f t="shared" si="95"/>
        <v/>
      </c>
      <c r="Z191" s="30" t="str">
        <f t="shared" si="96"/>
        <v/>
      </c>
      <c r="AA191" s="30" t="str">
        <f t="shared" si="97"/>
        <v/>
      </c>
      <c r="AB191" s="30" t="str">
        <f t="shared" si="98"/>
        <v/>
      </c>
      <c r="AC191" s="30" t="str">
        <f t="shared" si="99"/>
        <v/>
      </c>
      <c r="AD191" s="30" t="str">
        <f t="shared" si="100"/>
        <v/>
      </c>
      <c r="AE191" s="30" t="str">
        <f t="shared" si="101"/>
        <v/>
      </c>
      <c r="AF191" s="30" t="str">
        <f t="shared" si="107"/>
        <v/>
      </c>
      <c r="AG191" s="30" t="str">
        <f t="shared" si="108"/>
        <v/>
      </c>
      <c r="AH191" s="30" t="str">
        <f t="shared" si="109"/>
        <v/>
      </c>
      <c r="AI191" s="30" t="str">
        <f t="shared" si="110"/>
        <v/>
      </c>
      <c r="AJ191" s="30" t="str">
        <f t="shared" si="111"/>
        <v/>
      </c>
      <c r="AK191" s="30" t="str">
        <f t="shared" si="112"/>
        <v/>
      </c>
      <c r="AL191" s="30" t="str">
        <f t="shared" si="113"/>
        <v/>
      </c>
      <c r="AM191" s="30" t="str">
        <f t="shared" si="114"/>
        <v/>
      </c>
      <c r="AN191" s="30" t="str">
        <f t="shared" si="115"/>
        <v/>
      </c>
      <c r="AO191" s="30" t="str">
        <f t="shared" si="116"/>
        <v/>
      </c>
      <c r="AP191" s="30" t="str">
        <f t="shared" si="117"/>
        <v/>
      </c>
      <c r="AQ191" s="30" t="str">
        <f t="shared" si="118"/>
        <v/>
      </c>
      <c r="AR191" s="30" t="str">
        <f t="shared" si="119"/>
        <v/>
      </c>
      <c r="AS191" s="30" t="str">
        <f t="shared" si="120"/>
        <v/>
      </c>
      <c r="AT191" t="str">
        <f t="shared" si="121"/>
        <v/>
      </c>
      <c r="AU191" t="str">
        <f t="shared" si="122"/>
        <v/>
      </c>
    </row>
    <row r="192" spans="1:47" ht="22" customHeight="1" x14ac:dyDescent="0.2">
      <c r="A192" s="31"/>
      <c r="B192" s="31"/>
      <c r="C192" s="32" t="str">
        <f t="shared" si="123"/>
        <v/>
      </c>
      <c r="D192" s="33"/>
      <c r="E192" s="34"/>
      <c r="F192" s="34"/>
      <c r="G192" s="34"/>
      <c r="H192" s="35"/>
      <c r="I192" s="35" t="str">
        <f t="shared" si="89"/>
        <v/>
      </c>
      <c r="J192" s="35" t="str">
        <f t="shared" si="105"/>
        <v/>
      </c>
      <c r="K192" s="34"/>
      <c r="L192" s="35"/>
      <c r="M192" s="61" t="str">
        <f t="shared" si="106"/>
        <v/>
      </c>
      <c r="N192" s="35"/>
      <c r="O192" s="34"/>
      <c r="P192" s="35"/>
      <c r="Q192" s="35"/>
      <c r="R192" s="36"/>
      <c r="S192" s="30" t="str">
        <f t="shared" si="90"/>
        <v/>
      </c>
      <c r="T192" s="6" t="str">
        <f>IF($D192="Villa Elena",COUNTIF($D$3:$D192,"Villa Elena"),"")</f>
        <v/>
      </c>
      <c r="U192" s="30" t="str">
        <f t="shared" si="91"/>
        <v/>
      </c>
      <c r="V192" s="30" t="str">
        <f t="shared" si="92"/>
        <v/>
      </c>
      <c r="W192" s="30" t="str">
        <f t="shared" si="93"/>
        <v/>
      </c>
      <c r="X192" s="30" t="str">
        <f t="shared" si="94"/>
        <v/>
      </c>
      <c r="Y192" s="30" t="str">
        <f t="shared" si="95"/>
        <v/>
      </c>
      <c r="Z192" s="30" t="str">
        <f t="shared" si="96"/>
        <v/>
      </c>
      <c r="AA192" s="30" t="str">
        <f t="shared" si="97"/>
        <v/>
      </c>
      <c r="AB192" s="30" t="str">
        <f t="shared" si="98"/>
        <v/>
      </c>
      <c r="AC192" s="30" t="str">
        <f t="shared" si="99"/>
        <v/>
      </c>
      <c r="AD192" s="30" t="str">
        <f t="shared" si="100"/>
        <v/>
      </c>
      <c r="AE192" s="30" t="str">
        <f t="shared" si="101"/>
        <v/>
      </c>
      <c r="AF192" s="30" t="str">
        <f t="shared" si="107"/>
        <v/>
      </c>
      <c r="AG192" s="30" t="str">
        <f t="shared" si="108"/>
        <v/>
      </c>
      <c r="AH192" s="30" t="str">
        <f t="shared" si="109"/>
        <v/>
      </c>
      <c r="AI192" s="30" t="str">
        <f t="shared" si="110"/>
        <v/>
      </c>
      <c r="AJ192" s="30" t="str">
        <f t="shared" si="111"/>
        <v/>
      </c>
      <c r="AK192" s="30" t="str">
        <f t="shared" si="112"/>
        <v/>
      </c>
      <c r="AL192" s="30" t="str">
        <f t="shared" si="113"/>
        <v/>
      </c>
      <c r="AM192" s="30" t="str">
        <f t="shared" si="114"/>
        <v/>
      </c>
      <c r="AN192" s="30" t="str">
        <f t="shared" si="115"/>
        <v/>
      </c>
      <c r="AO192" s="30" t="str">
        <f t="shared" si="116"/>
        <v/>
      </c>
      <c r="AP192" s="30" t="str">
        <f t="shared" si="117"/>
        <v/>
      </c>
      <c r="AQ192" s="30" t="str">
        <f t="shared" si="118"/>
        <v/>
      </c>
      <c r="AR192" s="30" t="str">
        <f t="shared" si="119"/>
        <v/>
      </c>
      <c r="AS192" s="30" t="str">
        <f t="shared" si="120"/>
        <v/>
      </c>
      <c r="AT192" t="str">
        <f t="shared" si="121"/>
        <v/>
      </c>
      <c r="AU192" t="str">
        <f t="shared" si="122"/>
        <v/>
      </c>
    </row>
    <row r="193" spans="1:47" ht="22" customHeight="1" x14ac:dyDescent="0.2">
      <c r="A193" s="31"/>
      <c r="B193" s="31"/>
      <c r="C193" s="32" t="str">
        <f t="shared" si="123"/>
        <v/>
      </c>
      <c r="D193" s="33"/>
      <c r="E193" s="34"/>
      <c r="F193" s="34"/>
      <c r="G193" s="34"/>
      <c r="H193" s="35"/>
      <c r="I193" s="35" t="str">
        <f t="shared" si="89"/>
        <v/>
      </c>
      <c r="J193" s="35" t="str">
        <f t="shared" si="105"/>
        <v/>
      </c>
      <c r="K193" s="34"/>
      <c r="L193" s="35"/>
      <c r="M193" s="61" t="str">
        <f t="shared" si="106"/>
        <v/>
      </c>
      <c r="N193" s="35"/>
      <c r="O193" s="34"/>
      <c r="P193" s="35"/>
      <c r="Q193" s="35"/>
      <c r="R193" s="36"/>
      <c r="S193" s="30" t="str">
        <f t="shared" si="90"/>
        <v/>
      </c>
      <c r="T193" s="6" t="str">
        <f>IF($D193="Villa Elena",COUNTIF($D$3:$D193,"Villa Elena"),"")</f>
        <v/>
      </c>
      <c r="U193" s="30" t="str">
        <f t="shared" si="91"/>
        <v/>
      </c>
      <c r="V193" s="30" t="str">
        <f t="shared" si="92"/>
        <v/>
      </c>
      <c r="W193" s="30" t="str">
        <f t="shared" si="93"/>
        <v/>
      </c>
      <c r="X193" s="30" t="str">
        <f t="shared" si="94"/>
        <v/>
      </c>
      <c r="Y193" s="30" t="str">
        <f t="shared" si="95"/>
        <v/>
      </c>
      <c r="Z193" s="30" t="str">
        <f t="shared" si="96"/>
        <v/>
      </c>
      <c r="AA193" s="30" t="str">
        <f t="shared" si="97"/>
        <v/>
      </c>
      <c r="AB193" s="30" t="str">
        <f t="shared" si="98"/>
        <v/>
      </c>
      <c r="AC193" s="30" t="str">
        <f t="shared" si="99"/>
        <v/>
      </c>
      <c r="AD193" s="30" t="str">
        <f t="shared" si="100"/>
        <v/>
      </c>
      <c r="AE193" s="30" t="str">
        <f t="shared" si="101"/>
        <v/>
      </c>
      <c r="AF193" s="30" t="str">
        <f t="shared" si="107"/>
        <v/>
      </c>
      <c r="AG193" s="30" t="str">
        <f t="shared" si="108"/>
        <v/>
      </c>
      <c r="AH193" s="30" t="str">
        <f t="shared" si="109"/>
        <v/>
      </c>
      <c r="AI193" s="30" t="str">
        <f t="shared" si="110"/>
        <v/>
      </c>
      <c r="AJ193" s="30" t="str">
        <f t="shared" si="111"/>
        <v/>
      </c>
      <c r="AK193" s="30" t="str">
        <f t="shared" si="112"/>
        <v/>
      </c>
      <c r="AL193" s="30" t="str">
        <f t="shared" si="113"/>
        <v/>
      </c>
      <c r="AM193" s="30" t="str">
        <f t="shared" si="114"/>
        <v/>
      </c>
      <c r="AN193" s="30" t="str">
        <f t="shared" si="115"/>
        <v/>
      </c>
      <c r="AO193" s="30" t="str">
        <f t="shared" si="116"/>
        <v/>
      </c>
      <c r="AP193" s="30" t="str">
        <f t="shared" si="117"/>
        <v/>
      </c>
      <c r="AQ193" s="30" t="str">
        <f t="shared" si="118"/>
        <v/>
      </c>
      <c r="AR193" s="30" t="str">
        <f t="shared" si="119"/>
        <v/>
      </c>
      <c r="AS193" s="30" t="str">
        <f t="shared" si="120"/>
        <v/>
      </c>
      <c r="AT193" t="str">
        <f t="shared" si="121"/>
        <v/>
      </c>
      <c r="AU193" t="str">
        <f t="shared" si="122"/>
        <v/>
      </c>
    </row>
    <row r="194" spans="1:47" ht="22" customHeight="1" x14ac:dyDescent="0.2">
      <c r="A194" s="31"/>
      <c r="B194" s="31"/>
      <c r="C194" s="32" t="str">
        <f t="shared" si="123"/>
        <v/>
      </c>
      <c r="D194" s="33"/>
      <c r="E194" s="34"/>
      <c r="F194" s="34"/>
      <c r="G194" s="34"/>
      <c r="H194" s="35"/>
      <c r="I194" s="35" t="str">
        <f t="shared" si="89"/>
        <v/>
      </c>
      <c r="J194" s="35" t="str">
        <f t="shared" si="105"/>
        <v/>
      </c>
      <c r="K194" s="34"/>
      <c r="L194" s="35"/>
      <c r="M194" s="61" t="str">
        <f t="shared" si="106"/>
        <v/>
      </c>
      <c r="N194" s="35"/>
      <c r="O194" s="34"/>
      <c r="P194" s="35"/>
      <c r="Q194" s="35"/>
      <c r="R194" s="36"/>
      <c r="S194" s="30" t="str">
        <f t="shared" si="90"/>
        <v/>
      </c>
      <c r="T194" s="6" t="str">
        <f>IF($D194="Villa Elena",COUNTIF($D$3:$D194,"Villa Elena"),"")</f>
        <v/>
      </c>
      <c r="U194" s="30" t="str">
        <f t="shared" si="91"/>
        <v/>
      </c>
      <c r="V194" s="30" t="str">
        <f t="shared" si="92"/>
        <v/>
      </c>
      <c r="W194" s="30" t="str">
        <f t="shared" si="93"/>
        <v/>
      </c>
      <c r="X194" s="30" t="str">
        <f t="shared" si="94"/>
        <v/>
      </c>
      <c r="Y194" s="30" t="str">
        <f t="shared" si="95"/>
        <v/>
      </c>
      <c r="Z194" s="30" t="str">
        <f t="shared" si="96"/>
        <v/>
      </c>
      <c r="AA194" s="30" t="str">
        <f t="shared" si="97"/>
        <v/>
      </c>
      <c r="AB194" s="30" t="str">
        <f t="shared" si="98"/>
        <v/>
      </c>
      <c r="AC194" s="30" t="str">
        <f t="shared" si="99"/>
        <v/>
      </c>
      <c r="AD194" s="30" t="str">
        <f t="shared" si="100"/>
        <v/>
      </c>
      <c r="AE194" s="30" t="str">
        <f t="shared" si="101"/>
        <v/>
      </c>
      <c r="AF194" s="30" t="str">
        <f t="shared" si="107"/>
        <v/>
      </c>
      <c r="AG194" s="30" t="str">
        <f t="shared" si="108"/>
        <v/>
      </c>
      <c r="AH194" s="30" t="str">
        <f t="shared" si="109"/>
        <v/>
      </c>
      <c r="AI194" s="30" t="str">
        <f t="shared" si="110"/>
        <v/>
      </c>
      <c r="AJ194" s="30" t="str">
        <f t="shared" si="111"/>
        <v/>
      </c>
      <c r="AK194" s="30" t="str">
        <f t="shared" si="112"/>
        <v/>
      </c>
      <c r="AL194" s="30" t="str">
        <f t="shared" si="113"/>
        <v/>
      </c>
      <c r="AM194" s="30" t="str">
        <f t="shared" si="114"/>
        <v/>
      </c>
      <c r="AN194" s="30" t="str">
        <f t="shared" si="115"/>
        <v/>
      </c>
      <c r="AO194" s="30" t="str">
        <f t="shared" si="116"/>
        <v/>
      </c>
      <c r="AP194" s="30" t="str">
        <f t="shared" si="117"/>
        <v/>
      </c>
      <c r="AQ194" s="30" t="str">
        <f t="shared" si="118"/>
        <v/>
      </c>
      <c r="AR194" s="30" t="str">
        <f t="shared" si="119"/>
        <v/>
      </c>
      <c r="AS194" s="30" t="str">
        <f t="shared" si="120"/>
        <v/>
      </c>
      <c r="AT194" t="str">
        <f t="shared" si="121"/>
        <v/>
      </c>
      <c r="AU194" t="str">
        <f t="shared" si="122"/>
        <v/>
      </c>
    </row>
    <row r="195" spans="1:47" ht="22" customHeight="1" x14ac:dyDescent="0.2">
      <c r="A195" s="31"/>
      <c r="B195" s="31"/>
      <c r="C195" s="32" t="str">
        <f t="shared" si="123"/>
        <v/>
      </c>
      <c r="D195" s="33"/>
      <c r="E195" s="34"/>
      <c r="F195" s="34"/>
      <c r="G195" s="34"/>
      <c r="H195" s="35"/>
      <c r="I195" s="35" t="str">
        <f t="shared" ref="I195:I258" si="124">IF(AND(H195&lt;&gt;"",C195&lt;&gt;"",C195&lt;&gt;0),H195/C195,"")</f>
        <v/>
      </c>
      <c r="J195" s="35" t="str">
        <f t="shared" si="105"/>
        <v/>
      </c>
      <c r="K195" s="34"/>
      <c r="L195" s="35"/>
      <c r="M195" s="61" t="str">
        <f t="shared" si="106"/>
        <v/>
      </c>
      <c r="N195" s="35"/>
      <c r="O195" s="34"/>
      <c r="P195" s="35"/>
      <c r="Q195" s="35"/>
      <c r="R195" s="36"/>
      <c r="S195" s="30" t="str">
        <f t="shared" ref="S195:S215" si="125">IF(AND($D195="Sotto la Quercia",$G195&lt;&gt;""),ROW(),"")</f>
        <v/>
      </c>
      <c r="T195" s="6" t="str">
        <f>IF($D195="Villa Elena",COUNTIF($D$3:$D195,"Villa Elena"),"")</f>
        <v/>
      </c>
      <c r="U195" s="30" t="str">
        <f t="shared" ref="U195:U215" si="126">IF(AND($D195="Casa Letizia",$G195&lt;&gt;""),ROW(),"")</f>
        <v/>
      </c>
      <c r="V195" s="30" t="str">
        <f t="shared" ref="V195:V215" si="127">IF(AND($D195="Casa nel Borgo",$G195&lt;&gt;""),ROW(),"")</f>
        <v/>
      </c>
      <c r="W195" s="30" t="str">
        <f t="shared" ref="W195:W215" si="128">IF(AND($D195="Via San Rocco",$G195&lt;&gt;""),ROW(),"")</f>
        <v/>
      </c>
      <c r="X195" s="30" t="str">
        <f t="shared" ref="X195:X215" si="129">IF(AND($D195="Via Cavour",$G195&lt;&gt;""),ROW(),"")</f>
        <v/>
      </c>
      <c r="Y195" s="30" t="str">
        <f t="shared" ref="Y195:Y215" si="130">IF(AND($D195="Miramare",$G195&lt;&gt;""),ROW(),"")</f>
        <v/>
      </c>
      <c r="Z195" s="30" t="str">
        <f t="shared" ref="Z195:Z215" si="131">IF(AND($D195="Agantonio",$G195&lt;&gt;""),ROW(),"")</f>
        <v/>
      </c>
      <c r="AA195" s="30" t="str">
        <f t="shared" ref="AA195:AA215" si="132">IF(AND($D195="Casa Bella Gialla",$G195&lt;&gt;""),ROW(),"")</f>
        <v/>
      </c>
      <c r="AB195" s="30" t="str">
        <f t="shared" ref="AB195:AB215" si="133">IF(AND($D195="Casa Verde Oliva",$G195&lt;&gt;""),ROW(),"")</f>
        <v/>
      </c>
      <c r="AC195" s="30" t="str">
        <f t="shared" ref="AC195:AC215" si="134">IF(AND($D195="Casa Nicola",$G195&lt;&gt;""),ROW(),"")</f>
        <v/>
      </c>
      <c r="AD195" s="30" t="str">
        <f t="shared" ref="AD195:AD215" si="135">IF(AND($D195="White Cottage",$G195&lt;&gt;""),ROW(),"")</f>
        <v/>
      </c>
      <c r="AE195" s="30" t="str">
        <f t="shared" ref="AE195:AE215" si="136">IF(AND($D195="Villa Nella",$G195&lt;&gt;""),ROW(),"")</f>
        <v/>
      </c>
      <c r="AF195" s="30" t="str">
        <f t="shared" si="107"/>
        <v/>
      </c>
      <c r="AG195" s="30" t="str">
        <f t="shared" si="108"/>
        <v/>
      </c>
      <c r="AH195" s="30" t="str">
        <f t="shared" si="109"/>
        <v/>
      </c>
      <c r="AI195" s="30" t="str">
        <f t="shared" si="110"/>
        <v/>
      </c>
      <c r="AJ195" s="30" t="str">
        <f t="shared" si="111"/>
        <v/>
      </c>
      <c r="AK195" s="30" t="str">
        <f t="shared" si="112"/>
        <v/>
      </c>
      <c r="AL195" s="30" t="str">
        <f t="shared" si="113"/>
        <v/>
      </c>
      <c r="AM195" s="30" t="str">
        <f t="shared" si="114"/>
        <v/>
      </c>
      <c r="AN195" s="30" t="str">
        <f t="shared" si="115"/>
        <v/>
      </c>
      <c r="AO195" s="30" t="str">
        <f t="shared" si="116"/>
        <v/>
      </c>
      <c r="AP195" s="30" t="str">
        <f t="shared" si="117"/>
        <v/>
      </c>
      <c r="AQ195" s="30" t="str">
        <f t="shared" si="118"/>
        <v/>
      </c>
      <c r="AR195" s="30" t="str">
        <f t="shared" si="119"/>
        <v/>
      </c>
      <c r="AS195" s="30" t="str">
        <f t="shared" si="120"/>
        <v/>
      </c>
      <c r="AT195" t="str">
        <f t="shared" si="121"/>
        <v/>
      </c>
      <c r="AU195" t="str">
        <f t="shared" si="122"/>
        <v/>
      </c>
    </row>
    <row r="196" spans="1:47" ht="22" customHeight="1" x14ac:dyDescent="0.2">
      <c r="A196" s="31"/>
      <c r="B196" s="31"/>
      <c r="C196" s="32" t="str">
        <f t="shared" si="123"/>
        <v/>
      </c>
      <c r="D196" s="33"/>
      <c r="E196" s="34"/>
      <c r="F196" s="34"/>
      <c r="G196" s="34"/>
      <c r="H196" s="35"/>
      <c r="I196" s="35" t="str">
        <f t="shared" si="124"/>
        <v/>
      </c>
      <c r="J196" s="35" t="str">
        <f t="shared" si="105"/>
        <v/>
      </c>
      <c r="K196" s="34"/>
      <c r="L196" s="35"/>
      <c r="M196" s="61" t="str">
        <f t="shared" si="106"/>
        <v/>
      </c>
      <c r="N196" s="35"/>
      <c r="O196" s="34"/>
      <c r="P196" s="35"/>
      <c r="Q196" s="35"/>
      <c r="R196" s="36"/>
      <c r="S196" s="30" t="str">
        <f t="shared" si="125"/>
        <v/>
      </c>
      <c r="T196" s="6" t="str">
        <f>IF($D196="Villa Elena",COUNTIF($D$3:$D196,"Villa Elena"),"")</f>
        <v/>
      </c>
      <c r="U196" s="30" t="str">
        <f t="shared" si="126"/>
        <v/>
      </c>
      <c r="V196" s="30" t="str">
        <f t="shared" si="127"/>
        <v/>
      </c>
      <c r="W196" s="30" t="str">
        <f t="shared" si="128"/>
        <v/>
      </c>
      <c r="X196" s="30" t="str">
        <f t="shared" si="129"/>
        <v/>
      </c>
      <c r="Y196" s="30" t="str">
        <f t="shared" si="130"/>
        <v/>
      </c>
      <c r="Z196" s="30" t="str">
        <f t="shared" si="131"/>
        <v/>
      </c>
      <c r="AA196" s="30" t="str">
        <f t="shared" si="132"/>
        <v/>
      </c>
      <c r="AB196" s="30" t="str">
        <f t="shared" si="133"/>
        <v/>
      </c>
      <c r="AC196" s="30" t="str">
        <f t="shared" si="134"/>
        <v/>
      </c>
      <c r="AD196" s="30" t="str">
        <f t="shared" si="135"/>
        <v/>
      </c>
      <c r="AE196" s="30" t="str">
        <f t="shared" si="136"/>
        <v/>
      </c>
      <c r="AF196" s="30" t="str">
        <f t="shared" si="107"/>
        <v/>
      </c>
      <c r="AG196" s="30" t="str">
        <f t="shared" si="108"/>
        <v/>
      </c>
      <c r="AH196" s="30" t="str">
        <f t="shared" si="109"/>
        <v/>
      </c>
      <c r="AI196" s="30" t="str">
        <f t="shared" si="110"/>
        <v/>
      </c>
      <c r="AJ196" s="30" t="str">
        <f t="shared" si="111"/>
        <v/>
      </c>
      <c r="AK196" s="30" t="str">
        <f t="shared" si="112"/>
        <v/>
      </c>
      <c r="AL196" s="30" t="str">
        <f t="shared" si="113"/>
        <v/>
      </c>
      <c r="AM196" s="30" t="str">
        <f t="shared" si="114"/>
        <v/>
      </c>
      <c r="AN196" s="30" t="str">
        <f t="shared" si="115"/>
        <v/>
      </c>
      <c r="AO196" s="30" t="str">
        <f t="shared" si="116"/>
        <v/>
      </c>
      <c r="AP196" s="30" t="str">
        <f t="shared" si="117"/>
        <v/>
      </c>
      <c r="AQ196" s="30" t="str">
        <f t="shared" si="118"/>
        <v/>
      </c>
      <c r="AR196" s="30" t="str">
        <f t="shared" si="119"/>
        <v/>
      </c>
      <c r="AS196" s="30" t="str">
        <f t="shared" si="120"/>
        <v/>
      </c>
      <c r="AT196" t="str">
        <f t="shared" si="121"/>
        <v/>
      </c>
      <c r="AU196" t="str">
        <f t="shared" si="122"/>
        <v/>
      </c>
    </row>
    <row r="197" spans="1:47" ht="22" customHeight="1" x14ac:dyDescent="0.2">
      <c r="A197" s="31"/>
      <c r="B197" s="31"/>
      <c r="C197" s="32" t="str">
        <f t="shared" si="123"/>
        <v/>
      </c>
      <c r="D197" s="33"/>
      <c r="E197" s="34"/>
      <c r="F197" s="34"/>
      <c r="G197" s="34"/>
      <c r="H197" s="35"/>
      <c r="I197" s="35" t="str">
        <f t="shared" si="124"/>
        <v/>
      </c>
      <c r="J197" s="35" t="str">
        <f t="shared" si="105"/>
        <v/>
      </c>
      <c r="K197" s="34"/>
      <c r="L197" s="35"/>
      <c r="M197" s="61" t="str">
        <f t="shared" si="106"/>
        <v/>
      </c>
      <c r="N197" s="35"/>
      <c r="O197" s="34"/>
      <c r="P197" s="35"/>
      <c r="Q197" s="35"/>
      <c r="R197" s="36"/>
      <c r="S197" s="30" t="str">
        <f t="shared" si="125"/>
        <v/>
      </c>
      <c r="T197" s="6" t="str">
        <f>IF($D197="Villa Elena",COUNTIF($D$3:$D197,"Villa Elena"),"")</f>
        <v/>
      </c>
      <c r="U197" s="30" t="str">
        <f t="shared" si="126"/>
        <v/>
      </c>
      <c r="V197" s="30" t="str">
        <f t="shared" si="127"/>
        <v/>
      </c>
      <c r="W197" s="30" t="str">
        <f t="shared" si="128"/>
        <v/>
      </c>
      <c r="X197" s="30" t="str">
        <f t="shared" si="129"/>
        <v/>
      </c>
      <c r="Y197" s="30" t="str">
        <f t="shared" si="130"/>
        <v/>
      </c>
      <c r="Z197" s="30" t="str">
        <f t="shared" si="131"/>
        <v/>
      </c>
      <c r="AA197" s="30" t="str">
        <f t="shared" si="132"/>
        <v/>
      </c>
      <c r="AB197" s="30" t="str">
        <f t="shared" si="133"/>
        <v/>
      </c>
      <c r="AC197" s="30" t="str">
        <f t="shared" si="134"/>
        <v/>
      </c>
      <c r="AD197" s="30" t="str">
        <f t="shared" si="135"/>
        <v/>
      </c>
      <c r="AE197" s="30" t="str">
        <f t="shared" si="136"/>
        <v/>
      </c>
      <c r="AF197" s="30" t="str">
        <f t="shared" si="107"/>
        <v/>
      </c>
      <c r="AG197" s="30" t="str">
        <f t="shared" si="108"/>
        <v/>
      </c>
      <c r="AH197" s="30" t="str">
        <f t="shared" si="109"/>
        <v/>
      </c>
      <c r="AI197" s="30" t="str">
        <f t="shared" si="110"/>
        <v/>
      </c>
      <c r="AJ197" s="30" t="str">
        <f t="shared" si="111"/>
        <v/>
      </c>
      <c r="AK197" s="30" t="str">
        <f t="shared" si="112"/>
        <v/>
      </c>
      <c r="AL197" s="30" t="str">
        <f t="shared" si="113"/>
        <v/>
      </c>
      <c r="AM197" s="30" t="str">
        <f t="shared" si="114"/>
        <v/>
      </c>
      <c r="AN197" s="30" t="str">
        <f t="shared" si="115"/>
        <v/>
      </c>
      <c r="AO197" s="30" t="str">
        <f t="shared" si="116"/>
        <v/>
      </c>
      <c r="AP197" s="30" t="str">
        <f t="shared" si="117"/>
        <v/>
      </c>
      <c r="AQ197" s="30" t="str">
        <f t="shared" si="118"/>
        <v/>
      </c>
      <c r="AR197" s="30" t="str">
        <f t="shared" si="119"/>
        <v/>
      </c>
      <c r="AS197" s="30" t="str">
        <f t="shared" si="120"/>
        <v/>
      </c>
      <c r="AT197" t="str">
        <f t="shared" si="121"/>
        <v/>
      </c>
      <c r="AU197" t="str">
        <f t="shared" si="122"/>
        <v/>
      </c>
    </row>
    <row r="198" spans="1:47" ht="22" customHeight="1" x14ac:dyDescent="0.2">
      <c r="A198" s="31"/>
      <c r="B198" s="31"/>
      <c r="C198" s="32" t="str">
        <f t="shared" si="123"/>
        <v/>
      </c>
      <c r="D198" s="33"/>
      <c r="E198" s="34"/>
      <c r="F198" s="34"/>
      <c r="G198" s="34"/>
      <c r="H198" s="35"/>
      <c r="I198" s="35" t="str">
        <f t="shared" si="124"/>
        <v/>
      </c>
      <c r="J198" s="35" t="str">
        <f t="shared" si="105"/>
        <v/>
      </c>
      <c r="K198" s="34"/>
      <c r="L198" s="35"/>
      <c r="M198" s="61" t="str">
        <f t="shared" si="106"/>
        <v/>
      </c>
      <c r="N198" s="35"/>
      <c r="O198" s="34"/>
      <c r="P198" s="35"/>
      <c r="Q198" s="35"/>
      <c r="R198" s="36"/>
      <c r="S198" s="30" t="str">
        <f t="shared" si="125"/>
        <v/>
      </c>
      <c r="T198" s="6" t="str">
        <f>IF($D198="Villa Elena",COUNTIF($D$3:$D198,"Villa Elena"),"")</f>
        <v/>
      </c>
      <c r="U198" s="30" t="str">
        <f t="shared" si="126"/>
        <v/>
      </c>
      <c r="V198" s="30" t="str">
        <f t="shared" si="127"/>
        <v/>
      </c>
      <c r="W198" s="30" t="str">
        <f t="shared" si="128"/>
        <v/>
      </c>
      <c r="X198" s="30" t="str">
        <f t="shared" si="129"/>
        <v/>
      </c>
      <c r="Y198" s="30" t="str">
        <f t="shared" si="130"/>
        <v/>
      </c>
      <c r="Z198" s="30" t="str">
        <f t="shared" si="131"/>
        <v/>
      </c>
      <c r="AA198" s="30" t="str">
        <f t="shared" si="132"/>
        <v/>
      </c>
      <c r="AB198" s="30" t="str">
        <f t="shared" si="133"/>
        <v/>
      </c>
      <c r="AC198" s="30" t="str">
        <f t="shared" si="134"/>
        <v/>
      </c>
      <c r="AD198" s="30" t="str">
        <f t="shared" si="135"/>
        <v/>
      </c>
      <c r="AE198" s="30" t="str">
        <f t="shared" si="136"/>
        <v/>
      </c>
      <c r="AF198" s="30" t="str">
        <f t="shared" si="107"/>
        <v/>
      </c>
      <c r="AG198" s="30" t="str">
        <f t="shared" si="108"/>
        <v/>
      </c>
      <c r="AH198" s="30" t="str">
        <f t="shared" si="109"/>
        <v/>
      </c>
      <c r="AI198" s="30" t="str">
        <f t="shared" si="110"/>
        <v/>
      </c>
      <c r="AJ198" s="30" t="str">
        <f t="shared" si="111"/>
        <v/>
      </c>
      <c r="AK198" s="30" t="str">
        <f t="shared" si="112"/>
        <v/>
      </c>
      <c r="AL198" s="30" t="str">
        <f t="shared" si="113"/>
        <v/>
      </c>
      <c r="AM198" s="30" t="str">
        <f t="shared" si="114"/>
        <v/>
      </c>
      <c r="AN198" s="30" t="str">
        <f t="shared" si="115"/>
        <v/>
      </c>
      <c r="AO198" s="30" t="str">
        <f t="shared" si="116"/>
        <v/>
      </c>
      <c r="AP198" s="30" t="str">
        <f t="shared" si="117"/>
        <v/>
      </c>
      <c r="AQ198" s="30" t="str">
        <f t="shared" si="118"/>
        <v/>
      </c>
      <c r="AR198" s="30" t="str">
        <f t="shared" si="119"/>
        <v/>
      </c>
      <c r="AS198" s="30" t="str">
        <f t="shared" si="120"/>
        <v/>
      </c>
      <c r="AT198" t="str">
        <f t="shared" si="121"/>
        <v/>
      </c>
      <c r="AU198" t="str">
        <f t="shared" si="122"/>
        <v/>
      </c>
    </row>
    <row r="199" spans="1:47" ht="22" customHeight="1" x14ac:dyDescent="0.2">
      <c r="A199" s="31"/>
      <c r="B199" s="31"/>
      <c r="C199" s="32" t="str">
        <f t="shared" si="123"/>
        <v/>
      </c>
      <c r="D199" s="33"/>
      <c r="E199" s="34"/>
      <c r="F199" s="34"/>
      <c r="G199" s="34"/>
      <c r="H199" s="35"/>
      <c r="I199" s="35" t="str">
        <f t="shared" si="124"/>
        <v/>
      </c>
      <c r="J199" s="35" t="str">
        <f t="shared" ref="J199:J215" si="137">IF(AND(ISNUMBER(SEARCH("booking",G199)),OR(D199="Via San Rocco",D199="Via Cavour")),H199*0.165,IF(ISNUMBER(SEARCH("airbnb",G199)),H199*0.155,IF(ISNUMBER(SEARCH("booking",G199)),H199*0.15,"")))</f>
        <v/>
      </c>
      <c r="K199" s="34"/>
      <c r="L199" s="35"/>
      <c r="M199" s="61" t="str">
        <f t="shared" si="106"/>
        <v/>
      </c>
      <c r="N199" s="35"/>
      <c r="O199" s="34"/>
      <c r="P199" s="35"/>
      <c r="Q199" s="35"/>
      <c r="R199" s="36"/>
      <c r="S199" s="30" t="str">
        <f t="shared" si="125"/>
        <v/>
      </c>
      <c r="T199" s="6" t="str">
        <f>IF($D199="Villa Elena",COUNTIF($D$3:$D199,"Villa Elena"),"")</f>
        <v/>
      </c>
      <c r="U199" s="30" t="str">
        <f t="shared" si="126"/>
        <v/>
      </c>
      <c r="V199" s="30" t="str">
        <f t="shared" si="127"/>
        <v/>
      </c>
      <c r="W199" s="30" t="str">
        <f t="shared" si="128"/>
        <v/>
      </c>
      <c r="X199" s="30" t="str">
        <f t="shared" si="129"/>
        <v/>
      </c>
      <c r="Y199" s="30" t="str">
        <f t="shared" si="130"/>
        <v/>
      </c>
      <c r="Z199" s="30" t="str">
        <f t="shared" si="131"/>
        <v/>
      </c>
      <c r="AA199" s="30" t="str">
        <f t="shared" si="132"/>
        <v/>
      </c>
      <c r="AB199" s="30" t="str">
        <f t="shared" si="133"/>
        <v/>
      </c>
      <c r="AC199" s="30" t="str">
        <f t="shared" si="134"/>
        <v/>
      </c>
      <c r="AD199" s="30" t="str">
        <f t="shared" si="135"/>
        <v/>
      </c>
      <c r="AE199" s="30" t="str">
        <f t="shared" si="136"/>
        <v/>
      </c>
      <c r="AF199" s="30" t="str">
        <f t="shared" si="107"/>
        <v/>
      </c>
      <c r="AG199" s="30" t="str">
        <f t="shared" si="108"/>
        <v/>
      </c>
      <c r="AH199" s="30" t="str">
        <f t="shared" si="109"/>
        <v/>
      </c>
      <c r="AI199" s="30" t="str">
        <f t="shared" si="110"/>
        <v/>
      </c>
      <c r="AJ199" s="30" t="str">
        <f t="shared" si="111"/>
        <v/>
      </c>
      <c r="AK199" s="30" t="str">
        <f t="shared" si="112"/>
        <v/>
      </c>
      <c r="AL199" s="30" t="str">
        <f t="shared" si="113"/>
        <v/>
      </c>
      <c r="AM199" s="30" t="str">
        <f t="shared" si="114"/>
        <v/>
      </c>
      <c r="AN199" s="30" t="str">
        <f t="shared" si="115"/>
        <v/>
      </c>
      <c r="AO199" s="30" t="str">
        <f t="shared" si="116"/>
        <v/>
      </c>
      <c r="AP199" s="30" t="str">
        <f t="shared" si="117"/>
        <v/>
      </c>
      <c r="AQ199" s="30" t="str">
        <f t="shared" si="118"/>
        <v/>
      </c>
      <c r="AR199" s="30" t="str">
        <f t="shared" si="119"/>
        <v/>
      </c>
      <c r="AS199" s="30" t="str">
        <f t="shared" si="120"/>
        <v/>
      </c>
      <c r="AT199" t="str">
        <f t="shared" si="121"/>
        <v/>
      </c>
      <c r="AU199" t="str">
        <f t="shared" si="122"/>
        <v/>
      </c>
    </row>
    <row r="200" spans="1:47" ht="22" customHeight="1" x14ac:dyDescent="0.2">
      <c r="A200" s="31"/>
      <c r="B200" s="31"/>
      <c r="C200" s="32" t="str">
        <f t="shared" si="123"/>
        <v/>
      </c>
      <c r="D200" s="33"/>
      <c r="E200" s="34"/>
      <c r="F200" s="34"/>
      <c r="G200" s="34"/>
      <c r="H200" s="35"/>
      <c r="I200" s="35" t="str">
        <f t="shared" si="124"/>
        <v/>
      </c>
      <c r="J200" s="35" t="str">
        <f t="shared" si="137"/>
        <v/>
      </c>
      <c r="K200" s="34"/>
      <c r="L200" s="35"/>
      <c r="M200" s="61" t="str">
        <f t="shared" si="106"/>
        <v/>
      </c>
      <c r="N200" s="35"/>
      <c r="O200" s="34"/>
      <c r="P200" s="35"/>
      <c r="Q200" s="35"/>
      <c r="R200" s="36"/>
      <c r="S200" s="30" t="str">
        <f t="shared" si="125"/>
        <v/>
      </c>
      <c r="T200" s="6" t="str">
        <f>IF($D200="Villa Elena",COUNTIF($D$3:$D200,"Villa Elena"),"")</f>
        <v/>
      </c>
      <c r="U200" s="30" t="str">
        <f t="shared" si="126"/>
        <v/>
      </c>
      <c r="V200" s="30" t="str">
        <f t="shared" si="127"/>
        <v/>
      </c>
      <c r="W200" s="30" t="str">
        <f t="shared" si="128"/>
        <v/>
      </c>
      <c r="X200" s="30" t="str">
        <f t="shared" si="129"/>
        <v/>
      </c>
      <c r="Y200" s="30" t="str">
        <f t="shared" si="130"/>
        <v/>
      </c>
      <c r="Z200" s="30" t="str">
        <f t="shared" si="131"/>
        <v/>
      </c>
      <c r="AA200" s="30" t="str">
        <f t="shared" si="132"/>
        <v/>
      </c>
      <c r="AB200" s="30" t="str">
        <f t="shared" si="133"/>
        <v/>
      </c>
      <c r="AC200" s="30" t="str">
        <f t="shared" si="134"/>
        <v/>
      </c>
      <c r="AD200" s="30" t="str">
        <f t="shared" si="135"/>
        <v/>
      </c>
      <c r="AE200" s="30" t="str">
        <f t="shared" si="136"/>
        <v/>
      </c>
      <c r="AF200" s="30" t="str">
        <f t="shared" si="107"/>
        <v/>
      </c>
      <c r="AG200" s="30" t="str">
        <f t="shared" si="108"/>
        <v/>
      </c>
      <c r="AH200" s="30" t="str">
        <f t="shared" si="109"/>
        <v/>
      </c>
      <c r="AI200" s="30" t="str">
        <f t="shared" si="110"/>
        <v/>
      </c>
      <c r="AJ200" s="30" t="str">
        <f t="shared" si="111"/>
        <v/>
      </c>
      <c r="AK200" s="30" t="str">
        <f t="shared" si="112"/>
        <v/>
      </c>
      <c r="AL200" s="30" t="str">
        <f t="shared" si="113"/>
        <v/>
      </c>
      <c r="AM200" s="30" t="str">
        <f t="shared" si="114"/>
        <v/>
      </c>
      <c r="AN200" s="30" t="str">
        <f t="shared" si="115"/>
        <v/>
      </c>
      <c r="AO200" s="30" t="str">
        <f t="shared" si="116"/>
        <v/>
      </c>
      <c r="AP200" s="30" t="str">
        <f t="shared" si="117"/>
        <v/>
      </c>
      <c r="AQ200" s="30" t="str">
        <f t="shared" si="118"/>
        <v/>
      </c>
      <c r="AR200" s="30" t="str">
        <f t="shared" si="119"/>
        <v/>
      </c>
      <c r="AS200" s="30" t="str">
        <f t="shared" si="120"/>
        <v/>
      </c>
      <c r="AT200" t="str">
        <f t="shared" si="121"/>
        <v/>
      </c>
      <c r="AU200" t="str">
        <f t="shared" si="122"/>
        <v/>
      </c>
    </row>
    <row r="201" spans="1:47" ht="22" customHeight="1" x14ac:dyDescent="0.2">
      <c r="A201" s="31"/>
      <c r="B201" s="31"/>
      <c r="C201" s="32" t="str">
        <f t="shared" si="123"/>
        <v/>
      </c>
      <c r="D201" s="33"/>
      <c r="E201" s="34"/>
      <c r="F201" s="34"/>
      <c r="G201" s="34"/>
      <c r="H201" s="35"/>
      <c r="I201" s="35" t="str">
        <f t="shared" si="124"/>
        <v/>
      </c>
      <c r="J201" s="35" t="str">
        <f t="shared" si="137"/>
        <v/>
      </c>
      <c r="K201" s="34"/>
      <c r="L201" s="35"/>
      <c r="M201" s="61" t="str">
        <f t="shared" ref="M201:M215" si="138">IF(H201&lt;&gt;"",H201*0.25,"")</f>
        <v/>
      </c>
      <c r="N201" s="35"/>
      <c r="O201" s="34"/>
      <c r="P201" s="35"/>
      <c r="Q201" s="35"/>
      <c r="R201" s="36"/>
      <c r="S201" s="30" t="str">
        <f t="shared" si="125"/>
        <v/>
      </c>
      <c r="T201" s="6" t="str">
        <f>IF($D201="Villa Elena",COUNTIF($D$3:$D201,"Villa Elena"),"")</f>
        <v/>
      </c>
      <c r="U201" s="30" t="str">
        <f t="shared" si="126"/>
        <v/>
      </c>
      <c r="V201" s="30" t="str">
        <f t="shared" si="127"/>
        <v/>
      </c>
      <c r="W201" s="30" t="str">
        <f t="shared" si="128"/>
        <v/>
      </c>
      <c r="X201" s="30" t="str">
        <f t="shared" si="129"/>
        <v/>
      </c>
      <c r="Y201" s="30" t="str">
        <f t="shared" si="130"/>
        <v/>
      </c>
      <c r="Z201" s="30" t="str">
        <f t="shared" si="131"/>
        <v/>
      </c>
      <c r="AA201" s="30" t="str">
        <f t="shared" si="132"/>
        <v/>
      </c>
      <c r="AB201" s="30" t="str">
        <f t="shared" si="133"/>
        <v/>
      </c>
      <c r="AC201" s="30" t="str">
        <f t="shared" si="134"/>
        <v/>
      </c>
      <c r="AD201" s="30" t="str">
        <f t="shared" si="135"/>
        <v/>
      </c>
      <c r="AE201" s="30" t="str">
        <f t="shared" si="136"/>
        <v/>
      </c>
      <c r="AF201" s="30" t="str">
        <f t="shared" si="107"/>
        <v/>
      </c>
      <c r="AG201" s="30" t="str">
        <f t="shared" si="108"/>
        <v/>
      </c>
      <c r="AH201" s="30" t="str">
        <f t="shared" si="109"/>
        <v/>
      </c>
      <c r="AI201" s="30" t="str">
        <f t="shared" si="110"/>
        <v/>
      </c>
      <c r="AJ201" s="30" t="str">
        <f t="shared" si="111"/>
        <v/>
      </c>
      <c r="AK201" s="30" t="str">
        <f t="shared" si="112"/>
        <v/>
      </c>
      <c r="AL201" s="30" t="str">
        <f t="shared" si="113"/>
        <v/>
      </c>
      <c r="AM201" s="30" t="str">
        <f t="shared" si="114"/>
        <v/>
      </c>
      <c r="AN201" s="30" t="str">
        <f t="shared" si="115"/>
        <v/>
      </c>
      <c r="AO201" s="30" t="str">
        <f t="shared" si="116"/>
        <v/>
      </c>
      <c r="AP201" s="30" t="str">
        <f t="shared" si="117"/>
        <v/>
      </c>
      <c r="AQ201" s="30" t="str">
        <f t="shared" si="118"/>
        <v/>
      </c>
      <c r="AR201" s="30" t="str">
        <f t="shared" si="119"/>
        <v/>
      </c>
      <c r="AS201" s="30" t="str">
        <f t="shared" si="120"/>
        <v/>
      </c>
      <c r="AT201" t="str">
        <f t="shared" si="121"/>
        <v/>
      </c>
      <c r="AU201" t="str">
        <f t="shared" si="122"/>
        <v/>
      </c>
    </row>
    <row r="202" spans="1:47" ht="22" customHeight="1" x14ac:dyDescent="0.2">
      <c r="A202" s="31"/>
      <c r="B202" s="31"/>
      <c r="C202" s="32" t="str">
        <f t="shared" si="123"/>
        <v/>
      </c>
      <c r="D202" s="33"/>
      <c r="E202" s="34"/>
      <c r="F202" s="34"/>
      <c r="G202" s="34"/>
      <c r="H202" s="35"/>
      <c r="I202" s="35" t="str">
        <f t="shared" si="124"/>
        <v/>
      </c>
      <c r="J202" s="35" t="str">
        <f t="shared" si="137"/>
        <v/>
      </c>
      <c r="K202" s="34"/>
      <c r="L202" s="35"/>
      <c r="M202" s="61" t="str">
        <f t="shared" si="138"/>
        <v/>
      </c>
      <c r="N202" s="35"/>
      <c r="O202" s="34"/>
      <c r="P202" s="35"/>
      <c r="Q202" s="35"/>
      <c r="R202" s="36"/>
      <c r="S202" s="30" t="str">
        <f t="shared" si="125"/>
        <v/>
      </c>
      <c r="T202" s="6" t="str">
        <f>IF($D202="Villa Elena",COUNTIF($D$3:$D202,"Villa Elena"),"")</f>
        <v/>
      </c>
      <c r="U202" s="30" t="str">
        <f t="shared" si="126"/>
        <v/>
      </c>
      <c r="V202" s="30" t="str">
        <f t="shared" si="127"/>
        <v/>
      </c>
      <c r="W202" s="30" t="str">
        <f t="shared" si="128"/>
        <v/>
      </c>
      <c r="X202" s="30" t="str">
        <f t="shared" si="129"/>
        <v/>
      </c>
      <c r="Y202" s="30" t="str">
        <f t="shared" si="130"/>
        <v/>
      </c>
      <c r="Z202" s="30" t="str">
        <f t="shared" si="131"/>
        <v/>
      </c>
      <c r="AA202" s="30" t="str">
        <f t="shared" si="132"/>
        <v/>
      </c>
      <c r="AB202" s="30" t="str">
        <f t="shared" si="133"/>
        <v/>
      </c>
      <c r="AC202" s="30" t="str">
        <f t="shared" si="134"/>
        <v/>
      </c>
      <c r="AD202" s="30" t="str">
        <f t="shared" si="135"/>
        <v/>
      </c>
      <c r="AE202" s="30" t="str">
        <f t="shared" si="136"/>
        <v/>
      </c>
      <c r="AF202" s="30" t="str">
        <f t="shared" si="107"/>
        <v/>
      </c>
      <c r="AG202" s="30" t="str">
        <f t="shared" si="108"/>
        <v/>
      </c>
      <c r="AH202" s="30" t="str">
        <f t="shared" si="109"/>
        <v/>
      </c>
      <c r="AI202" s="30" t="str">
        <f t="shared" si="110"/>
        <v/>
      </c>
      <c r="AJ202" s="30" t="str">
        <f t="shared" si="111"/>
        <v/>
      </c>
      <c r="AK202" s="30" t="str">
        <f t="shared" si="112"/>
        <v/>
      </c>
      <c r="AL202" s="30" t="str">
        <f t="shared" si="113"/>
        <v/>
      </c>
      <c r="AM202" s="30" t="str">
        <f t="shared" si="114"/>
        <v/>
      </c>
      <c r="AN202" s="30" t="str">
        <f t="shared" si="115"/>
        <v/>
      </c>
      <c r="AO202" s="30" t="str">
        <f t="shared" si="116"/>
        <v/>
      </c>
      <c r="AP202" s="30" t="str">
        <f t="shared" si="117"/>
        <v/>
      </c>
      <c r="AQ202" s="30" t="str">
        <f t="shared" si="118"/>
        <v/>
      </c>
      <c r="AR202" s="30" t="str">
        <f t="shared" si="119"/>
        <v/>
      </c>
      <c r="AS202" s="30" t="str">
        <f t="shared" si="120"/>
        <v/>
      </c>
      <c r="AT202" t="str">
        <f t="shared" si="121"/>
        <v/>
      </c>
      <c r="AU202" t="str">
        <f t="shared" si="122"/>
        <v/>
      </c>
    </row>
    <row r="203" spans="1:47" ht="22" customHeight="1" x14ac:dyDescent="0.2">
      <c r="A203" s="31"/>
      <c r="B203" s="31"/>
      <c r="C203" s="32" t="str">
        <f t="shared" si="123"/>
        <v/>
      </c>
      <c r="D203" s="33"/>
      <c r="E203" s="34"/>
      <c r="F203" s="34"/>
      <c r="G203" s="34"/>
      <c r="H203" s="35"/>
      <c r="I203" s="35" t="str">
        <f t="shared" si="124"/>
        <v/>
      </c>
      <c r="J203" s="35" t="str">
        <f t="shared" si="137"/>
        <v/>
      </c>
      <c r="K203" s="34"/>
      <c r="L203" s="35"/>
      <c r="M203" s="61" t="str">
        <f t="shared" si="138"/>
        <v/>
      </c>
      <c r="N203" s="35"/>
      <c r="O203" s="34"/>
      <c r="P203" s="35"/>
      <c r="Q203" s="35"/>
      <c r="R203" s="36"/>
      <c r="S203" s="30" t="str">
        <f t="shared" si="125"/>
        <v/>
      </c>
      <c r="T203" s="6" t="str">
        <f>IF($D203="Villa Elena",COUNTIF($D$3:$D203,"Villa Elena"),"")</f>
        <v/>
      </c>
      <c r="U203" s="30" t="str">
        <f t="shared" si="126"/>
        <v/>
      </c>
      <c r="V203" s="30" t="str">
        <f t="shared" si="127"/>
        <v/>
      </c>
      <c r="W203" s="30" t="str">
        <f t="shared" si="128"/>
        <v/>
      </c>
      <c r="X203" s="30" t="str">
        <f t="shared" si="129"/>
        <v/>
      </c>
      <c r="Y203" s="30" t="str">
        <f t="shared" si="130"/>
        <v/>
      </c>
      <c r="Z203" s="30" t="str">
        <f t="shared" si="131"/>
        <v/>
      </c>
      <c r="AA203" s="30" t="str">
        <f t="shared" si="132"/>
        <v/>
      </c>
      <c r="AB203" s="30" t="str">
        <f t="shared" si="133"/>
        <v/>
      </c>
      <c r="AC203" s="30" t="str">
        <f t="shared" si="134"/>
        <v/>
      </c>
      <c r="AD203" s="30" t="str">
        <f t="shared" si="135"/>
        <v/>
      </c>
      <c r="AE203" s="30" t="str">
        <f t="shared" si="136"/>
        <v/>
      </c>
      <c r="AF203" s="30" t="str">
        <f t="shared" si="107"/>
        <v/>
      </c>
      <c r="AG203" s="30" t="str">
        <f t="shared" si="108"/>
        <v/>
      </c>
      <c r="AH203" s="30" t="str">
        <f t="shared" si="109"/>
        <v/>
      </c>
      <c r="AI203" s="30" t="str">
        <f t="shared" si="110"/>
        <v/>
      </c>
      <c r="AJ203" s="30" t="str">
        <f t="shared" si="111"/>
        <v/>
      </c>
      <c r="AK203" s="30" t="str">
        <f t="shared" si="112"/>
        <v/>
      </c>
      <c r="AL203" s="30" t="str">
        <f t="shared" si="113"/>
        <v/>
      </c>
      <c r="AM203" s="30" t="str">
        <f t="shared" si="114"/>
        <v/>
      </c>
      <c r="AN203" s="30" t="str">
        <f t="shared" si="115"/>
        <v/>
      </c>
      <c r="AO203" s="30" t="str">
        <f t="shared" si="116"/>
        <v/>
      </c>
      <c r="AP203" s="30" t="str">
        <f t="shared" si="117"/>
        <v/>
      </c>
      <c r="AQ203" s="30" t="str">
        <f t="shared" si="118"/>
        <v/>
      </c>
      <c r="AR203" s="30" t="str">
        <f t="shared" si="119"/>
        <v/>
      </c>
      <c r="AS203" s="30" t="str">
        <f t="shared" si="120"/>
        <v/>
      </c>
      <c r="AT203" t="str">
        <f t="shared" si="121"/>
        <v/>
      </c>
      <c r="AU203" t="str">
        <f t="shared" si="122"/>
        <v/>
      </c>
    </row>
    <row r="204" spans="1:47" ht="22" customHeight="1" x14ac:dyDescent="0.2">
      <c r="A204" s="31"/>
      <c r="B204" s="31"/>
      <c r="C204" s="32" t="str">
        <f t="shared" si="123"/>
        <v/>
      </c>
      <c r="D204" s="33"/>
      <c r="E204" s="34"/>
      <c r="F204" s="34"/>
      <c r="G204" s="34"/>
      <c r="H204" s="35"/>
      <c r="I204" s="35" t="str">
        <f t="shared" si="124"/>
        <v/>
      </c>
      <c r="J204" s="35" t="str">
        <f t="shared" si="137"/>
        <v/>
      </c>
      <c r="K204" s="34"/>
      <c r="L204" s="35"/>
      <c r="M204" s="61" t="str">
        <f t="shared" si="138"/>
        <v/>
      </c>
      <c r="N204" s="35"/>
      <c r="O204" s="34"/>
      <c r="P204" s="35"/>
      <c r="Q204" s="35"/>
      <c r="R204" s="36"/>
      <c r="S204" s="30" t="str">
        <f t="shared" si="125"/>
        <v/>
      </c>
      <c r="T204" s="6" t="str">
        <f>IF($D204="Villa Elena",COUNTIF($D$3:$D204,"Villa Elena"),"")</f>
        <v/>
      </c>
      <c r="U204" s="30" t="str">
        <f t="shared" si="126"/>
        <v/>
      </c>
      <c r="V204" s="30" t="str">
        <f t="shared" si="127"/>
        <v/>
      </c>
      <c r="W204" s="30" t="str">
        <f t="shared" si="128"/>
        <v/>
      </c>
      <c r="X204" s="30" t="str">
        <f t="shared" si="129"/>
        <v/>
      </c>
      <c r="Y204" s="30" t="str">
        <f t="shared" si="130"/>
        <v/>
      </c>
      <c r="Z204" s="30" t="str">
        <f t="shared" si="131"/>
        <v/>
      </c>
      <c r="AA204" s="30" t="str">
        <f t="shared" si="132"/>
        <v/>
      </c>
      <c r="AB204" s="30" t="str">
        <f t="shared" si="133"/>
        <v/>
      </c>
      <c r="AC204" s="30" t="str">
        <f t="shared" si="134"/>
        <v/>
      </c>
      <c r="AD204" s="30" t="str">
        <f t="shared" si="135"/>
        <v/>
      </c>
      <c r="AE204" s="30" t="str">
        <f t="shared" si="136"/>
        <v/>
      </c>
      <c r="AF204" s="30" t="str">
        <f t="shared" si="107"/>
        <v/>
      </c>
      <c r="AG204" s="30" t="str">
        <f t="shared" si="108"/>
        <v/>
      </c>
      <c r="AH204" s="30" t="str">
        <f t="shared" si="109"/>
        <v/>
      </c>
      <c r="AI204" s="30" t="str">
        <f t="shared" si="110"/>
        <v/>
      </c>
      <c r="AJ204" s="30" t="str">
        <f t="shared" si="111"/>
        <v/>
      </c>
      <c r="AK204" s="30" t="str">
        <f t="shared" si="112"/>
        <v/>
      </c>
      <c r="AL204" s="30" t="str">
        <f t="shared" si="113"/>
        <v/>
      </c>
      <c r="AM204" s="30" t="str">
        <f t="shared" si="114"/>
        <v/>
      </c>
      <c r="AN204" s="30" t="str">
        <f t="shared" si="115"/>
        <v/>
      </c>
      <c r="AO204" s="30" t="str">
        <f t="shared" si="116"/>
        <v/>
      </c>
      <c r="AP204" s="30" t="str">
        <f t="shared" si="117"/>
        <v/>
      </c>
      <c r="AQ204" s="30" t="str">
        <f t="shared" si="118"/>
        <v/>
      </c>
      <c r="AR204" s="30" t="str">
        <f t="shared" si="119"/>
        <v/>
      </c>
      <c r="AS204" s="30" t="str">
        <f t="shared" si="120"/>
        <v/>
      </c>
      <c r="AT204" t="str">
        <f t="shared" si="121"/>
        <v/>
      </c>
      <c r="AU204" t="str">
        <f t="shared" si="122"/>
        <v/>
      </c>
    </row>
    <row r="205" spans="1:47" ht="22" customHeight="1" x14ac:dyDescent="0.2">
      <c r="A205" s="31"/>
      <c r="B205" s="31"/>
      <c r="C205" s="32" t="str">
        <f t="shared" si="123"/>
        <v/>
      </c>
      <c r="D205" s="33"/>
      <c r="E205" s="34"/>
      <c r="F205" s="34"/>
      <c r="G205" s="34"/>
      <c r="H205" s="35"/>
      <c r="I205" s="35" t="str">
        <f t="shared" si="124"/>
        <v/>
      </c>
      <c r="J205" s="35" t="str">
        <f t="shared" si="137"/>
        <v/>
      </c>
      <c r="K205" s="34"/>
      <c r="L205" s="35"/>
      <c r="M205" s="61" t="str">
        <f t="shared" si="138"/>
        <v/>
      </c>
      <c r="N205" s="35"/>
      <c r="O205" s="34"/>
      <c r="P205" s="35"/>
      <c r="Q205" s="35"/>
      <c r="R205" s="36"/>
      <c r="S205" s="30" t="str">
        <f t="shared" si="125"/>
        <v/>
      </c>
      <c r="T205" s="6" t="str">
        <f>IF($D205="Villa Elena",COUNTIF($D$3:$D205,"Villa Elena"),"")</f>
        <v/>
      </c>
      <c r="U205" s="30" t="str">
        <f t="shared" si="126"/>
        <v/>
      </c>
      <c r="V205" s="30" t="str">
        <f t="shared" si="127"/>
        <v/>
      </c>
      <c r="W205" s="30" t="str">
        <f t="shared" si="128"/>
        <v/>
      </c>
      <c r="X205" s="30" t="str">
        <f t="shared" si="129"/>
        <v/>
      </c>
      <c r="Y205" s="30" t="str">
        <f t="shared" si="130"/>
        <v/>
      </c>
      <c r="Z205" s="30" t="str">
        <f t="shared" si="131"/>
        <v/>
      </c>
      <c r="AA205" s="30" t="str">
        <f t="shared" si="132"/>
        <v/>
      </c>
      <c r="AB205" s="30" t="str">
        <f t="shared" si="133"/>
        <v/>
      </c>
      <c r="AC205" s="30" t="str">
        <f t="shared" si="134"/>
        <v/>
      </c>
      <c r="AD205" s="30" t="str">
        <f t="shared" si="135"/>
        <v/>
      </c>
      <c r="AE205" s="30" t="str">
        <f t="shared" si="136"/>
        <v/>
      </c>
      <c r="AF205" s="30" t="str">
        <f t="shared" si="107"/>
        <v/>
      </c>
      <c r="AG205" s="30" t="str">
        <f t="shared" si="108"/>
        <v/>
      </c>
      <c r="AH205" s="30" t="str">
        <f t="shared" si="109"/>
        <v/>
      </c>
      <c r="AI205" s="30" t="str">
        <f t="shared" si="110"/>
        <v/>
      </c>
      <c r="AJ205" s="30" t="str">
        <f t="shared" si="111"/>
        <v/>
      </c>
      <c r="AK205" s="30" t="str">
        <f t="shared" si="112"/>
        <v/>
      </c>
      <c r="AL205" s="30" t="str">
        <f t="shared" si="113"/>
        <v/>
      </c>
      <c r="AM205" s="30" t="str">
        <f t="shared" si="114"/>
        <v/>
      </c>
      <c r="AN205" s="30" t="str">
        <f t="shared" si="115"/>
        <v/>
      </c>
      <c r="AO205" s="30" t="str">
        <f t="shared" si="116"/>
        <v/>
      </c>
      <c r="AP205" s="30" t="str">
        <f t="shared" si="117"/>
        <v/>
      </c>
      <c r="AQ205" s="30" t="str">
        <f t="shared" si="118"/>
        <v/>
      </c>
      <c r="AR205" s="30" t="str">
        <f t="shared" si="119"/>
        <v/>
      </c>
      <c r="AS205" s="30" t="str">
        <f t="shared" si="120"/>
        <v/>
      </c>
      <c r="AT205" t="str">
        <f t="shared" si="121"/>
        <v/>
      </c>
      <c r="AU205" t="str">
        <f t="shared" si="122"/>
        <v/>
      </c>
    </row>
    <row r="206" spans="1:47" ht="22" customHeight="1" x14ac:dyDescent="0.2">
      <c r="A206" s="31"/>
      <c r="B206" s="31"/>
      <c r="C206" s="32" t="str">
        <f t="shared" si="123"/>
        <v/>
      </c>
      <c r="D206" s="33"/>
      <c r="E206" s="34"/>
      <c r="F206" s="34"/>
      <c r="G206" s="34"/>
      <c r="H206" s="35"/>
      <c r="I206" s="35" t="str">
        <f t="shared" si="124"/>
        <v/>
      </c>
      <c r="J206" s="35" t="str">
        <f t="shared" si="137"/>
        <v/>
      </c>
      <c r="K206" s="34"/>
      <c r="L206" s="35"/>
      <c r="M206" s="61" t="str">
        <f t="shared" si="138"/>
        <v/>
      </c>
      <c r="N206" s="35"/>
      <c r="O206" s="34"/>
      <c r="P206" s="35"/>
      <c r="Q206" s="35"/>
      <c r="R206" s="36"/>
      <c r="S206" s="30" t="str">
        <f t="shared" si="125"/>
        <v/>
      </c>
      <c r="T206" s="6" t="str">
        <f>IF($D206="Villa Elena",COUNTIF($D$3:$D206,"Villa Elena"),"")</f>
        <v/>
      </c>
      <c r="U206" s="30" t="str">
        <f t="shared" si="126"/>
        <v/>
      </c>
      <c r="V206" s="30" t="str">
        <f t="shared" si="127"/>
        <v/>
      </c>
      <c r="W206" s="30" t="str">
        <f t="shared" si="128"/>
        <v/>
      </c>
      <c r="X206" s="30" t="str">
        <f t="shared" si="129"/>
        <v/>
      </c>
      <c r="Y206" s="30" t="str">
        <f t="shared" si="130"/>
        <v/>
      </c>
      <c r="Z206" s="30" t="str">
        <f t="shared" si="131"/>
        <v/>
      </c>
      <c r="AA206" s="30" t="str">
        <f t="shared" si="132"/>
        <v/>
      </c>
      <c r="AB206" s="30" t="str">
        <f t="shared" si="133"/>
        <v/>
      </c>
      <c r="AC206" s="30" t="str">
        <f t="shared" si="134"/>
        <v/>
      </c>
      <c r="AD206" s="30" t="str">
        <f t="shared" si="135"/>
        <v/>
      </c>
      <c r="AE206" s="30" t="str">
        <f t="shared" si="136"/>
        <v/>
      </c>
      <c r="AF206" s="30" t="str">
        <f t="shared" si="107"/>
        <v/>
      </c>
      <c r="AG206" s="30" t="str">
        <f t="shared" si="108"/>
        <v/>
      </c>
      <c r="AH206" s="30" t="str">
        <f t="shared" si="109"/>
        <v/>
      </c>
      <c r="AI206" s="30" t="str">
        <f t="shared" si="110"/>
        <v/>
      </c>
      <c r="AJ206" s="30" t="str">
        <f t="shared" si="111"/>
        <v/>
      </c>
      <c r="AK206" s="30" t="str">
        <f t="shared" si="112"/>
        <v/>
      </c>
      <c r="AL206" s="30" t="str">
        <f t="shared" si="113"/>
        <v/>
      </c>
      <c r="AM206" s="30" t="str">
        <f t="shared" si="114"/>
        <v/>
      </c>
      <c r="AN206" s="30" t="str">
        <f t="shared" si="115"/>
        <v/>
      </c>
      <c r="AO206" s="30" t="str">
        <f t="shared" si="116"/>
        <v/>
      </c>
      <c r="AP206" s="30" t="str">
        <f t="shared" si="117"/>
        <v/>
      </c>
      <c r="AQ206" s="30" t="str">
        <f t="shared" si="118"/>
        <v/>
      </c>
      <c r="AR206" s="30" t="str">
        <f t="shared" si="119"/>
        <v/>
      </c>
      <c r="AS206" s="30" t="str">
        <f t="shared" si="120"/>
        <v/>
      </c>
      <c r="AT206" t="str">
        <f t="shared" si="121"/>
        <v/>
      </c>
      <c r="AU206" t="str">
        <f t="shared" si="122"/>
        <v/>
      </c>
    </row>
    <row r="207" spans="1:47" ht="22" customHeight="1" x14ac:dyDescent="0.2">
      <c r="A207" s="31"/>
      <c r="B207" s="31"/>
      <c r="C207" s="32" t="str">
        <f t="shared" si="123"/>
        <v/>
      </c>
      <c r="D207" s="33"/>
      <c r="E207" s="34"/>
      <c r="F207" s="34"/>
      <c r="G207" s="34"/>
      <c r="H207" s="35"/>
      <c r="I207" s="35" t="str">
        <f t="shared" si="124"/>
        <v/>
      </c>
      <c r="J207" s="35" t="str">
        <f t="shared" si="137"/>
        <v/>
      </c>
      <c r="K207" s="34"/>
      <c r="L207" s="35"/>
      <c r="M207" s="61" t="str">
        <f t="shared" si="138"/>
        <v/>
      </c>
      <c r="N207" s="35"/>
      <c r="O207" s="34"/>
      <c r="P207" s="35"/>
      <c r="Q207" s="35"/>
      <c r="R207" s="36"/>
      <c r="S207" s="30" t="str">
        <f t="shared" si="125"/>
        <v/>
      </c>
      <c r="T207" s="6" t="str">
        <f>IF($D207="Villa Elena",COUNTIF($D$3:$D207,"Villa Elena"),"")</f>
        <v/>
      </c>
      <c r="U207" s="30" t="str">
        <f t="shared" si="126"/>
        <v/>
      </c>
      <c r="V207" s="30" t="str">
        <f t="shared" si="127"/>
        <v/>
      </c>
      <c r="W207" s="30" t="str">
        <f t="shared" si="128"/>
        <v/>
      </c>
      <c r="X207" s="30" t="str">
        <f t="shared" si="129"/>
        <v/>
      </c>
      <c r="Y207" s="30" t="str">
        <f t="shared" si="130"/>
        <v/>
      </c>
      <c r="Z207" s="30" t="str">
        <f t="shared" si="131"/>
        <v/>
      </c>
      <c r="AA207" s="30" t="str">
        <f t="shared" si="132"/>
        <v/>
      </c>
      <c r="AB207" s="30" t="str">
        <f t="shared" si="133"/>
        <v/>
      </c>
      <c r="AC207" s="30" t="str">
        <f t="shared" si="134"/>
        <v/>
      </c>
      <c r="AD207" s="30" t="str">
        <f t="shared" si="135"/>
        <v/>
      </c>
      <c r="AE207" s="30" t="str">
        <f t="shared" si="136"/>
        <v/>
      </c>
      <c r="AF207" s="30" t="str">
        <f t="shared" si="107"/>
        <v/>
      </c>
      <c r="AG207" s="30" t="str">
        <f t="shared" si="108"/>
        <v/>
      </c>
      <c r="AH207" s="30" t="str">
        <f t="shared" si="109"/>
        <v/>
      </c>
      <c r="AI207" s="30" t="str">
        <f t="shared" si="110"/>
        <v/>
      </c>
      <c r="AJ207" s="30" t="str">
        <f t="shared" si="111"/>
        <v/>
      </c>
      <c r="AK207" s="30" t="str">
        <f t="shared" si="112"/>
        <v/>
      </c>
      <c r="AL207" s="30" t="str">
        <f t="shared" si="113"/>
        <v/>
      </c>
      <c r="AM207" s="30" t="str">
        <f t="shared" si="114"/>
        <v/>
      </c>
      <c r="AN207" s="30" t="str">
        <f t="shared" si="115"/>
        <v/>
      </c>
      <c r="AO207" s="30" t="str">
        <f t="shared" si="116"/>
        <v/>
      </c>
      <c r="AP207" s="30" t="str">
        <f t="shared" si="117"/>
        <v/>
      </c>
      <c r="AQ207" s="30" t="str">
        <f t="shared" si="118"/>
        <v/>
      </c>
      <c r="AR207" s="30" t="str">
        <f t="shared" si="119"/>
        <v/>
      </c>
      <c r="AS207" s="30" t="str">
        <f t="shared" si="120"/>
        <v/>
      </c>
      <c r="AT207" t="str">
        <f t="shared" si="121"/>
        <v/>
      </c>
      <c r="AU207" t="str">
        <f t="shared" si="122"/>
        <v/>
      </c>
    </row>
    <row r="208" spans="1:47" ht="22" customHeight="1" x14ac:dyDescent="0.2">
      <c r="A208" s="31"/>
      <c r="B208" s="31"/>
      <c r="C208" s="32" t="str">
        <f t="shared" si="123"/>
        <v/>
      </c>
      <c r="D208" s="33"/>
      <c r="E208" s="34"/>
      <c r="F208" s="34"/>
      <c r="G208" s="34"/>
      <c r="H208" s="35"/>
      <c r="I208" s="35" t="str">
        <f t="shared" si="124"/>
        <v/>
      </c>
      <c r="J208" s="35" t="str">
        <f t="shared" si="137"/>
        <v/>
      </c>
      <c r="K208" s="34"/>
      <c r="L208" s="35"/>
      <c r="M208" s="61" t="str">
        <f t="shared" si="138"/>
        <v/>
      </c>
      <c r="N208" s="35"/>
      <c r="O208" s="34"/>
      <c r="P208" s="35"/>
      <c r="Q208" s="35"/>
      <c r="R208" s="36"/>
      <c r="S208" s="30" t="str">
        <f t="shared" si="125"/>
        <v/>
      </c>
      <c r="T208" s="6" t="str">
        <f>IF($D208="Villa Elena",COUNTIF($D$3:$D208,"Villa Elena"),"")</f>
        <v/>
      </c>
      <c r="U208" s="30" t="str">
        <f t="shared" si="126"/>
        <v/>
      </c>
      <c r="V208" s="30" t="str">
        <f t="shared" si="127"/>
        <v/>
      </c>
      <c r="W208" s="30" t="str">
        <f t="shared" si="128"/>
        <v/>
      </c>
      <c r="X208" s="30" t="str">
        <f t="shared" si="129"/>
        <v/>
      </c>
      <c r="Y208" s="30" t="str">
        <f t="shared" si="130"/>
        <v/>
      </c>
      <c r="Z208" s="30" t="str">
        <f t="shared" si="131"/>
        <v/>
      </c>
      <c r="AA208" s="30" t="str">
        <f t="shared" si="132"/>
        <v/>
      </c>
      <c r="AB208" s="30" t="str">
        <f t="shared" si="133"/>
        <v/>
      </c>
      <c r="AC208" s="30" t="str">
        <f t="shared" si="134"/>
        <v/>
      </c>
      <c r="AD208" s="30" t="str">
        <f t="shared" si="135"/>
        <v/>
      </c>
      <c r="AE208" s="30" t="str">
        <f t="shared" si="136"/>
        <v/>
      </c>
      <c r="AF208" s="30" t="str">
        <f t="shared" si="107"/>
        <v/>
      </c>
      <c r="AG208" s="30" t="str">
        <f t="shared" si="108"/>
        <v/>
      </c>
      <c r="AH208" s="30" t="str">
        <f t="shared" si="109"/>
        <v/>
      </c>
      <c r="AI208" s="30" t="str">
        <f t="shared" si="110"/>
        <v/>
      </c>
      <c r="AJ208" s="30" t="str">
        <f t="shared" si="111"/>
        <v/>
      </c>
      <c r="AK208" s="30" t="str">
        <f t="shared" si="112"/>
        <v/>
      </c>
      <c r="AL208" s="30" t="str">
        <f t="shared" si="113"/>
        <v/>
      </c>
      <c r="AM208" s="30" t="str">
        <f t="shared" si="114"/>
        <v/>
      </c>
      <c r="AN208" s="30" t="str">
        <f t="shared" si="115"/>
        <v/>
      </c>
      <c r="AO208" s="30" t="str">
        <f t="shared" si="116"/>
        <v/>
      </c>
      <c r="AP208" s="30" t="str">
        <f t="shared" si="117"/>
        <v/>
      </c>
      <c r="AQ208" s="30" t="str">
        <f t="shared" si="118"/>
        <v/>
      </c>
      <c r="AR208" s="30" t="str">
        <f t="shared" si="119"/>
        <v/>
      </c>
      <c r="AS208" s="30" t="str">
        <f t="shared" si="120"/>
        <v/>
      </c>
      <c r="AT208" t="str">
        <f t="shared" si="121"/>
        <v/>
      </c>
      <c r="AU208" t="str">
        <f t="shared" si="122"/>
        <v/>
      </c>
    </row>
    <row r="209" spans="1:47" ht="22" customHeight="1" x14ac:dyDescent="0.2">
      <c r="A209" s="31"/>
      <c r="B209" s="31"/>
      <c r="C209" s="32" t="str">
        <f t="shared" ref="C209:C240" si="139">IF(A209&lt;&gt;"",B209-A209,"")</f>
        <v/>
      </c>
      <c r="D209" s="33"/>
      <c r="E209" s="34"/>
      <c r="F209" s="34"/>
      <c r="G209" s="34"/>
      <c r="H209" s="35"/>
      <c r="I209" s="35" t="str">
        <f t="shared" si="124"/>
        <v/>
      </c>
      <c r="J209" s="35" t="str">
        <f t="shared" si="137"/>
        <v/>
      </c>
      <c r="K209" s="34"/>
      <c r="L209" s="35"/>
      <c r="M209" s="61" t="str">
        <f t="shared" si="138"/>
        <v/>
      </c>
      <c r="N209" s="35"/>
      <c r="O209" s="34"/>
      <c r="P209" s="35"/>
      <c r="Q209" s="35"/>
      <c r="R209" s="36"/>
      <c r="S209" s="30" t="str">
        <f t="shared" si="125"/>
        <v/>
      </c>
      <c r="T209" s="6" t="str">
        <f>IF($D209="Villa Elena",COUNTIF($D$3:$D209,"Villa Elena"),"")</f>
        <v/>
      </c>
      <c r="U209" s="30" t="str">
        <f t="shared" si="126"/>
        <v/>
      </c>
      <c r="V209" s="30" t="str">
        <f t="shared" si="127"/>
        <v/>
      </c>
      <c r="W209" s="30" t="str">
        <f t="shared" si="128"/>
        <v/>
      </c>
      <c r="X209" s="30" t="str">
        <f t="shared" si="129"/>
        <v/>
      </c>
      <c r="Y209" s="30" t="str">
        <f t="shared" si="130"/>
        <v/>
      </c>
      <c r="Z209" s="30" t="str">
        <f t="shared" si="131"/>
        <v/>
      </c>
      <c r="AA209" s="30" t="str">
        <f t="shared" si="132"/>
        <v/>
      </c>
      <c r="AB209" s="30" t="str">
        <f t="shared" si="133"/>
        <v/>
      </c>
      <c r="AC209" s="30" t="str">
        <f t="shared" si="134"/>
        <v/>
      </c>
      <c r="AD209" s="30" t="str">
        <f t="shared" si="135"/>
        <v/>
      </c>
      <c r="AE209" s="30" t="str">
        <f t="shared" si="136"/>
        <v/>
      </c>
      <c r="AF209" s="30" t="str">
        <f t="shared" si="107"/>
        <v/>
      </c>
      <c r="AG209" s="30" t="str">
        <f t="shared" si="108"/>
        <v/>
      </c>
      <c r="AH209" s="30" t="str">
        <f t="shared" si="109"/>
        <v/>
      </c>
      <c r="AI209" s="30" t="str">
        <f t="shared" si="110"/>
        <v/>
      </c>
      <c r="AJ209" s="30" t="str">
        <f t="shared" si="111"/>
        <v/>
      </c>
      <c r="AK209" s="30" t="str">
        <f t="shared" si="112"/>
        <v/>
      </c>
      <c r="AL209" s="30" t="str">
        <f t="shared" si="113"/>
        <v/>
      </c>
      <c r="AM209" s="30" t="str">
        <f t="shared" si="114"/>
        <v/>
      </c>
      <c r="AN209" s="30" t="str">
        <f t="shared" si="115"/>
        <v/>
      </c>
      <c r="AO209" s="30" t="str">
        <f t="shared" si="116"/>
        <v/>
      </c>
      <c r="AP209" s="30" t="str">
        <f t="shared" si="117"/>
        <v/>
      </c>
      <c r="AQ209" s="30" t="str">
        <f t="shared" si="118"/>
        <v/>
      </c>
      <c r="AR209" s="30" t="str">
        <f t="shared" si="119"/>
        <v/>
      </c>
      <c r="AS209" s="30" t="str">
        <f t="shared" si="120"/>
        <v/>
      </c>
      <c r="AT209" t="str">
        <f t="shared" si="121"/>
        <v/>
      </c>
      <c r="AU209" t="str">
        <f t="shared" si="122"/>
        <v/>
      </c>
    </row>
    <row r="210" spans="1:47" ht="22" customHeight="1" x14ac:dyDescent="0.2">
      <c r="A210" s="31"/>
      <c r="B210" s="31"/>
      <c r="C210" s="32" t="str">
        <f t="shared" si="139"/>
        <v/>
      </c>
      <c r="D210" s="33"/>
      <c r="E210" s="34"/>
      <c r="F210" s="34"/>
      <c r="G210" s="34"/>
      <c r="H210" s="35"/>
      <c r="I210" s="35" t="str">
        <f t="shared" si="124"/>
        <v/>
      </c>
      <c r="J210" s="35" t="str">
        <f t="shared" si="137"/>
        <v/>
      </c>
      <c r="K210" s="34"/>
      <c r="L210" s="35"/>
      <c r="M210" s="61" t="str">
        <f t="shared" si="138"/>
        <v/>
      </c>
      <c r="N210" s="35"/>
      <c r="O210" s="34"/>
      <c r="P210" s="35"/>
      <c r="Q210" s="35"/>
      <c r="R210" s="36"/>
      <c r="S210" s="30" t="str">
        <f t="shared" si="125"/>
        <v/>
      </c>
      <c r="T210" s="6" t="str">
        <f>IF($D210="Villa Elena",COUNTIF($D$3:$D210,"Villa Elena"),"")</f>
        <v/>
      </c>
      <c r="U210" s="30" t="str">
        <f t="shared" si="126"/>
        <v/>
      </c>
      <c r="V210" s="30" t="str">
        <f t="shared" si="127"/>
        <v/>
      </c>
      <c r="W210" s="30" t="str">
        <f t="shared" si="128"/>
        <v/>
      </c>
      <c r="X210" s="30" t="str">
        <f t="shared" si="129"/>
        <v/>
      </c>
      <c r="Y210" s="30" t="str">
        <f t="shared" si="130"/>
        <v/>
      </c>
      <c r="Z210" s="30" t="str">
        <f t="shared" si="131"/>
        <v/>
      </c>
      <c r="AA210" s="30" t="str">
        <f t="shared" si="132"/>
        <v/>
      </c>
      <c r="AB210" s="30" t="str">
        <f t="shared" si="133"/>
        <v/>
      </c>
      <c r="AC210" s="30" t="str">
        <f t="shared" si="134"/>
        <v/>
      </c>
      <c r="AD210" s="30" t="str">
        <f t="shared" si="135"/>
        <v/>
      </c>
      <c r="AE210" s="30" t="str">
        <f t="shared" si="136"/>
        <v/>
      </c>
      <c r="AF210" s="30" t="str">
        <f t="shared" si="107"/>
        <v/>
      </c>
      <c r="AG210" s="30" t="str">
        <f t="shared" si="108"/>
        <v/>
      </c>
      <c r="AH210" s="30" t="str">
        <f t="shared" si="109"/>
        <v/>
      </c>
      <c r="AI210" s="30" t="str">
        <f t="shared" si="110"/>
        <v/>
      </c>
      <c r="AJ210" s="30" t="str">
        <f t="shared" si="111"/>
        <v/>
      </c>
      <c r="AK210" s="30" t="str">
        <f t="shared" si="112"/>
        <v/>
      </c>
      <c r="AL210" s="30" t="str">
        <f t="shared" si="113"/>
        <v/>
      </c>
      <c r="AM210" s="30" t="str">
        <f t="shared" si="114"/>
        <v/>
      </c>
      <c r="AN210" s="30" t="str">
        <f t="shared" si="115"/>
        <v/>
      </c>
      <c r="AO210" s="30" t="str">
        <f t="shared" si="116"/>
        <v/>
      </c>
      <c r="AP210" s="30" t="str">
        <f t="shared" si="117"/>
        <v/>
      </c>
      <c r="AQ210" s="30" t="str">
        <f t="shared" si="118"/>
        <v/>
      </c>
      <c r="AR210" s="30" t="str">
        <f t="shared" si="119"/>
        <v/>
      </c>
      <c r="AS210" s="30" t="str">
        <f t="shared" si="120"/>
        <v/>
      </c>
      <c r="AT210" t="str">
        <f t="shared" si="121"/>
        <v/>
      </c>
      <c r="AU210" t="str">
        <f t="shared" si="122"/>
        <v/>
      </c>
    </row>
    <row r="211" spans="1:47" ht="22" customHeight="1" x14ac:dyDescent="0.2">
      <c r="A211" s="31"/>
      <c r="B211" s="31"/>
      <c r="C211" s="32" t="str">
        <f t="shared" si="139"/>
        <v/>
      </c>
      <c r="D211" s="33"/>
      <c r="E211" s="34"/>
      <c r="F211" s="34"/>
      <c r="G211" s="34"/>
      <c r="H211" s="35"/>
      <c r="I211" s="35" t="str">
        <f t="shared" si="124"/>
        <v/>
      </c>
      <c r="J211" s="35" t="str">
        <f t="shared" si="137"/>
        <v/>
      </c>
      <c r="K211" s="34"/>
      <c r="L211" s="35"/>
      <c r="M211" s="61" t="str">
        <f t="shared" si="138"/>
        <v/>
      </c>
      <c r="N211" s="35"/>
      <c r="O211" s="34"/>
      <c r="P211" s="35"/>
      <c r="Q211" s="35"/>
      <c r="R211" s="36"/>
      <c r="S211" s="30" t="str">
        <f t="shared" si="125"/>
        <v/>
      </c>
      <c r="T211" s="6" t="str">
        <f>IF($D211="Villa Elena",COUNTIF($D$3:$D211,"Villa Elena"),"")</f>
        <v/>
      </c>
      <c r="U211" s="30" t="str">
        <f t="shared" si="126"/>
        <v/>
      </c>
      <c r="V211" s="30" t="str">
        <f t="shared" si="127"/>
        <v/>
      </c>
      <c r="W211" s="30" t="str">
        <f t="shared" si="128"/>
        <v/>
      </c>
      <c r="X211" s="30" t="str">
        <f t="shared" si="129"/>
        <v/>
      </c>
      <c r="Y211" s="30" t="str">
        <f t="shared" si="130"/>
        <v/>
      </c>
      <c r="Z211" s="30" t="str">
        <f t="shared" si="131"/>
        <v/>
      </c>
      <c r="AA211" s="30" t="str">
        <f t="shared" si="132"/>
        <v/>
      </c>
      <c r="AB211" s="30" t="str">
        <f t="shared" si="133"/>
        <v/>
      </c>
      <c r="AC211" s="30" t="str">
        <f t="shared" si="134"/>
        <v/>
      </c>
      <c r="AD211" s="30" t="str">
        <f t="shared" si="135"/>
        <v/>
      </c>
      <c r="AE211" s="30" t="str">
        <f t="shared" si="136"/>
        <v/>
      </c>
      <c r="AF211" s="30" t="str">
        <f t="shared" si="107"/>
        <v/>
      </c>
      <c r="AG211" s="30" t="str">
        <f t="shared" si="108"/>
        <v/>
      </c>
      <c r="AH211" s="30" t="str">
        <f t="shared" si="109"/>
        <v/>
      </c>
      <c r="AI211" s="30" t="str">
        <f t="shared" si="110"/>
        <v/>
      </c>
      <c r="AJ211" s="30" t="str">
        <f t="shared" si="111"/>
        <v/>
      </c>
      <c r="AK211" s="30" t="str">
        <f t="shared" si="112"/>
        <v/>
      </c>
      <c r="AL211" s="30" t="str">
        <f t="shared" si="113"/>
        <v/>
      </c>
      <c r="AM211" s="30" t="str">
        <f t="shared" si="114"/>
        <v/>
      </c>
      <c r="AN211" s="30" t="str">
        <f t="shared" si="115"/>
        <v/>
      </c>
      <c r="AO211" s="30" t="str">
        <f t="shared" si="116"/>
        <v/>
      </c>
      <c r="AP211" s="30" t="str">
        <f t="shared" si="117"/>
        <v/>
      </c>
      <c r="AQ211" s="30" t="str">
        <f t="shared" si="118"/>
        <v/>
      </c>
      <c r="AR211" s="30" t="str">
        <f t="shared" si="119"/>
        <v/>
      </c>
      <c r="AS211" s="30" t="str">
        <f t="shared" si="120"/>
        <v/>
      </c>
      <c r="AT211" t="str">
        <f t="shared" si="121"/>
        <v/>
      </c>
      <c r="AU211" t="str">
        <f t="shared" si="122"/>
        <v/>
      </c>
    </row>
    <row r="212" spans="1:47" ht="22" customHeight="1" x14ac:dyDescent="0.2">
      <c r="A212" s="31"/>
      <c r="B212" s="31"/>
      <c r="C212" s="32" t="str">
        <f t="shared" si="139"/>
        <v/>
      </c>
      <c r="D212" s="33"/>
      <c r="E212" s="34"/>
      <c r="F212" s="34"/>
      <c r="G212" s="34"/>
      <c r="H212" s="35"/>
      <c r="I212" s="35" t="str">
        <f t="shared" si="124"/>
        <v/>
      </c>
      <c r="J212" s="35" t="str">
        <f t="shared" si="137"/>
        <v/>
      </c>
      <c r="K212" s="34"/>
      <c r="L212" s="35"/>
      <c r="M212" s="61" t="str">
        <f t="shared" si="138"/>
        <v/>
      </c>
      <c r="N212" s="35"/>
      <c r="O212" s="34"/>
      <c r="P212" s="35"/>
      <c r="Q212" s="35"/>
      <c r="R212" s="36"/>
      <c r="S212" s="30" t="str">
        <f t="shared" si="125"/>
        <v/>
      </c>
      <c r="T212" s="6" t="str">
        <f>IF($D212="Villa Elena",COUNTIF($D$3:$D212,"Villa Elena"),"")</f>
        <v/>
      </c>
      <c r="U212" s="30" t="str">
        <f t="shared" si="126"/>
        <v/>
      </c>
      <c r="V212" s="30" t="str">
        <f t="shared" si="127"/>
        <v/>
      </c>
      <c r="W212" s="30" t="str">
        <f t="shared" si="128"/>
        <v/>
      </c>
      <c r="X212" s="30" t="str">
        <f t="shared" si="129"/>
        <v/>
      </c>
      <c r="Y212" s="30" t="str">
        <f t="shared" si="130"/>
        <v/>
      </c>
      <c r="Z212" s="30" t="str">
        <f t="shared" si="131"/>
        <v/>
      </c>
      <c r="AA212" s="30" t="str">
        <f t="shared" si="132"/>
        <v/>
      </c>
      <c r="AB212" s="30" t="str">
        <f t="shared" si="133"/>
        <v/>
      </c>
      <c r="AC212" s="30" t="str">
        <f t="shared" si="134"/>
        <v/>
      </c>
      <c r="AD212" s="30" t="str">
        <f t="shared" si="135"/>
        <v/>
      </c>
      <c r="AE212" s="30" t="str">
        <f t="shared" si="136"/>
        <v/>
      </c>
      <c r="AF212" s="30" t="str">
        <f t="shared" si="107"/>
        <v/>
      </c>
      <c r="AG212" s="30" t="str">
        <f t="shared" si="108"/>
        <v/>
      </c>
      <c r="AH212" s="30" t="str">
        <f t="shared" si="109"/>
        <v/>
      </c>
      <c r="AI212" s="30" t="str">
        <f t="shared" si="110"/>
        <v/>
      </c>
      <c r="AJ212" s="30" t="str">
        <f t="shared" si="111"/>
        <v/>
      </c>
      <c r="AK212" s="30" t="str">
        <f t="shared" si="112"/>
        <v/>
      </c>
      <c r="AL212" s="30" t="str">
        <f t="shared" si="113"/>
        <v/>
      </c>
      <c r="AM212" s="30" t="str">
        <f t="shared" si="114"/>
        <v/>
      </c>
      <c r="AN212" s="30" t="str">
        <f t="shared" si="115"/>
        <v/>
      </c>
      <c r="AO212" s="30" t="str">
        <f t="shared" si="116"/>
        <v/>
      </c>
      <c r="AP212" s="30" t="str">
        <f t="shared" si="117"/>
        <v/>
      </c>
      <c r="AQ212" s="30" t="str">
        <f t="shared" si="118"/>
        <v/>
      </c>
      <c r="AR212" s="30" t="str">
        <f t="shared" si="119"/>
        <v/>
      </c>
      <c r="AS212" s="30" t="str">
        <f t="shared" si="120"/>
        <v/>
      </c>
      <c r="AT212" t="str">
        <f t="shared" si="121"/>
        <v/>
      </c>
      <c r="AU212" t="str">
        <f t="shared" si="122"/>
        <v/>
      </c>
    </row>
    <row r="213" spans="1:47" ht="22" customHeight="1" x14ac:dyDescent="0.2">
      <c r="A213" s="31"/>
      <c r="B213" s="31"/>
      <c r="C213" s="32" t="str">
        <f t="shared" si="139"/>
        <v/>
      </c>
      <c r="D213" s="33"/>
      <c r="E213" s="34"/>
      <c r="F213" s="34"/>
      <c r="G213" s="34"/>
      <c r="H213" s="35"/>
      <c r="I213" s="35" t="str">
        <f t="shared" si="124"/>
        <v/>
      </c>
      <c r="J213" s="35" t="str">
        <f t="shared" si="137"/>
        <v/>
      </c>
      <c r="K213" s="34"/>
      <c r="L213" s="35"/>
      <c r="M213" s="61" t="str">
        <f t="shared" si="138"/>
        <v/>
      </c>
      <c r="N213" s="35"/>
      <c r="O213" s="34"/>
      <c r="P213" s="35"/>
      <c r="Q213" s="35"/>
      <c r="R213" s="36"/>
      <c r="S213" s="30" t="str">
        <f t="shared" si="125"/>
        <v/>
      </c>
      <c r="T213" s="6" t="str">
        <f>IF($D213="Villa Elena",COUNTIF($D$3:$D213,"Villa Elena"),"")</f>
        <v/>
      </c>
      <c r="U213" s="30" t="str">
        <f t="shared" si="126"/>
        <v/>
      </c>
      <c r="V213" s="30" t="str">
        <f t="shared" si="127"/>
        <v/>
      </c>
      <c r="W213" s="30" t="str">
        <f t="shared" si="128"/>
        <v/>
      </c>
      <c r="X213" s="30" t="str">
        <f t="shared" si="129"/>
        <v/>
      </c>
      <c r="Y213" s="30" t="str">
        <f t="shared" si="130"/>
        <v/>
      </c>
      <c r="Z213" s="30" t="str">
        <f t="shared" si="131"/>
        <v/>
      </c>
      <c r="AA213" s="30" t="str">
        <f t="shared" si="132"/>
        <v/>
      </c>
      <c r="AB213" s="30" t="str">
        <f t="shared" si="133"/>
        <v/>
      </c>
      <c r="AC213" s="30" t="str">
        <f t="shared" si="134"/>
        <v/>
      </c>
      <c r="AD213" s="30" t="str">
        <f t="shared" si="135"/>
        <v/>
      </c>
      <c r="AE213" s="30" t="str">
        <f t="shared" si="136"/>
        <v/>
      </c>
      <c r="AF213" s="30" t="str">
        <f t="shared" si="107"/>
        <v/>
      </c>
      <c r="AG213" s="30" t="str">
        <f t="shared" si="108"/>
        <v/>
      </c>
      <c r="AH213" s="30" t="str">
        <f t="shared" si="109"/>
        <v/>
      </c>
      <c r="AI213" s="30" t="str">
        <f t="shared" si="110"/>
        <v/>
      </c>
      <c r="AJ213" s="30" t="str">
        <f t="shared" si="111"/>
        <v/>
      </c>
      <c r="AK213" s="30" t="str">
        <f t="shared" si="112"/>
        <v/>
      </c>
      <c r="AL213" s="30" t="str">
        <f t="shared" si="113"/>
        <v/>
      </c>
      <c r="AM213" s="30" t="str">
        <f t="shared" si="114"/>
        <v/>
      </c>
      <c r="AN213" s="30" t="str">
        <f t="shared" si="115"/>
        <v/>
      </c>
      <c r="AO213" s="30" t="str">
        <f t="shared" si="116"/>
        <v/>
      </c>
      <c r="AP213" s="30" t="str">
        <f t="shared" si="117"/>
        <v/>
      </c>
      <c r="AQ213" s="30" t="str">
        <f t="shared" si="118"/>
        <v/>
      </c>
      <c r="AR213" s="30" t="str">
        <f t="shared" si="119"/>
        <v/>
      </c>
      <c r="AS213" s="30" t="str">
        <f t="shared" si="120"/>
        <v/>
      </c>
      <c r="AT213" t="str">
        <f t="shared" si="121"/>
        <v/>
      </c>
      <c r="AU213" t="str">
        <f t="shared" si="122"/>
        <v/>
      </c>
    </row>
    <row r="214" spans="1:47" ht="22" customHeight="1" x14ac:dyDescent="0.2">
      <c r="A214" s="31"/>
      <c r="B214" s="31"/>
      <c r="C214" s="32" t="str">
        <f t="shared" si="139"/>
        <v/>
      </c>
      <c r="D214" s="33"/>
      <c r="E214" s="34"/>
      <c r="F214" s="34"/>
      <c r="G214" s="34"/>
      <c r="H214" s="35"/>
      <c r="I214" s="35" t="str">
        <f t="shared" si="124"/>
        <v/>
      </c>
      <c r="J214" s="35" t="str">
        <f t="shared" si="137"/>
        <v/>
      </c>
      <c r="K214" s="34"/>
      <c r="L214" s="35"/>
      <c r="M214" s="61" t="str">
        <f t="shared" si="138"/>
        <v/>
      </c>
      <c r="N214" s="35"/>
      <c r="O214" s="34"/>
      <c r="P214" s="35"/>
      <c r="Q214" s="35"/>
      <c r="R214" s="36"/>
      <c r="S214" s="30" t="str">
        <f t="shared" si="125"/>
        <v/>
      </c>
      <c r="T214" s="6" t="str">
        <f>IF($D214="Villa Elena",COUNTIF($D$3:$D214,"Villa Elena"),"")</f>
        <v/>
      </c>
      <c r="U214" s="30" t="str">
        <f t="shared" si="126"/>
        <v/>
      </c>
      <c r="V214" s="30" t="str">
        <f t="shared" si="127"/>
        <v/>
      </c>
      <c r="W214" s="30" t="str">
        <f t="shared" si="128"/>
        <v/>
      </c>
      <c r="X214" s="30" t="str">
        <f t="shared" si="129"/>
        <v/>
      </c>
      <c r="Y214" s="30" t="str">
        <f t="shared" si="130"/>
        <v/>
      </c>
      <c r="Z214" s="30" t="str">
        <f t="shared" si="131"/>
        <v/>
      </c>
      <c r="AA214" s="30" t="str">
        <f t="shared" si="132"/>
        <v/>
      </c>
      <c r="AB214" s="30" t="str">
        <f t="shared" si="133"/>
        <v/>
      </c>
      <c r="AC214" s="30" t="str">
        <f t="shared" si="134"/>
        <v/>
      </c>
      <c r="AD214" s="30" t="str">
        <f t="shared" si="135"/>
        <v/>
      </c>
      <c r="AE214" s="30" t="str">
        <f t="shared" si="136"/>
        <v/>
      </c>
      <c r="AF214" s="30" t="str">
        <f t="shared" si="107"/>
        <v/>
      </c>
      <c r="AG214" s="30" t="str">
        <f t="shared" si="108"/>
        <v/>
      </c>
      <c r="AH214" s="30" t="str">
        <f t="shared" si="109"/>
        <v/>
      </c>
      <c r="AI214" s="30" t="str">
        <f t="shared" si="110"/>
        <v/>
      </c>
      <c r="AJ214" s="30" t="str">
        <f t="shared" si="111"/>
        <v/>
      </c>
      <c r="AK214" s="30" t="str">
        <f t="shared" si="112"/>
        <v/>
      </c>
      <c r="AL214" s="30" t="str">
        <f t="shared" si="113"/>
        <v/>
      </c>
      <c r="AM214" s="30" t="str">
        <f t="shared" si="114"/>
        <v/>
      </c>
      <c r="AN214" s="30" t="str">
        <f t="shared" si="115"/>
        <v/>
      </c>
      <c r="AO214" s="30" t="str">
        <f t="shared" si="116"/>
        <v/>
      </c>
      <c r="AP214" s="30" t="str">
        <f t="shared" si="117"/>
        <v/>
      </c>
      <c r="AQ214" s="30" t="str">
        <f t="shared" si="118"/>
        <v/>
      </c>
      <c r="AR214" s="30" t="str">
        <f t="shared" si="119"/>
        <v/>
      </c>
      <c r="AS214" s="30" t="str">
        <f t="shared" si="120"/>
        <v/>
      </c>
      <c r="AT214" t="str">
        <f t="shared" si="121"/>
        <v/>
      </c>
      <c r="AU214" t="str">
        <f t="shared" si="122"/>
        <v/>
      </c>
    </row>
    <row r="215" spans="1:47" ht="22" customHeight="1" x14ac:dyDescent="0.2">
      <c r="A215" s="31"/>
      <c r="B215" s="31"/>
      <c r="C215" s="32" t="str">
        <f t="shared" si="139"/>
        <v/>
      </c>
      <c r="D215" s="33"/>
      <c r="E215" s="34"/>
      <c r="F215" s="34"/>
      <c r="G215" s="34"/>
      <c r="H215" s="35"/>
      <c r="I215" s="35" t="str">
        <f t="shared" si="124"/>
        <v/>
      </c>
      <c r="J215" s="35" t="str">
        <f t="shared" si="137"/>
        <v/>
      </c>
      <c r="K215" s="34"/>
      <c r="L215" s="35"/>
      <c r="M215" s="61" t="str">
        <f t="shared" si="138"/>
        <v/>
      </c>
      <c r="N215" s="35"/>
      <c r="O215" s="34"/>
      <c r="P215" s="35"/>
      <c r="Q215" s="35"/>
      <c r="R215" s="36"/>
      <c r="S215" s="30" t="str">
        <f t="shared" si="125"/>
        <v/>
      </c>
      <c r="T215" s="6" t="str">
        <f>IF($D215="Villa Elena",COUNTIF($D$3:$D215,"Villa Elena"),"")</f>
        <v/>
      </c>
      <c r="U215" s="30" t="str">
        <f t="shared" si="126"/>
        <v/>
      </c>
      <c r="V215" s="30" t="str">
        <f t="shared" si="127"/>
        <v/>
      </c>
      <c r="W215" s="30" t="str">
        <f t="shared" si="128"/>
        <v/>
      </c>
      <c r="X215" s="30" t="str">
        <f t="shared" si="129"/>
        <v/>
      </c>
      <c r="Y215" s="30" t="str">
        <f t="shared" si="130"/>
        <v/>
      </c>
      <c r="Z215" s="30" t="str">
        <f t="shared" si="131"/>
        <v/>
      </c>
      <c r="AA215" s="30" t="str">
        <f t="shared" si="132"/>
        <v/>
      </c>
      <c r="AB215" s="30" t="str">
        <f t="shared" si="133"/>
        <v/>
      </c>
      <c r="AC215" s="30" t="str">
        <f t="shared" si="134"/>
        <v/>
      </c>
      <c r="AD215" s="30" t="str">
        <f t="shared" si="135"/>
        <v/>
      </c>
      <c r="AE215" s="30" t="str">
        <f t="shared" si="136"/>
        <v/>
      </c>
      <c r="AF215" s="30" t="str">
        <f t="shared" si="107"/>
        <v/>
      </c>
      <c r="AG215" s="30" t="str">
        <f t="shared" si="108"/>
        <v/>
      </c>
      <c r="AH215" s="30" t="str">
        <f t="shared" si="109"/>
        <v/>
      </c>
      <c r="AI215" s="30" t="str">
        <f t="shared" si="110"/>
        <v/>
      </c>
      <c r="AJ215" s="30" t="str">
        <f t="shared" si="111"/>
        <v/>
      </c>
      <c r="AK215" s="30" t="str">
        <f t="shared" si="112"/>
        <v/>
      </c>
      <c r="AL215" s="30" t="str">
        <f t="shared" si="113"/>
        <v/>
      </c>
      <c r="AM215" s="30" t="str">
        <f t="shared" si="114"/>
        <v/>
      </c>
      <c r="AN215" s="30" t="str">
        <f t="shared" si="115"/>
        <v/>
      </c>
      <c r="AO215" s="30" t="str">
        <f t="shared" si="116"/>
        <v/>
      </c>
      <c r="AP215" s="30" t="str">
        <f t="shared" si="117"/>
        <v/>
      </c>
      <c r="AQ215" s="30" t="str">
        <f t="shared" si="118"/>
        <v/>
      </c>
      <c r="AR215" s="30" t="str">
        <f t="shared" si="119"/>
        <v/>
      </c>
      <c r="AS215" s="30" t="str">
        <f t="shared" si="120"/>
        <v/>
      </c>
      <c r="AT215" t="str">
        <f t="shared" si="121"/>
        <v/>
      </c>
      <c r="AU215" t="str">
        <f t="shared" si="122"/>
        <v/>
      </c>
    </row>
    <row r="216" spans="1:47" x14ac:dyDescent="0.25">
      <c r="J216" s="37" t="str">
        <f t="shared" ref="J216:J233" si="140">IF(AND(ISNUMBER(SEARCH("booking",G216)),OR(D216="Via San Rocco",D216="Via Cavour")),H216*0.165,IF(ISNUMBER(SEARCH("airbnb",G216)),H216*0.155,IF(ISNUMBER(SEARCH("booking",G216)),H216*0.15,"")))</f>
        <v/>
      </c>
      <c r="S216" s="30" t="str">
        <f t="shared" ref="S216:S234" si="141">IF(AND($D216="Sotto la Quercia",$G216&lt;&gt;""),ROW(),"")</f>
        <v/>
      </c>
      <c r="T216" s="6" t="str">
        <f>IF($D216="Villa Elena",COUNTIF($D$3:$D216,"Villa Elena"),"")</f>
        <v/>
      </c>
      <c r="U216" s="30" t="str">
        <f t="shared" ref="U216:U234" si="142">IF(AND($D216="Casa Letizia",$G216&lt;&gt;""),ROW(),"")</f>
        <v/>
      </c>
      <c r="V216" s="30" t="str">
        <f t="shared" ref="V216:V234" si="143">IF(AND($D216="Casa nel Borgo",$G216&lt;&gt;""),ROW(),"")</f>
        <v/>
      </c>
      <c r="W216" s="30" t="str">
        <f t="shared" ref="W216:W234" si="144">IF(AND($D216="Via San Rocco",$G216&lt;&gt;""),ROW(),"")</f>
        <v/>
      </c>
      <c r="X216" s="30" t="str">
        <f t="shared" ref="X216:X234" si="145">IF(AND($D216="Via Cavour",$G216&lt;&gt;""),ROW(),"")</f>
        <v/>
      </c>
      <c r="Y216" s="30" t="str">
        <f t="shared" ref="Y216:Y234" si="146">IF(AND($D216="Miramare",$G216&lt;&gt;""),ROW(),"")</f>
        <v/>
      </c>
      <c r="Z216" s="30" t="str">
        <f t="shared" ref="Z216:Z234" si="147">IF(AND($D216="Agantonio",$G216&lt;&gt;""),ROW(),"")</f>
        <v/>
      </c>
      <c r="AA216" s="30" t="str">
        <f t="shared" ref="AA216:AA234" si="148">IF(AND($D216="Casa Bella Gialla",$G216&lt;&gt;""),ROW(),"")</f>
        <v/>
      </c>
      <c r="AB216" s="30" t="str">
        <f t="shared" ref="AB216:AB234" si="149">IF(AND($D216="Casa Verde Oliva",$G216&lt;&gt;""),ROW(),"")</f>
        <v/>
      </c>
      <c r="AC216" s="30" t="str">
        <f t="shared" ref="AC216:AC234" si="150">IF(AND($D216="Casa Nicola",$G216&lt;&gt;""),ROW(),"")</f>
        <v/>
      </c>
      <c r="AD216" s="30" t="str">
        <f t="shared" ref="AD216:AD234" si="151">IF(AND($D216="White Cottage",$G216&lt;&gt;""),ROW(),"")</f>
        <v/>
      </c>
      <c r="AE216" s="30" t="str">
        <f t="shared" ref="AE216:AE234" si="152">IF(AND($D216="Villa Nella",$G216&lt;&gt;""),ROW(),"")</f>
        <v/>
      </c>
      <c r="AF216" s="30" t="str">
        <f t="shared" si="107"/>
        <v/>
      </c>
      <c r="AG216" s="30" t="str">
        <f t="shared" si="108"/>
        <v/>
      </c>
      <c r="AH216" s="30" t="str">
        <f t="shared" si="109"/>
        <v/>
      </c>
      <c r="AI216" s="30" t="str">
        <f t="shared" si="110"/>
        <v/>
      </c>
      <c r="AJ216" s="30" t="str">
        <f t="shared" si="111"/>
        <v/>
      </c>
      <c r="AK216" s="30" t="str">
        <f t="shared" si="112"/>
        <v/>
      </c>
      <c r="AL216" s="30" t="str">
        <f t="shared" si="113"/>
        <v/>
      </c>
      <c r="AM216" s="30" t="str">
        <f t="shared" si="114"/>
        <v/>
      </c>
      <c r="AN216" s="30" t="str">
        <f t="shared" si="115"/>
        <v/>
      </c>
      <c r="AO216" s="30" t="str">
        <f t="shared" si="116"/>
        <v/>
      </c>
      <c r="AP216" s="30" t="str">
        <f t="shared" si="117"/>
        <v/>
      </c>
      <c r="AQ216" s="30" t="str">
        <f t="shared" si="118"/>
        <v/>
      </c>
      <c r="AR216" s="30" t="str">
        <f t="shared" si="119"/>
        <v/>
      </c>
      <c r="AS216" s="30" t="str">
        <f t="shared" si="120"/>
        <v/>
      </c>
      <c r="AT216" t="str">
        <f t="shared" si="121"/>
        <v/>
      </c>
      <c r="AU216" t="str">
        <f t="shared" si="122"/>
        <v/>
      </c>
    </row>
    <row r="217" spans="1:47" x14ac:dyDescent="0.25">
      <c r="J217" s="37" t="str">
        <f t="shared" si="140"/>
        <v/>
      </c>
      <c r="S217" s="30" t="str">
        <f t="shared" si="141"/>
        <v/>
      </c>
      <c r="T217" s="6" t="str">
        <f>IF($D217="Villa Elena",COUNTIF($D$3:$D217,"Villa Elena"),"")</f>
        <v/>
      </c>
      <c r="U217" s="30" t="str">
        <f t="shared" si="142"/>
        <v/>
      </c>
      <c r="V217" s="30" t="str">
        <f t="shared" si="143"/>
        <v/>
      </c>
      <c r="W217" s="30" t="str">
        <f t="shared" si="144"/>
        <v/>
      </c>
      <c r="X217" s="30" t="str">
        <f t="shared" si="145"/>
        <v/>
      </c>
      <c r="Y217" s="30" t="str">
        <f t="shared" si="146"/>
        <v/>
      </c>
      <c r="Z217" s="30" t="str">
        <f t="shared" si="147"/>
        <v/>
      </c>
      <c r="AA217" s="30" t="str">
        <f t="shared" si="148"/>
        <v/>
      </c>
      <c r="AB217" s="30" t="str">
        <f t="shared" si="149"/>
        <v/>
      </c>
      <c r="AC217" s="30" t="str">
        <f t="shared" si="150"/>
        <v/>
      </c>
      <c r="AD217" s="30" t="str">
        <f t="shared" si="151"/>
        <v/>
      </c>
      <c r="AE217" s="30" t="str">
        <f t="shared" si="152"/>
        <v/>
      </c>
      <c r="AF217" s="30" t="str">
        <f t="shared" si="107"/>
        <v/>
      </c>
      <c r="AG217" s="30" t="str">
        <f t="shared" si="108"/>
        <v/>
      </c>
      <c r="AH217" s="30" t="str">
        <f t="shared" si="109"/>
        <v/>
      </c>
      <c r="AI217" s="30" t="str">
        <f t="shared" si="110"/>
        <v/>
      </c>
      <c r="AJ217" s="30" t="str">
        <f t="shared" si="111"/>
        <v/>
      </c>
      <c r="AK217" s="30" t="str">
        <f t="shared" si="112"/>
        <v/>
      </c>
      <c r="AL217" s="30" t="str">
        <f t="shared" si="113"/>
        <v/>
      </c>
      <c r="AM217" s="30" t="str">
        <f t="shared" si="114"/>
        <v/>
      </c>
      <c r="AN217" s="30" t="str">
        <f t="shared" si="115"/>
        <v/>
      </c>
      <c r="AO217" s="30" t="str">
        <f t="shared" si="116"/>
        <v/>
      </c>
      <c r="AP217" s="30" t="str">
        <f t="shared" si="117"/>
        <v/>
      </c>
      <c r="AQ217" s="30" t="str">
        <f t="shared" si="118"/>
        <v/>
      </c>
      <c r="AR217" s="30" t="str">
        <f t="shared" si="119"/>
        <v/>
      </c>
      <c r="AS217" s="30" t="str">
        <f t="shared" si="120"/>
        <v/>
      </c>
      <c r="AT217" t="str">
        <f t="shared" si="121"/>
        <v/>
      </c>
      <c r="AU217" t="str">
        <f t="shared" si="122"/>
        <v/>
      </c>
    </row>
    <row r="218" spans="1:47" x14ac:dyDescent="0.25">
      <c r="J218" s="37" t="str">
        <f t="shared" si="140"/>
        <v/>
      </c>
      <c r="S218" s="30" t="str">
        <f t="shared" si="141"/>
        <v/>
      </c>
      <c r="T218" s="6" t="str">
        <f>IF($D218="Villa Elena",COUNTIF($D$3:$D218,"Villa Elena"),"")</f>
        <v/>
      </c>
      <c r="U218" s="30" t="str">
        <f t="shared" si="142"/>
        <v/>
      </c>
      <c r="V218" s="30" t="str">
        <f t="shared" si="143"/>
        <v/>
      </c>
      <c r="W218" s="30" t="str">
        <f t="shared" si="144"/>
        <v/>
      </c>
      <c r="X218" s="30" t="str">
        <f t="shared" si="145"/>
        <v/>
      </c>
      <c r="Y218" s="30" t="str">
        <f t="shared" si="146"/>
        <v/>
      </c>
      <c r="Z218" s="30" t="str">
        <f t="shared" si="147"/>
        <v/>
      </c>
      <c r="AA218" s="30" t="str">
        <f t="shared" si="148"/>
        <v/>
      </c>
      <c r="AB218" s="30" t="str">
        <f t="shared" si="149"/>
        <v/>
      </c>
      <c r="AC218" s="30" t="str">
        <f t="shared" si="150"/>
        <v/>
      </c>
      <c r="AD218" s="30" t="str">
        <f t="shared" si="151"/>
        <v/>
      </c>
      <c r="AE218" s="30" t="str">
        <f t="shared" si="152"/>
        <v/>
      </c>
      <c r="AF218" s="30" t="str">
        <f t="shared" si="107"/>
        <v/>
      </c>
      <c r="AG218" s="30" t="str">
        <f t="shared" si="108"/>
        <v/>
      </c>
      <c r="AH218" s="30" t="str">
        <f t="shared" si="109"/>
        <v/>
      </c>
      <c r="AI218" s="30" t="str">
        <f t="shared" si="110"/>
        <v/>
      </c>
      <c r="AJ218" s="30" t="str">
        <f t="shared" si="111"/>
        <v/>
      </c>
      <c r="AK218" s="30" t="str">
        <f t="shared" si="112"/>
        <v/>
      </c>
      <c r="AL218" s="30" t="str">
        <f t="shared" si="113"/>
        <v/>
      </c>
      <c r="AM218" s="30" t="str">
        <f t="shared" si="114"/>
        <v/>
      </c>
      <c r="AN218" s="30" t="str">
        <f t="shared" si="115"/>
        <v/>
      </c>
      <c r="AO218" s="30" t="str">
        <f t="shared" si="116"/>
        <v/>
      </c>
      <c r="AP218" s="30" t="str">
        <f t="shared" si="117"/>
        <v/>
      </c>
      <c r="AQ218" s="30" t="str">
        <f t="shared" si="118"/>
        <v/>
      </c>
      <c r="AR218" s="30" t="str">
        <f t="shared" si="119"/>
        <v/>
      </c>
      <c r="AS218" s="30" t="str">
        <f t="shared" si="120"/>
        <v/>
      </c>
      <c r="AT218" t="str">
        <f t="shared" si="121"/>
        <v/>
      </c>
      <c r="AU218" t="str">
        <f t="shared" si="122"/>
        <v/>
      </c>
    </row>
    <row r="219" spans="1:47" x14ac:dyDescent="0.25">
      <c r="J219" s="37" t="str">
        <f t="shared" si="140"/>
        <v/>
      </c>
      <c r="S219" s="30" t="str">
        <f t="shared" si="141"/>
        <v/>
      </c>
      <c r="T219" s="6" t="str">
        <f>IF($D219="Villa Elena",COUNTIF($D$3:$D219,"Villa Elena"),"")</f>
        <v/>
      </c>
      <c r="U219" s="30" t="str">
        <f t="shared" si="142"/>
        <v/>
      </c>
      <c r="V219" s="30" t="str">
        <f t="shared" si="143"/>
        <v/>
      </c>
      <c r="W219" s="30" t="str">
        <f t="shared" si="144"/>
        <v/>
      </c>
      <c r="X219" s="30" t="str">
        <f t="shared" si="145"/>
        <v/>
      </c>
      <c r="Y219" s="30" t="str">
        <f t="shared" si="146"/>
        <v/>
      </c>
      <c r="Z219" s="30" t="str">
        <f t="shared" si="147"/>
        <v/>
      </c>
      <c r="AA219" s="30" t="str">
        <f t="shared" si="148"/>
        <v/>
      </c>
      <c r="AB219" s="30" t="str">
        <f t="shared" si="149"/>
        <v/>
      </c>
      <c r="AC219" s="30" t="str">
        <f t="shared" si="150"/>
        <v/>
      </c>
      <c r="AD219" s="30" t="str">
        <f t="shared" si="151"/>
        <v/>
      </c>
      <c r="AE219" s="30" t="str">
        <f t="shared" si="152"/>
        <v/>
      </c>
      <c r="AF219" s="30" t="str">
        <f t="shared" si="107"/>
        <v/>
      </c>
      <c r="AG219" s="30" t="str">
        <f t="shared" si="108"/>
        <v/>
      </c>
      <c r="AH219" s="30" t="str">
        <f t="shared" si="109"/>
        <v/>
      </c>
      <c r="AI219" s="30" t="str">
        <f t="shared" si="110"/>
        <v/>
      </c>
      <c r="AJ219" s="30" t="str">
        <f t="shared" si="111"/>
        <v/>
      </c>
      <c r="AK219" s="30" t="str">
        <f t="shared" si="112"/>
        <v/>
      </c>
      <c r="AL219" s="30" t="str">
        <f t="shared" si="113"/>
        <v/>
      </c>
      <c r="AM219" s="30" t="str">
        <f t="shared" si="114"/>
        <v/>
      </c>
      <c r="AN219" s="30" t="str">
        <f t="shared" si="115"/>
        <v/>
      </c>
      <c r="AO219" s="30" t="str">
        <f t="shared" si="116"/>
        <v/>
      </c>
      <c r="AP219" s="30" t="str">
        <f t="shared" si="117"/>
        <v/>
      </c>
      <c r="AQ219" s="30" t="str">
        <f t="shared" si="118"/>
        <v/>
      </c>
      <c r="AR219" s="30" t="str">
        <f t="shared" si="119"/>
        <v/>
      </c>
      <c r="AS219" s="30" t="str">
        <f t="shared" si="120"/>
        <v/>
      </c>
      <c r="AT219" t="str">
        <f t="shared" si="121"/>
        <v/>
      </c>
      <c r="AU219" t="str">
        <f t="shared" si="122"/>
        <v/>
      </c>
    </row>
    <row r="220" spans="1:47" x14ac:dyDescent="0.25">
      <c r="J220" s="37" t="str">
        <f t="shared" si="140"/>
        <v/>
      </c>
      <c r="S220" s="30" t="str">
        <f t="shared" si="141"/>
        <v/>
      </c>
      <c r="T220" s="6" t="str">
        <f>IF($D220="Villa Elena",COUNTIF($D$3:$D220,"Villa Elena"),"")</f>
        <v/>
      </c>
      <c r="U220" s="30" t="str">
        <f t="shared" si="142"/>
        <v/>
      </c>
      <c r="V220" s="30" t="str">
        <f t="shared" si="143"/>
        <v/>
      </c>
      <c r="W220" s="30" t="str">
        <f t="shared" si="144"/>
        <v/>
      </c>
      <c r="X220" s="30" t="str">
        <f t="shared" si="145"/>
        <v/>
      </c>
      <c r="Y220" s="30" t="str">
        <f t="shared" si="146"/>
        <v/>
      </c>
      <c r="Z220" s="30" t="str">
        <f t="shared" si="147"/>
        <v/>
      </c>
      <c r="AA220" s="30" t="str">
        <f t="shared" si="148"/>
        <v/>
      </c>
      <c r="AB220" s="30" t="str">
        <f t="shared" si="149"/>
        <v/>
      </c>
      <c r="AC220" s="30" t="str">
        <f t="shared" si="150"/>
        <v/>
      </c>
      <c r="AD220" s="30" t="str">
        <f t="shared" si="151"/>
        <v/>
      </c>
      <c r="AE220" s="30" t="str">
        <f t="shared" si="152"/>
        <v/>
      </c>
      <c r="AF220" s="30" t="str">
        <f t="shared" si="107"/>
        <v/>
      </c>
      <c r="AG220" s="30" t="str">
        <f t="shared" si="108"/>
        <v/>
      </c>
      <c r="AH220" s="30" t="str">
        <f t="shared" si="109"/>
        <v/>
      </c>
      <c r="AI220" s="30" t="str">
        <f t="shared" si="110"/>
        <v/>
      </c>
      <c r="AJ220" s="30" t="str">
        <f t="shared" si="111"/>
        <v/>
      </c>
      <c r="AK220" s="30" t="str">
        <f t="shared" si="112"/>
        <v/>
      </c>
      <c r="AL220" s="30" t="str">
        <f t="shared" si="113"/>
        <v/>
      </c>
      <c r="AM220" s="30" t="str">
        <f t="shared" si="114"/>
        <v/>
      </c>
      <c r="AN220" s="30" t="str">
        <f t="shared" si="115"/>
        <v/>
      </c>
      <c r="AO220" s="30" t="str">
        <f t="shared" si="116"/>
        <v/>
      </c>
      <c r="AP220" s="30" t="str">
        <f t="shared" si="117"/>
        <v/>
      </c>
      <c r="AQ220" s="30" t="str">
        <f t="shared" si="118"/>
        <v/>
      </c>
      <c r="AR220" s="30" t="str">
        <f t="shared" si="119"/>
        <v/>
      </c>
      <c r="AS220" s="30" t="str">
        <f t="shared" si="120"/>
        <v/>
      </c>
      <c r="AT220" t="str">
        <f t="shared" si="121"/>
        <v/>
      </c>
      <c r="AU220" t="str">
        <f t="shared" si="122"/>
        <v/>
      </c>
    </row>
    <row r="221" spans="1:47" x14ac:dyDescent="0.25">
      <c r="J221" s="37" t="str">
        <f t="shared" si="140"/>
        <v/>
      </c>
      <c r="S221" s="30" t="str">
        <f t="shared" si="141"/>
        <v/>
      </c>
      <c r="T221" s="6" t="str">
        <f>IF($D221="Villa Elena",COUNTIF($D$3:$D221,"Villa Elena"),"")</f>
        <v/>
      </c>
      <c r="U221" s="30" t="str">
        <f t="shared" si="142"/>
        <v/>
      </c>
      <c r="V221" s="30" t="str">
        <f t="shared" si="143"/>
        <v/>
      </c>
      <c r="W221" s="30" t="str">
        <f t="shared" si="144"/>
        <v/>
      </c>
      <c r="X221" s="30" t="str">
        <f t="shared" si="145"/>
        <v/>
      </c>
      <c r="Y221" s="30" t="str">
        <f t="shared" si="146"/>
        <v/>
      </c>
      <c r="Z221" s="30" t="str">
        <f t="shared" si="147"/>
        <v/>
      </c>
      <c r="AA221" s="30" t="str">
        <f t="shared" si="148"/>
        <v/>
      </c>
      <c r="AB221" s="30" t="str">
        <f t="shared" si="149"/>
        <v/>
      </c>
      <c r="AC221" s="30" t="str">
        <f t="shared" si="150"/>
        <v/>
      </c>
      <c r="AD221" s="30" t="str">
        <f t="shared" si="151"/>
        <v/>
      </c>
      <c r="AE221" s="30" t="str">
        <f t="shared" si="152"/>
        <v/>
      </c>
      <c r="AF221" s="30" t="str">
        <f t="shared" si="107"/>
        <v/>
      </c>
      <c r="AG221" s="30" t="str">
        <f t="shared" si="108"/>
        <v/>
      </c>
      <c r="AH221" s="30" t="str">
        <f t="shared" si="109"/>
        <v/>
      </c>
      <c r="AI221" s="30" t="str">
        <f t="shared" si="110"/>
        <v/>
      </c>
      <c r="AJ221" s="30" t="str">
        <f t="shared" si="111"/>
        <v/>
      </c>
      <c r="AK221" s="30" t="str">
        <f t="shared" si="112"/>
        <v/>
      </c>
      <c r="AL221" s="30" t="str">
        <f t="shared" si="113"/>
        <v/>
      </c>
      <c r="AM221" s="30" t="str">
        <f t="shared" si="114"/>
        <v/>
      </c>
      <c r="AN221" s="30" t="str">
        <f t="shared" si="115"/>
        <v/>
      </c>
      <c r="AO221" s="30" t="str">
        <f t="shared" si="116"/>
        <v/>
      </c>
      <c r="AP221" s="30" t="str">
        <f t="shared" si="117"/>
        <v/>
      </c>
      <c r="AQ221" s="30" t="str">
        <f t="shared" si="118"/>
        <v/>
      </c>
      <c r="AR221" s="30" t="str">
        <f t="shared" si="119"/>
        <v/>
      </c>
      <c r="AS221" s="30" t="str">
        <f t="shared" si="120"/>
        <v/>
      </c>
      <c r="AT221" t="str">
        <f t="shared" si="121"/>
        <v/>
      </c>
      <c r="AU221" t="str">
        <f t="shared" si="122"/>
        <v/>
      </c>
    </row>
    <row r="222" spans="1:47" x14ac:dyDescent="0.25">
      <c r="J222" s="37" t="str">
        <f t="shared" si="140"/>
        <v/>
      </c>
      <c r="S222" s="30" t="str">
        <f t="shared" si="141"/>
        <v/>
      </c>
      <c r="T222" s="6" t="str">
        <f>IF($D222="Villa Elena",COUNTIF($D$3:$D222,"Villa Elena"),"")</f>
        <v/>
      </c>
      <c r="U222" s="30" t="str">
        <f t="shared" si="142"/>
        <v/>
      </c>
      <c r="V222" s="30" t="str">
        <f t="shared" si="143"/>
        <v/>
      </c>
      <c r="W222" s="30" t="str">
        <f t="shared" si="144"/>
        <v/>
      </c>
      <c r="X222" s="30" t="str">
        <f t="shared" si="145"/>
        <v/>
      </c>
      <c r="Y222" s="30" t="str">
        <f t="shared" si="146"/>
        <v/>
      </c>
      <c r="Z222" s="30" t="str">
        <f t="shared" si="147"/>
        <v/>
      </c>
      <c r="AA222" s="30" t="str">
        <f t="shared" si="148"/>
        <v/>
      </c>
      <c r="AB222" s="30" t="str">
        <f t="shared" si="149"/>
        <v/>
      </c>
      <c r="AC222" s="30" t="str">
        <f t="shared" si="150"/>
        <v/>
      </c>
      <c r="AD222" s="30" t="str">
        <f t="shared" si="151"/>
        <v/>
      </c>
      <c r="AE222" s="30" t="str">
        <f t="shared" si="152"/>
        <v/>
      </c>
      <c r="AF222" s="30" t="str">
        <f t="shared" si="107"/>
        <v/>
      </c>
      <c r="AG222" s="30" t="str">
        <f t="shared" si="108"/>
        <v/>
      </c>
      <c r="AH222" s="30" t="str">
        <f t="shared" si="109"/>
        <v/>
      </c>
      <c r="AI222" s="30" t="str">
        <f t="shared" si="110"/>
        <v/>
      </c>
      <c r="AJ222" s="30" t="str">
        <f t="shared" si="111"/>
        <v/>
      </c>
      <c r="AK222" s="30" t="str">
        <f t="shared" si="112"/>
        <v/>
      </c>
      <c r="AL222" s="30" t="str">
        <f t="shared" si="113"/>
        <v/>
      </c>
      <c r="AM222" s="30" t="str">
        <f t="shared" si="114"/>
        <v/>
      </c>
      <c r="AN222" s="30" t="str">
        <f t="shared" si="115"/>
        <v/>
      </c>
      <c r="AO222" s="30" t="str">
        <f t="shared" si="116"/>
        <v/>
      </c>
      <c r="AP222" s="30" t="str">
        <f t="shared" si="117"/>
        <v/>
      </c>
      <c r="AQ222" s="30" t="str">
        <f t="shared" si="118"/>
        <v/>
      </c>
      <c r="AR222" s="30" t="str">
        <f t="shared" si="119"/>
        <v/>
      </c>
      <c r="AS222" s="30" t="str">
        <f t="shared" si="120"/>
        <v/>
      </c>
      <c r="AT222" t="str">
        <f t="shared" si="121"/>
        <v/>
      </c>
      <c r="AU222" t="str">
        <f t="shared" si="122"/>
        <v/>
      </c>
    </row>
    <row r="223" spans="1:47" x14ac:dyDescent="0.25">
      <c r="J223" s="37" t="str">
        <f t="shared" si="140"/>
        <v/>
      </c>
      <c r="S223" s="30" t="str">
        <f t="shared" si="141"/>
        <v/>
      </c>
      <c r="T223" s="6" t="str">
        <f>IF($D223="Villa Elena",COUNTIF($D$3:$D223,"Villa Elena"),"")</f>
        <v/>
      </c>
      <c r="U223" s="30" t="str">
        <f t="shared" si="142"/>
        <v/>
      </c>
      <c r="V223" s="30" t="str">
        <f t="shared" si="143"/>
        <v/>
      </c>
      <c r="W223" s="30" t="str">
        <f t="shared" si="144"/>
        <v/>
      </c>
      <c r="X223" s="30" t="str">
        <f t="shared" si="145"/>
        <v/>
      </c>
      <c r="Y223" s="30" t="str">
        <f t="shared" si="146"/>
        <v/>
      </c>
      <c r="Z223" s="30" t="str">
        <f t="shared" si="147"/>
        <v/>
      </c>
      <c r="AA223" s="30" t="str">
        <f t="shared" si="148"/>
        <v/>
      </c>
      <c r="AB223" s="30" t="str">
        <f t="shared" si="149"/>
        <v/>
      </c>
      <c r="AC223" s="30" t="str">
        <f t="shared" si="150"/>
        <v/>
      </c>
      <c r="AD223" s="30" t="str">
        <f t="shared" si="151"/>
        <v/>
      </c>
      <c r="AE223" s="30" t="str">
        <f t="shared" si="152"/>
        <v/>
      </c>
      <c r="AF223" s="30" t="str">
        <f t="shared" si="107"/>
        <v/>
      </c>
      <c r="AG223" s="30" t="str">
        <f t="shared" si="108"/>
        <v/>
      </c>
      <c r="AH223" s="30" t="str">
        <f t="shared" si="109"/>
        <v/>
      </c>
      <c r="AI223" s="30" t="str">
        <f t="shared" si="110"/>
        <v/>
      </c>
      <c r="AJ223" s="30" t="str">
        <f t="shared" si="111"/>
        <v/>
      </c>
      <c r="AK223" s="30" t="str">
        <f t="shared" si="112"/>
        <v/>
      </c>
      <c r="AL223" s="30" t="str">
        <f t="shared" si="113"/>
        <v/>
      </c>
      <c r="AM223" s="30" t="str">
        <f t="shared" si="114"/>
        <v/>
      </c>
      <c r="AN223" s="30" t="str">
        <f t="shared" si="115"/>
        <v/>
      </c>
      <c r="AO223" s="30" t="str">
        <f t="shared" si="116"/>
        <v/>
      </c>
      <c r="AP223" s="30" t="str">
        <f t="shared" si="117"/>
        <v/>
      </c>
      <c r="AQ223" s="30" t="str">
        <f t="shared" si="118"/>
        <v/>
      </c>
      <c r="AR223" s="30" t="str">
        <f t="shared" si="119"/>
        <v/>
      </c>
      <c r="AS223" s="30" t="str">
        <f t="shared" si="120"/>
        <v/>
      </c>
      <c r="AT223" t="str">
        <f t="shared" si="121"/>
        <v/>
      </c>
      <c r="AU223" t="str">
        <f t="shared" si="122"/>
        <v/>
      </c>
    </row>
    <row r="224" spans="1:47" x14ac:dyDescent="0.25">
      <c r="J224" s="37" t="str">
        <f t="shared" si="140"/>
        <v/>
      </c>
      <c r="S224" s="30" t="str">
        <f t="shared" si="141"/>
        <v/>
      </c>
      <c r="T224" s="6" t="str">
        <f>IF($D224="Villa Elena",COUNTIF($D$3:$D224,"Villa Elena"),"")</f>
        <v/>
      </c>
      <c r="U224" s="30" t="str">
        <f t="shared" si="142"/>
        <v/>
      </c>
      <c r="V224" s="30" t="str">
        <f t="shared" si="143"/>
        <v/>
      </c>
      <c r="W224" s="30" t="str">
        <f t="shared" si="144"/>
        <v/>
      </c>
      <c r="X224" s="30" t="str">
        <f t="shared" si="145"/>
        <v/>
      </c>
      <c r="Y224" s="30" t="str">
        <f t="shared" si="146"/>
        <v/>
      </c>
      <c r="Z224" s="30" t="str">
        <f t="shared" si="147"/>
        <v/>
      </c>
      <c r="AA224" s="30" t="str">
        <f t="shared" si="148"/>
        <v/>
      </c>
      <c r="AB224" s="30" t="str">
        <f t="shared" si="149"/>
        <v/>
      </c>
      <c r="AC224" s="30" t="str">
        <f t="shared" si="150"/>
        <v/>
      </c>
      <c r="AD224" s="30" t="str">
        <f t="shared" si="151"/>
        <v/>
      </c>
      <c r="AE224" s="30" t="str">
        <f t="shared" si="152"/>
        <v/>
      </c>
      <c r="AF224" s="30" t="str">
        <f t="shared" si="107"/>
        <v/>
      </c>
      <c r="AG224" s="30" t="str">
        <f t="shared" si="108"/>
        <v/>
      </c>
      <c r="AH224" s="30" t="str">
        <f t="shared" si="109"/>
        <v/>
      </c>
      <c r="AI224" s="30" t="str">
        <f t="shared" si="110"/>
        <v/>
      </c>
      <c r="AJ224" s="30" t="str">
        <f t="shared" si="111"/>
        <v/>
      </c>
      <c r="AK224" s="30" t="str">
        <f t="shared" si="112"/>
        <v/>
      </c>
      <c r="AL224" s="30" t="str">
        <f t="shared" si="113"/>
        <v/>
      </c>
      <c r="AM224" s="30" t="str">
        <f t="shared" si="114"/>
        <v/>
      </c>
      <c r="AN224" s="30" t="str">
        <f t="shared" si="115"/>
        <v/>
      </c>
      <c r="AO224" s="30" t="str">
        <f t="shared" si="116"/>
        <v/>
      </c>
      <c r="AP224" s="30" t="str">
        <f t="shared" si="117"/>
        <v/>
      </c>
      <c r="AQ224" s="30" t="str">
        <f t="shared" si="118"/>
        <v/>
      </c>
      <c r="AR224" s="30" t="str">
        <f t="shared" si="119"/>
        <v/>
      </c>
      <c r="AS224" s="30" t="str">
        <f t="shared" si="120"/>
        <v/>
      </c>
      <c r="AT224" t="str">
        <f t="shared" si="121"/>
        <v/>
      </c>
      <c r="AU224" t="str">
        <f t="shared" si="122"/>
        <v/>
      </c>
    </row>
    <row r="225" spans="10:47" x14ac:dyDescent="0.25">
      <c r="J225" s="37" t="str">
        <f t="shared" si="140"/>
        <v/>
      </c>
      <c r="S225" s="30" t="str">
        <f t="shared" si="141"/>
        <v/>
      </c>
      <c r="T225" s="6" t="str">
        <f>IF($D225="Villa Elena",COUNTIF($D$3:$D225,"Villa Elena"),"")</f>
        <v/>
      </c>
      <c r="U225" s="30" t="str">
        <f t="shared" si="142"/>
        <v/>
      </c>
      <c r="V225" s="30" t="str">
        <f t="shared" si="143"/>
        <v/>
      </c>
      <c r="W225" s="30" t="str">
        <f t="shared" si="144"/>
        <v/>
      </c>
      <c r="X225" s="30" t="str">
        <f t="shared" si="145"/>
        <v/>
      </c>
      <c r="Y225" s="30" t="str">
        <f t="shared" si="146"/>
        <v/>
      </c>
      <c r="Z225" s="30" t="str">
        <f t="shared" si="147"/>
        <v/>
      </c>
      <c r="AA225" s="30" t="str">
        <f t="shared" si="148"/>
        <v/>
      </c>
      <c r="AB225" s="30" t="str">
        <f t="shared" si="149"/>
        <v/>
      </c>
      <c r="AC225" s="30" t="str">
        <f t="shared" si="150"/>
        <v/>
      </c>
      <c r="AD225" s="30" t="str">
        <f t="shared" si="151"/>
        <v/>
      </c>
      <c r="AE225" s="30" t="str">
        <f t="shared" si="152"/>
        <v/>
      </c>
      <c r="AF225" s="30" t="str">
        <f t="shared" si="107"/>
        <v/>
      </c>
      <c r="AG225" s="30" t="str">
        <f t="shared" si="108"/>
        <v/>
      </c>
      <c r="AH225" s="30" t="str">
        <f t="shared" si="109"/>
        <v/>
      </c>
      <c r="AI225" s="30" t="str">
        <f t="shared" si="110"/>
        <v/>
      </c>
      <c r="AJ225" s="30" t="str">
        <f t="shared" si="111"/>
        <v/>
      </c>
      <c r="AK225" s="30" t="str">
        <f t="shared" si="112"/>
        <v/>
      </c>
      <c r="AL225" s="30" t="str">
        <f t="shared" si="113"/>
        <v/>
      </c>
      <c r="AM225" s="30" t="str">
        <f t="shared" si="114"/>
        <v/>
      </c>
      <c r="AN225" s="30" t="str">
        <f t="shared" si="115"/>
        <v/>
      </c>
      <c r="AO225" s="30" t="str">
        <f t="shared" si="116"/>
        <v/>
      </c>
      <c r="AP225" s="30" t="str">
        <f t="shared" si="117"/>
        <v/>
      </c>
      <c r="AQ225" s="30" t="str">
        <f t="shared" si="118"/>
        <v/>
      </c>
      <c r="AR225" s="30" t="str">
        <f t="shared" si="119"/>
        <v/>
      </c>
      <c r="AS225" s="30" t="str">
        <f t="shared" si="120"/>
        <v/>
      </c>
      <c r="AT225" t="str">
        <f t="shared" si="121"/>
        <v/>
      </c>
      <c r="AU225" t="str">
        <f t="shared" si="122"/>
        <v/>
      </c>
    </row>
    <row r="226" spans="10:47" x14ac:dyDescent="0.25">
      <c r="J226" s="37" t="str">
        <f t="shared" si="140"/>
        <v/>
      </c>
      <c r="S226" s="30" t="str">
        <f t="shared" si="141"/>
        <v/>
      </c>
      <c r="T226" s="6" t="str">
        <f>IF($D226="Villa Elena",COUNTIF($D$3:$D226,"Villa Elena"),"")</f>
        <v/>
      </c>
      <c r="U226" s="30" t="str">
        <f t="shared" si="142"/>
        <v/>
      </c>
      <c r="V226" s="30" t="str">
        <f t="shared" si="143"/>
        <v/>
      </c>
      <c r="W226" s="30" t="str">
        <f t="shared" si="144"/>
        <v/>
      </c>
      <c r="X226" s="30" t="str">
        <f t="shared" si="145"/>
        <v/>
      </c>
      <c r="Y226" s="30" t="str">
        <f t="shared" si="146"/>
        <v/>
      </c>
      <c r="Z226" s="30" t="str">
        <f t="shared" si="147"/>
        <v/>
      </c>
      <c r="AA226" s="30" t="str">
        <f t="shared" si="148"/>
        <v/>
      </c>
      <c r="AB226" s="30" t="str">
        <f t="shared" si="149"/>
        <v/>
      </c>
      <c r="AC226" s="30" t="str">
        <f t="shared" si="150"/>
        <v/>
      </c>
      <c r="AD226" s="30" t="str">
        <f t="shared" si="151"/>
        <v/>
      </c>
      <c r="AE226" s="30" t="str">
        <f t="shared" si="152"/>
        <v/>
      </c>
      <c r="AF226" s="30" t="str">
        <f t="shared" si="107"/>
        <v/>
      </c>
      <c r="AG226" s="30" t="str">
        <f t="shared" si="108"/>
        <v/>
      </c>
      <c r="AH226" s="30" t="str">
        <f t="shared" si="109"/>
        <v/>
      </c>
      <c r="AI226" s="30" t="str">
        <f t="shared" si="110"/>
        <v/>
      </c>
      <c r="AJ226" s="30" t="str">
        <f t="shared" si="111"/>
        <v/>
      </c>
      <c r="AK226" s="30" t="str">
        <f t="shared" si="112"/>
        <v/>
      </c>
      <c r="AL226" s="30" t="str">
        <f t="shared" si="113"/>
        <v/>
      </c>
      <c r="AM226" s="30" t="str">
        <f t="shared" si="114"/>
        <v/>
      </c>
      <c r="AN226" s="30" t="str">
        <f t="shared" si="115"/>
        <v/>
      </c>
      <c r="AO226" s="30" t="str">
        <f t="shared" si="116"/>
        <v/>
      </c>
      <c r="AP226" s="30" t="str">
        <f t="shared" si="117"/>
        <v/>
      </c>
      <c r="AQ226" s="30" t="str">
        <f t="shared" si="118"/>
        <v/>
      </c>
      <c r="AR226" s="30" t="str">
        <f t="shared" si="119"/>
        <v/>
      </c>
      <c r="AS226" s="30" t="str">
        <f t="shared" si="120"/>
        <v/>
      </c>
      <c r="AT226" t="str">
        <f t="shared" si="121"/>
        <v/>
      </c>
      <c r="AU226" t="str">
        <f t="shared" si="122"/>
        <v/>
      </c>
    </row>
    <row r="227" spans="10:47" x14ac:dyDescent="0.25">
      <c r="J227" s="37" t="str">
        <f t="shared" si="140"/>
        <v/>
      </c>
      <c r="S227" s="30" t="str">
        <f t="shared" si="141"/>
        <v/>
      </c>
      <c r="T227" s="6" t="str">
        <f>IF($D227="Villa Elena",COUNTIF($D$3:$D227,"Villa Elena"),"")</f>
        <v/>
      </c>
      <c r="U227" s="30" t="str">
        <f t="shared" si="142"/>
        <v/>
      </c>
      <c r="V227" s="30" t="str">
        <f t="shared" si="143"/>
        <v/>
      </c>
      <c r="W227" s="30" t="str">
        <f t="shared" si="144"/>
        <v/>
      </c>
      <c r="X227" s="30" t="str">
        <f t="shared" si="145"/>
        <v/>
      </c>
      <c r="Y227" s="30" t="str">
        <f t="shared" si="146"/>
        <v/>
      </c>
      <c r="Z227" s="30" t="str">
        <f t="shared" si="147"/>
        <v/>
      </c>
      <c r="AA227" s="30" t="str">
        <f t="shared" si="148"/>
        <v/>
      </c>
      <c r="AB227" s="30" t="str">
        <f t="shared" si="149"/>
        <v/>
      </c>
      <c r="AC227" s="30" t="str">
        <f t="shared" si="150"/>
        <v/>
      </c>
      <c r="AD227" s="30" t="str">
        <f t="shared" si="151"/>
        <v/>
      </c>
      <c r="AE227" s="30" t="str">
        <f t="shared" si="152"/>
        <v/>
      </c>
      <c r="AF227" s="30" t="str">
        <f t="shared" si="107"/>
        <v/>
      </c>
      <c r="AG227" s="30" t="str">
        <f t="shared" si="108"/>
        <v/>
      </c>
      <c r="AH227" s="30" t="str">
        <f t="shared" si="109"/>
        <v/>
      </c>
      <c r="AI227" s="30" t="str">
        <f t="shared" si="110"/>
        <v/>
      </c>
      <c r="AJ227" s="30" t="str">
        <f t="shared" si="111"/>
        <v/>
      </c>
      <c r="AK227" s="30" t="str">
        <f t="shared" si="112"/>
        <v/>
      </c>
      <c r="AL227" s="30" t="str">
        <f t="shared" si="113"/>
        <v/>
      </c>
      <c r="AM227" s="30" t="str">
        <f t="shared" si="114"/>
        <v/>
      </c>
      <c r="AN227" s="30" t="str">
        <f t="shared" si="115"/>
        <v/>
      </c>
      <c r="AO227" s="30" t="str">
        <f t="shared" si="116"/>
        <v/>
      </c>
      <c r="AP227" s="30" t="str">
        <f t="shared" si="117"/>
        <v/>
      </c>
      <c r="AQ227" s="30" t="str">
        <f t="shared" si="118"/>
        <v/>
      </c>
      <c r="AR227" s="30" t="str">
        <f t="shared" si="119"/>
        <v/>
      </c>
      <c r="AS227" s="30" t="str">
        <f t="shared" si="120"/>
        <v/>
      </c>
      <c r="AT227" t="str">
        <f t="shared" si="121"/>
        <v/>
      </c>
      <c r="AU227" t="str">
        <f t="shared" si="122"/>
        <v/>
      </c>
    </row>
    <row r="228" spans="10:47" x14ac:dyDescent="0.25">
      <c r="J228" s="37" t="str">
        <f t="shared" si="140"/>
        <v/>
      </c>
      <c r="S228" s="30" t="str">
        <f t="shared" si="141"/>
        <v/>
      </c>
      <c r="T228" s="6" t="str">
        <f>IF($D228="Villa Elena",COUNTIF($D$3:$D228,"Villa Elena"),"")</f>
        <v/>
      </c>
      <c r="U228" s="30" t="str">
        <f t="shared" si="142"/>
        <v/>
      </c>
      <c r="V228" s="30" t="str">
        <f t="shared" si="143"/>
        <v/>
      </c>
      <c r="W228" s="30" t="str">
        <f t="shared" si="144"/>
        <v/>
      </c>
      <c r="X228" s="30" t="str">
        <f t="shared" si="145"/>
        <v/>
      </c>
      <c r="Y228" s="30" t="str">
        <f t="shared" si="146"/>
        <v/>
      </c>
      <c r="Z228" s="30" t="str">
        <f t="shared" si="147"/>
        <v/>
      </c>
      <c r="AA228" s="30" t="str">
        <f t="shared" si="148"/>
        <v/>
      </c>
      <c r="AB228" s="30" t="str">
        <f t="shared" si="149"/>
        <v/>
      </c>
      <c r="AC228" s="30" t="str">
        <f t="shared" si="150"/>
        <v/>
      </c>
      <c r="AD228" s="30" t="str">
        <f t="shared" si="151"/>
        <v/>
      </c>
      <c r="AE228" s="30" t="str">
        <f t="shared" si="152"/>
        <v/>
      </c>
      <c r="AF228" s="30" t="str">
        <f t="shared" si="107"/>
        <v/>
      </c>
      <c r="AG228" s="30" t="str">
        <f t="shared" si="108"/>
        <v/>
      </c>
      <c r="AH228" s="30" t="str">
        <f t="shared" si="109"/>
        <v/>
      </c>
      <c r="AI228" s="30" t="str">
        <f t="shared" si="110"/>
        <v/>
      </c>
      <c r="AJ228" s="30" t="str">
        <f t="shared" si="111"/>
        <v/>
      </c>
      <c r="AK228" s="30" t="str">
        <f t="shared" si="112"/>
        <v/>
      </c>
      <c r="AL228" s="30" t="str">
        <f t="shared" si="113"/>
        <v/>
      </c>
      <c r="AM228" s="30" t="str">
        <f t="shared" si="114"/>
        <v/>
      </c>
      <c r="AN228" s="30" t="str">
        <f t="shared" si="115"/>
        <v/>
      </c>
      <c r="AO228" s="30" t="str">
        <f t="shared" si="116"/>
        <v/>
      </c>
      <c r="AP228" s="30" t="str">
        <f t="shared" si="117"/>
        <v/>
      </c>
      <c r="AQ228" s="30" t="str">
        <f t="shared" si="118"/>
        <v/>
      </c>
      <c r="AR228" s="30" t="str">
        <f t="shared" si="119"/>
        <v/>
      </c>
      <c r="AS228" s="30" t="str">
        <f t="shared" si="120"/>
        <v/>
      </c>
      <c r="AT228" t="str">
        <f t="shared" si="121"/>
        <v/>
      </c>
      <c r="AU228" t="str">
        <f t="shared" si="122"/>
        <v/>
      </c>
    </row>
    <row r="229" spans="10:47" x14ac:dyDescent="0.25">
      <c r="J229" s="37" t="str">
        <f t="shared" si="140"/>
        <v/>
      </c>
      <c r="S229" s="30" t="str">
        <f t="shared" si="141"/>
        <v/>
      </c>
      <c r="T229" s="6" t="str">
        <f>IF($D229="Villa Elena",COUNTIF($D$3:$D229,"Villa Elena"),"")</f>
        <v/>
      </c>
      <c r="U229" s="30" t="str">
        <f t="shared" si="142"/>
        <v/>
      </c>
      <c r="V229" s="30" t="str">
        <f t="shared" si="143"/>
        <v/>
      </c>
      <c r="W229" s="30" t="str">
        <f t="shared" si="144"/>
        <v/>
      </c>
      <c r="X229" s="30" t="str">
        <f t="shared" si="145"/>
        <v/>
      </c>
      <c r="Y229" s="30" t="str">
        <f t="shared" si="146"/>
        <v/>
      </c>
      <c r="Z229" s="30" t="str">
        <f t="shared" si="147"/>
        <v/>
      </c>
      <c r="AA229" s="30" t="str">
        <f t="shared" si="148"/>
        <v/>
      </c>
      <c r="AB229" s="30" t="str">
        <f t="shared" si="149"/>
        <v/>
      </c>
      <c r="AC229" s="30" t="str">
        <f t="shared" si="150"/>
        <v/>
      </c>
      <c r="AD229" s="30" t="str">
        <f t="shared" si="151"/>
        <v/>
      </c>
      <c r="AE229" s="30" t="str">
        <f t="shared" si="152"/>
        <v/>
      </c>
      <c r="AF229" s="30" t="str">
        <f t="shared" si="107"/>
        <v/>
      </c>
      <c r="AG229" s="30" t="str">
        <f t="shared" si="108"/>
        <v/>
      </c>
      <c r="AH229" s="30" t="str">
        <f t="shared" si="109"/>
        <v/>
      </c>
      <c r="AI229" s="30" t="str">
        <f t="shared" si="110"/>
        <v/>
      </c>
      <c r="AJ229" s="30" t="str">
        <f t="shared" si="111"/>
        <v/>
      </c>
      <c r="AK229" s="30" t="str">
        <f t="shared" si="112"/>
        <v/>
      </c>
      <c r="AL229" s="30" t="str">
        <f t="shared" si="113"/>
        <v/>
      </c>
      <c r="AM229" s="30" t="str">
        <f t="shared" si="114"/>
        <v/>
      </c>
      <c r="AN229" s="30" t="str">
        <f t="shared" si="115"/>
        <v/>
      </c>
      <c r="AO229" s="30" t="str">
        <f t="shared" si="116"/>
        <v/>
      </c>
      <c r="AP229" s="30" t="str">
        <f t="shared" si="117"/>
        <v/>
      </c>
      <c r="AQ229" s="30" t="str">
        <f t="shared" si="118"/>
        <v/>
      </c>
      <c r="AR229" s="30" t="str">
        <f t="shared" si="119"/>
        <v/>
      </c>
      <c r="AS229" s="30" t="str">
        <f t="shared" si="120"/>
        <v/>
      </c>
      <c r="AT229" t="str">
        <f t="shared" si="121"/>
        <v/>
      </c>
      <c r="AU229" t="str">
        <f t="shared" si="122"/>
        <v/>
      </c>
    </row>
    <row r="230" spans="10:47" x14ac:dyDescent="0.25">
      <c r="J230" s="37" t="str">
        <f t="shared" si="140"/>
        <v/>
      </c>
      <c r="S230" s="30" t="str">
        <f t="shared" si="141"/>
        <v/>
      </c>
      <c r="T230" s="6" t="str">
        <f>IF($D230="Villa Elena",COUNTIF($D$3:$D230,"Villa Elena"),"")</f>
        <v/>
      </c>
      <c r="U230" s="30" t="str">
        <f t="shared" si="142"/>
        <v/>
      </c>
      <c r="V230" s="30" t="str">
        <f t="shared" si="143"/>
        <v/>
      </c>
      <c r="W230" s="30" t="str">
        <f t="shared" si="144"/>
        <v/>
      </c>
      <c r="X230" s="30" t="str">
        <f t="shared" si="145"/>
        <v/>
      </c>
      <c r="Y230" s="30" t="str">
        <f t="shared" si="146"/>
        <v/>
      </c>
      <c r="Z230" s="30" t="str">
        <f t="shared" si="147"/>
        <v/>
      </c>
      <c r="AA230" s="30" t="str">
        <f t="shared" si="148"/>
        <v/>
      </c>
      <c r="AB230" s="30" t="str">
        <f t="shared" si="149"/>
        <v/>
      </c>
      <c r="AC230" s="30" t="str">
        <f t="shared" si="150"/>
        <v/>
      </c>
      <c r="AD230" s="30" t="str">
        <f t="shared" si="151"/>
        <v/>
      </c>
      <c r="AE230" s="30" t="str">
        <f t="shared" si="152"/>
        <v/>
      </c>
      <c r="AF230" s="30" t="str">
        <f t="shared" si="107"/>
        <v/>
      </c>
      <c r="AG230" s="30" t="str">
        <f t="shared" si="108"/>
        <v/>
      </c>
      <c r="AH230" s="30" t="str">
        <f t="shared" si="109"/>
        <v/>
      </c>
      <c r="AI230" s="30" t="str">
        <f t="shared" si="110"/>
        <v/>
      </c>
      <c r="AJ230" s="30" t="str">
        <f t="shared" si="111"/>
        <v/>
      </c>
      <c r="AK230" s="30" t="str">
        <f t="shared" si="112"/>
        <v/>
      </c>
      <c r="AL230" s="30" t="str">
        <f t="shared" si="113"/>
        <v/>
      </c>
      <c r="AM230" s="30" t="str">
        <f t="shared" si="114"/>
        <v/>
      </c>
      <c r="AN230" s="30" t="str">
        <f t="shared" si="115"/>
        <v/>
      </c>
      <c r="AO230" s="30" t="str">
        <f t="shared" si="116"/>
        <v/>
      </c>
      <c r="AP230" s="30" t="str">
        <f t="shared" si="117"/>
        <v/>
      </c>
      <c r="AQ230" s="30" t="str">
        <f t="shared" si="118"/>
        <v/>
      </c>
      <c r="AR230" s="30" t="str">
        <f t="shared" si="119"/>
        <v/>
      </c>
      <c r="AS230" s="30" t="str">
        <f t="shared" si="120"/>
        <v/>
      </c>
      <c r="AT230" t="str">
        <f t="shared" si="121"/>
        <v/>
      </c>
      <c r="AU230" t="str">
        <f t="shared" si="122"/>
        <v/>
      </c>
    </row>
    <row r="231" spans="10:47" x14ac:dyDescent="0.25">
      <c r="J231" s="37" t="str">
        <f t="shared" si="140"/>
        <v/>
      </c>
      <c r="S231" s="30" t="str">
        <f t="shared" si="141"/>
        <v/>
      </c>
      <c r="T231" s="6" t="str">
        <f>IF($D231="Villa Elena",COUNTIF($D$3:$D231,"Villa Elena"),"")</f>
        <v/>
      </c>
      <c r="U231" s="30" t="str">
        <f t="shared" si="142"/>
        <v/>
      </c>
      <c r="V231" s="30" t="str">
        <f t="shared" si="143"/>
        <v/>
      </c>
      <c r="W231" s="30" t="str">
        <f t="shared" si="144"/>
        <v/>
      </c>
      <c r="X231" s="30" t="str">
        <f t="shared" si="145"/>
        <v/>
      </c>
      <c r="Y231" s="30" t="str">
        <f t="shared" si="146"/>
        <v/>
      </c>
      <c r="Z231" s="30" t="str">
        <f t="shared" si="147"/>
        <v/>
      </c>
      <c r="AA231" s="30" t="str">
        <f t="shared" si="148"/>
        <v/>
      </c>
      <c r="AB231" s="30" t="str">
        <f t="shared" si="149"/>
        <v/>
      </c>
      <c r="AC231" s="30" t="str">
        <f t="shared" si="150"/>
        <v/>
      </c>
      <c r="AD231" s="30" t="str">
        <f t="shared" si="151"/>
        <v/>
      </c>
      <c r="AE231" s="30" t="str">
        <f t="shared" si="152"/>
        <v/>
      </c>
      <c r="AF231" s="30" t="str">
        <f t="shared" si="107"/>
        <v/>
      </c>
      <c r="AG231" s="30" t="str">
        <f t="shared" si="108"/>
        <v/>
      </c>
      <c r="AH231" s="30" t="str">
        <f t="shared" si="109"/>
        <v/>
      </c>
      <c r="AI231" s="30" t="str">
        <f t="shared" si="110"/>
        <v/>
      </c>
      <c r="AJ231" s="30" t="str">
        <f t="shared" si="111"/>
        <v/>
      </c>
      <c r="AK231" s="30" t="str">
        <f t="shared" si="112"/>
        <v/>
      </c>
      <c r="AL231" s="30" t="str">
        <f t="shared" si="113"/>
        <v/>
      </c>
      <c r="AM231" s="30" t="str">
        <f t="shared" si="114"/>
        <v/>
      </c>
      <c r="AN231" s="30" t="str">
        <f t="shared" si="115"/>
        <v/>
      </c>
      <c r="AO231" s="30" t="str">
        <f t="shared" si="116"/>
        <v/>
      </c>
      <c r="AP231" s="30" t="str">
        <f t="shared" si="117"/>
        <v/>
      </c>
      <c r="AQ231" s="30" t="str">
        <f t="shared" si="118"/>
        <v/>
      </c>
      <c r="AR231" s="30" t="str">
        <f t="shared" si="119"/>
        <v/>
      </c>
      <c r="AS231" s="30" t="str">
        <f t="shared" si="120"/>
        <v/>
      </c>
      <c r="AT231" t="str">
        <f t="shared" si="121"/>
        <v/>
      </c>
      <c r="AU231" t="str">
        <f t="shared" si="122"/>
        <v/>
      </c>
    </row>
    <row r="232" spans="10:47" x14ac:dyDescent="0.25">
      <c r="J232" s="37" t="str">
        <f t="shared" si="140"/>
        <v/>
      </c>
      <c r="S232" s="30" t="str">
        <f t="shared" si="141"/>
        <v/>
      </c>
      <c r="T232" s="6" t="str">
        <f>IF($D232="Villa Elena",COUNTIF($D$3:$D232,"Villa Elena"),"")</f>
        <v/>
      </c>
      <c r="U232" s="30" t="str">
        <f t="shared" si="142"/>
        <v/>
      </c>
      <c r="V232" s="30" t="str">
        <f t="shared" si="143"/>
        <v/>
      </c>
      <c r="W232" s="30" t="str">
        <f t="shared" si="144"/>
        <v/>
      </c>
      <c r="X232" s="30" t="str">
        <f t="shared" si="145"/>
        <v/>
      </c>
      <c r="Y232" s="30" t="str">
        <f t="shared" si="146"/>
        <v/>
      </c>
      <c r="Z232" s="30" t="str">
        <f t="shared" si="147"/>
        <v/>
      </c>
      <c r="AA232" s="30" t="str">
        <f t="shared" si="148"/>
        <v/>
      </c>
      <c r="AB232" s="30" t="str">
        <f t="shared" si="149"/>
        <v/>
      </c>
      <c r="AC232" s="30" t="str">
        <f t="shared" si="150"/>
        <v/>
      </c>
      <c r="AD232" s="30" t="str">
        <f t="shared" si="151"/>
        <v/>
      </c>
      <c r="AE232" s="30" t="str">
        <f t="shared" si="152"/>
        <v/>
      </c>
      <c r="AF232" s="30" t="str">
        <f t="shared" si="107"/>
        <v/>
      </c>
      <c r="AG232" s="30" t="str">
        <f t="shared" si="108"/>
        <v/>
      </c>
      <c r="AH232" s="30" t="str">
        <f t="shared" si="109"/>
        <v/>
      </c>
      <c r="AI232" s="30" t="str">
        <f t="shared" si="110"/>
        <v/>
      </c>
      <c r="AJ232" s="30" t="str">
        <f t="shared" si="111"/>
        <v/>
      </c>
      <c r="AK232" s="30" t="str">
        <f t="shared" si="112"/>
        <v/>
      </c>
      <c r="AL232" s="30" t="str">
        <f t="shared" si="113"/>
        <v/>
      </c>
      <c r="AM232" s="30" t="str">
        <f t="shared" si="114"/>
        <v/>
      </c>
      <c r="AN232" s="30" t="str">
        <f t="shared" si="115"/>
        <v/>
      </c>
      <c r="AO232" s="30" t="str">
        <f t="shared" si="116"/>
        <v/>
      </c>
      <c r="AP232" s="30" t="str">
        <f t="shared" si="117"/>
        <v/>
      </c>
      <c r="AQ232" s="30" t="str">
        <f t="shared" si="118"/>
        <v/>
      </c>
      <c r="AR232" s="30" t="str">
        <f t="shared" si="119"/>
        <v/>
      </c>
      <c r="AS232" s="30" t="str">
        <f t="shared" si="120"/>
        <v/>
      </c>
      <c r="AT232" t="str">
        <f t="shared" si="121"/>
        <v/>
      </c>
      <c r="AU232" t="str">
        <f t="shared" si="122"/>
        <v/>
      </c>
    </row>
    <row r="233" spans="10:47" x14ac:dyDescent="0.25">
      <c r="J233" s="37" t="str">
        <f t="shared" si="140"/>
        <v/>
      </c>
      <c r="S233" s="30" t="str">
        <f t="shared" si="141"/>
        <v/>
      </c>
      <c r="T233" s="6" t="str">
        <f>IF($D233="Villa Elena",COUNTIF($D$3:$D233,"Villa Elena"),"")</f>
        <v/>
      </c>
      <c r="U233" s="30" t="str">
        <f t="shared" si="142"/>
        <v/>
      </c>
      <c r="V233" s="30" t="str">
        <f t="shared" si="143"/>
        <v/>
      </c>
      <c r="W233" s="30" t="str">
        <f t="shared" si="144"/>
        <v/>
      </c>
      <c r="X233" s="30" t="str">
        <f t="shared" si="145"/>
        <v/>
      </c>
      <c r="Y233" s="30" t="str">
        <f t="shared" si="146"/>
        <v/>
      </c>
      <c r="Z233" s="30" t="str">
        <f t="shared" si="147"/>
        <v/>
      </c>
      <c r="AA233" s="30" t="str">
        <f t="shared" si="148"/>
        <v/>
      </c>
      <c r="AB233" s="30" t="str">
        <f t="shared" si="149"/>
        <v/>
      </c>
      <c r="AC233" s="30" t="str">
        <f t="shared" si="150"/>
        <v/>
      </c>
      <c r="AD233" s="30" t="str">
        <f t="shared" si="151"/>
        <v/>
      </c>
      <c r="AE233" s="30" t="str">
        <f t="shared" si="152"/>
        <v/>
      </c>
      <c r="AF233" s="30" t="str">
        <f t="shared" si="107"/>
        <v/>
      </c>
      <c r="AG233" s="30" t="str">
        <f t="shared" si="108"/>
        <v/>
      </c>
      <c r="AH233" s="30" t="str">
        <f t="shared" si="109"/>
        <v/>
      </c>
      <c r="AI233" s="30" t="str">
        <f t="shared" si="110"/>
        <v/>
      </c>
      <c r="AJ233" s="30" t="str">
        <f t="shared" si="111"/>
        <v/>
      </c>
      <c r="AK233" s="30" t="str">
        <f t="shared" si="112"/>
        <v/>
      </c>
      <c r="AL233" s="30" t="str">
        <f t="shared" si="113"/>
        <v/>
      </c>
      <c r="AM233" s="30" t="str">
        <f t="shared" si="114"/>
        <v/>
      </c>
      <c r="AN233" s="30" t="str">
        <f t="shared" si="115"/>
        <v/>
      </c>
      <c r="AO233" s="30" t="str">
        <f t="shared" si="116"/>
        <v/>
      </c>
      <c r="AP233" s="30" t="str">
        <f t="shared" si="117"/>
        <v/>
      </c>
      <c r="AQ233" s="30" t="str">
        <f t="shared" si="118"/>
        <v/>
      </c>
      <c r="AR233" s="30" t="str">
        <f t="shared" si="119"/>
        <v/>
      </c>
      <c r="AS233" s="30" t="str">
        <f t="shared" si="120"/>
        <v/>
      </c>
      <c r="AT233" t="str">
        <f t="shared" si="121"/>
        <v/>
      </c>
      <c r="AU233" t="str">
        <f t="shared" si="122"/>
        <v/>
      </c>
    </row>
    <row r="234" spans="10:47" x14ac:dyDescent="0.25">
      <c r="J234" s="37" t="str">
        <f t="shared" ref="J234:J262" si="153">IF(AND(ISNUMBER(SEARCH("booking",G234)),OR(D234="Via San Rocco",D234="Via Cavour")),H234*0.165,IF(ISNUMBER(SEARCH("airbnb",G234)),H234*0.155,IF(ISNUMBER(SEARCH("booking",G234)),H234*0.15,"")))</f>
        <v/>
      </c>
      <c r="S234" s="30" t="str">
        <f t="shared" si="141"/>
        <v/>
      </c>
      <c r="T234" s="6" t="str">
        <f>IF($D234="Villa Elena",COUNTIF($D$3:$D234,"Villa Elena"),"")</f>
        <v/>
      </c>
      <c r="U234" s="30" t="str">
        <f t="shared" si="142"/>
        <v/>
      </c>
      <c r="V234" s="30" t="str">
        <f t="shared" si="143"/>
        <v/>
      </c>
      <c r="W234" s="30" t="str">
        <f t="shared" si="144"/>
        <v/>
      </c>
      <c r="X234" s="30" t="str">
        <f t="shared" si="145"/>
        <v/>
      </c>
      <c r="Y234" s="30" t="str">
        <f t="shared" si="146"/>
        <v/>
      </c>
      <c r="Z234" s="30" t="str">
        <f t="shared" si="147"/>
        <v/>
      </c>
      <c r="AA234" s="30" t="str">
        <f t="shared" si="148"/>
        <v/>
      </c>
      <c r="AB234" s="30" t="str">
        <f t="shared" si="149"/>
        <v/>
      </c>
      <c r="AC234" s="30" t="str">
        <f t="shared" si="150"/>
        <v/>
      </c>
      <c r="AD234" s="30" t="str">
        <f t="shared" si="151"/>
        <v/>
      </c>
      <c r="AE234" s="30" t="str">
        <f t="shared" si="152"/>
        <v/>
      </c>
      <c r="AF234" s="30" t="str">
        <f t="shared" si="107"/>
        <v/>
      </c>
      <c r="AG234" s="30" t="str">
        <f t="shared" si="108"/>
        <v/>
      </c>
      <c r="AH234" s="30" t="str">
        <f t="shared" si="109"/>
        <v/>
      </c>
      <c r="AI234" s="30" t="str">
        <f t="shared" si="110"/>
        <v/>
      </c>
      <c r="AJ234" s="30" t="str">
        <f t="shared" si="111"/>
        <v/>
      </c>
      <c r="AK234" s="30" t="str">
        <f t="shared" si="112"/>
        <v/>
      </c>
      <c r="AL234" s="30" t="str">
        <f t="shared" si="113"/>
        <v/>
      </c>
      <c r="AM234" s="30" t="str">
        <f t="shared" si="114"/>
        <v/>
      </c>
      <c r="AN234" s="30" t="str">
        <f t="shared" si="115"/>
        <v/>
      </c>
      <c r="AO234" s="30" t="str">
        <f t="shared" si="116"/>
        <v/>
      </c>
      <c r="AP234" s="30" t="str">
        <f t="shared" si="117"/>
        <v/>
      </c>
      <c r="AQ234" s="30" t="str">
        <f t="shared" si="118"/>
        <v/>
      </c>
      <c r="AR234" s="30" t="str">
        <f t="shared" si="119"/>
        <v/>
      </c>
      <c r="AS234" s="30" t="str">
        <f t="shared" si="120"/>
        <v/>
      </c>
      <c r="AT234" t="str">
        <f t="shared" si="121"/>
        <v/>
      </c>
      <c r="AU234" t="str">
        <f t="shared" si="122"/>
        <v/>
      </c>
    </row>
    <row r="235" spans="10:47" x14ac:dyDescent="0.25">
      <c r="J235" s="37" t="str">
        <f t="shared" si="153"/>
        <v/>
      </c>
      <c r="S235" s="30" t="str">
        <f t="shared" ref="S235:S262" si="154">IF(AND($D235="Sotto la Quercia",$G235&lt;&gt;""),ROW(),"")</f>
        <v/>
      </c>
      <c r="T235" s="6" t="str">
        <f>IF($D235="Villa Elena",COUNTIF($D$3:$D235,"Villa Elena"),"")</f>
        <v/>
      </c>
      <c r="U235" s="30" t="str">
        <f t="shared" ref="U235:U262" si="155">IF(AND($D235="Casa Letizia",$G235&lt;&gt;""),ROW(),"")</f>
        <v/>
      </c>
      <c r="V235" s="30" t="str">
        <f t="shared" ref="V235:V262" si="156">IF(AND($D235="Casa nel Borgo",$G235&lt;&gt;""),ROW(),"")</f>
        <v/>
      </c>
      <c r="W235" s="30" t="str">
        <f t="shared" ref="W235:W262" si="157">IF(AND($D235="Via San Rocco",$G235&lt;&gt;""),ROW(),"")</f>
        <v/>
      </c>
      <c r="X235" s="30" t="str">
        <f t="shared" ref="X235:X262" si="158">IF(AND($D235="Via Cavour",$G235&lt;&gt;""),ROW(),"")</f>
        <v/>
      </c>
      <c r="Y235" s="30" t="str">
        <f t="shared" ref="Y235:Y262" si="159">IF(AND($D235="Miramare",$G235&lt;&gt;""),ROW(),"")</f>
        <v/>
      </c>
      <c r="Z235" s="30" t="str">
        <f t="shared" ref="Z235:Z262" si="160">IF(AND($D235="Agantonio",$G235&lt;&gt;""),ROW(),"")</f>
        <v/>
      </c>
      <c r="AA235" s="30" t="str">
        <f t="shared" ref="AA235:AA262" si="161">IF(AND($D235="Casa Bella Gialla",$G235&lt;&gt;""),ROW(),"")</f>
        <v/>
      </c>
      <c r="AB235" s="30" t="str">
        <f t="shared" ref="AB235:AB262" si="162">IF(AND($D235="Casa Verde Oliva",$G235&lt;&gt;""),ROW(),"")</f>
        <v/>
      </c>
      <c r="AC235" s="30" t="str">
        <f t="shared" ref="AC235:AC262" si="163">IF(AND($D235="Casa Nicola",$G235&lt;&gt;""),ROW(),"")</f>
        <v/>
      </c>
      <c r="AD235" s="30" t="str">
        <f t="shared" ref="AD235:AD262" si="164">IF(AND($D235="White Cottage",$G235&lt;&gt;""),ROW(),"")</f>
        <v/>
      </c>
      <c r="AE235" s="30" t="str">
        <f t="shared" ref="AE235:AE262" si="165">IF(AND($D235="Villa Nella",$G235&lt;&gt;""),ROW(),"")</f>
        <v/>
      </c>
      <c r="AF235" s="30" t="str">
        <f t="shared" ref="AF235:AF262" si="166">IF(AND($D235="Villa Elena",$G235&lt;&gt;""),ROW(),"")</f>
        <v/>
      </c>
      <c r="AG235" s="30" t="str">
        <f t="shared" ref="AG235:AG262" si="167">IF(AND($D235="Sotto la Quercia",$G235=""),ROW(),"")</f>
        <v/>
      </c>
      <c r="AH235" s="30" t="str">
        <f t="shared" ref="AH235:AH262" si="168">IF(AND($D235="Villa Elena",$G235=""),ROW(),"")</f>
        <v/>
      </c>
      <c r="AI235" s="30" t="str">
        <f t="shared" ref="AI235:AI262" si="169">IF(AND($D235="Casa Letizia",$G235=""),ROW(),"")</f>
        <v/>
      </c>
      <c r="AJ235" s="30" t="str">
        <f t="shared" ref="AJ235:AJ262" si="170">IF(AND($D235="Casa nel Borgo",$G235=""),ROW(),"")</f>
        <v/>
      </c>
      <c r="AK235" s="30" t="str">
        <f t="shared" ref="AK235:AK262" si="171">IF(AND($D235="Via San Rocco",$G235=""),ROW(),"")</f>
        <v/>
      </c>
      <c r="AL235" s="30" t="str">
        <f t="shared" ref="AL235:AL262" si="172">IF(AND($D235="Via Cavour",$G235=""),ROW(),"")</f>
        <v/>
      </c>
      <c r="AM235" s="30" t="str">
        <f t="shared" ref="AM235:AM262" si="173">IF(AND($D235="Miramare",$G235=""),ROW(),"")</f>
        <v/>
      </c>
      <c r="AN235" s="30" t="str">
        <f t="shared" ref="AN235:AN262" si="174">IF(AND($D235="Agantonio",$G235=""),ROW(),"")</f>
        <v/>
      </c>
      <c r="AO235" s="30" t="str">
        <f t="shared" ref="AO235:AO262" si="175">IF(AND($D235="Casa Bella Gialla",$G235=""),ROW(),"")</f>
        <v/>
      </c>
      <c r="AP235" s="30" t="str">
        <f t="shared" ref="AP235:AP262" si="176">IF(AND($D235="Casa Verde Oliva",$G235=""),ROW(),"")</f>
        <v/>
      </c>
      <c r="AQ235" s="30" t="str">
        <f t="shared" ref="AQ235:AQ262" si="177">IF(AND($D235="Casa Nicola",$G235=""),ROW(),"")</f>
        <v/>
      </c>
      <c r="AR235" s="30" t="str">
        <f t="shared" ref="AR235:AR262" si="178">IF(AND($D235="White Cottage",$G235=""),ROW(),"")</f>
        <v/>
      </c>
      <c r="AS235" s="30" t="str">
        <f t="shared" ref="AS235:AS262" si="179">IF(AND($D235="Villa Nella",$G235=""),ROW(),"")</f>
        <v/>
      </c>
      <c r="AT235" t="str">
        <f t="shared" ref="AT235:AT269" si="180">IF(AND($D235="Nel Cuore di Lanciano",$G235&lt;&gt;""),ROW(),"")</f>
        <v/>
      </c>
      <c r="AU235" t="str">
        <f t="shared" ref="AU235:AU269" si="181">IF(AND($D235="Nel Cuore di Lanciano",$G235=""),ROW(),"")</f>
        <v/>
      </c>
    </row>
    <row r="236" spans="10:47" x14ac:dyDescent="0.25">
      <c r="J236" s="37" t="str">
        <f t="shared" si="153"/>
        <v/>
      </c>
      <c r="S236" s="30" t="str">
        <f t="shared" si="154"/>
        <v/>
      </c>
      <c r="T236" s="6" t="str">
        <f>IF($D236="Villa Elena",COUNTIF($D$3:$D236,"Villa Elena"),"")</f>
        <v/>
      </c>
      <c r="U236" s="30" t="str">
        <f t="shared" si="155"/>
        <v/>
      </c>
      <c r="V236" s="30" t="str">
        <f t="shared" si="156"/>
        <v/>
      </c>
      <c r="W236" s="30" t="str">
        <f t="shared" si="157"/>
        <v/>
      </c>
      <c r="X236" s="30" t="str">
        <f t="shared" si="158"/>
        <v/>
      </c>
      <c r="Y236" s="30" t="str">
        <f t="shared" si="159"/>
        <v/>
      </c>
      <c r="Z236" s="30" t="str">
        <f t="shared" si="160"/>
        <v/>
      </c>
      <c r="AA236" s="30" t="str">
        <f t="shared" si="161"/>
        <v/>
      </c>
      <c r="AB236" s="30" t="str">
        <f t="shared" si="162"/>
        <v/>
      </c>
      <c r="AC236" s="30" t="str">
        <f t="shared" si="163"/>
        <v/>
      </c>
      <c r="AD236" s="30" t="str">
        <f t="shared" si="164"/>
        <v/>
      </c>
      <c r="AE236" s="30" t="str">
        <f t="shared" si="165"/>
        <v/>
      </c>
      <c r="AF236" s="30" t="str">
        <f t="shared" si="166"/>
        <v/>
      </c>
      <c r="AG236" s="30" t="str">
        <f t="shared" si="167"/>
        <v/>
      </c>
      <c r="AH236" s="30" t="str">
        <f t="shared" si="168"/>
        <v/>
      </c>
      <c r="AI236" s="30" t="str">
        <f t="shared" si="169"/>
        <v/>
      </c>
      <c r="AJ236" s="30" t="str">
        <f t="shared" si="170"/>
        <v/>
      </c>
      <c r="AK236" s="30" t="str">
        <f t="shared" si="171"/>
        <v/>
      </c>
      <c r="AL236" s="30" t="str">
        <f t="shared" si="172"/>
        <v/>
      </c>
      <c r="AM236" s="30" t="str">
        <f t="shared" si="173"/>
        <v/>
      </c>
      <c r="AN236" s="30" t="str">
        <f t="shared" si="174"/>
        <v/>
      </c>
      <c r="AO236" s="30" t="str">
        <f t="shared" si="175"/>
        <v/>
      </c>
      <c r="AP236" s="30" t="str">
        <f t="shared" si="176"/>
        <v/>
      </c>
      <c r="AQ236" s="30" t="str">
        <f t="shared" si="177"/>
        <v/>
      </c>
      <c r="AR236" s="30" t="str">
        <f t="shared" si="178"/>
        <v/>
      </c>
      <c r="AS236" s="30" t="str">
        <f t="shared" si="179"/>
        <v/>
      </c>
      <c r="AT236" t="str">
        <f t="shared" si="180"/>
        <v/>
      </c>
      <c r="AU236" t="str">
        <f t="shared" si="181"/>
        <v/>
      </c>
    </row>
    <row r="237" spans="10:47" x14ac:dyDescent="0.25">
      <c r="J237" s="37" t="str">
        <f t="shared" si="153"/>
        <v/>
      </c>
      <c r="S237" s="30" t="str">
        <f t="shared" si="154"/>
        <v/>
      </c>
      <c r="T237" s="6" t="str">
        <f>IF($D237="Villa Elena",COUNTIF($D$3:$D237,"Villa Elena"),"")</f>
        <v/>
      </c>
      <c r="U237" s="30" t="str">
        <f t="shared" si="155"/>
        <v/>
      </c>
      <c r="V237" s="30" t="str">
        <f t="shared" si="156"/>
        <v/>
      </c>
      <c r="W237" s="30" t="str">
        <f t="shared" si="157"/>
        <v/>
      </c>
      <c r="X237" s="30" t="str">
        <f t="shared" si="158"/>
        <v/>
      </c>
      <c r="Y237" s="30" t="str">
        <f t="shared" si="159"/>
        <v/>
      </c>
      <c r="Z237" s="30" t="str">
        <f t="shared" si="160"/>
        <v/>
      </c>
      <c r="AA237" s="30" t="str">
        <f t="shared" si="161"/>
        <v/>
      </c>
      <c r="AB237" s="30" t="str">
        <f t="shared" si="162"/>
        <v/>
      </c>
      <c r="AC237" s="30" t="str">
        <f t="shared" si="163"/>
        <v/>
      </c>
      <c r="AD237" s="30" t="str">
        <f t="shared" si="164"/>
        <v/>
      </c>
      <c r="AE237" s="30" t="str">
        <f t="shared" si="165"/>
        <v/>
      </c>
      <c r="AF237" s="30" t="str">
        <f t="shared" si="166"/>
        <v/>
      </c>
      <c r="AG237" s="30" t="str">
        <f t="shared" si="167"/>
        <v/>
      </c>
      <c r="AH237" s="30" t="str">
        <f t="shared" si="168"/>
        <v/>
      </c>
      <c r="AI237" s="30" t="str">
        <f t="shared" si="169"/>
        <v/>
      </c>
      <c r="AJ237" s="30" t="str">
        <f t="shared" si="170"/>
        <v/>
      </c>
      <c r="AK237" s="30" t="str">
        <f t="shared" si="171"/>
        <v/>
      </c>
      <c r="AL237" s="30" t="str">
        <f t="shared" si="172"/>
        <v/>
      </c>
      <c r="AM237" s="30" t="str">
        <f t="shared" si="173"/>
        <v/>
      </c>
      <c r="AN237" s="30" t="str">
        <f t="shared" si="174"/>
        <v/>
      </c>
      <c r="AO237" s="30" t="str">
        <f t="shared" si="175"/>
        <v/>
      </c>
      <c r="AP237" s="30" t="str">
        <f t="shared" si="176"/>
        <v/>
      </c>
      <c r="AQ237" s="30" t="str">
        <f t="shared" si="177"/>
        <v/>
      </c>
      <c r="AR237" s="30" t="str">
        <f t="shared" si="178"/>
        <v/>
      </c>
      <c r="AS237" s="30" t="str">
        <f t="shared" si="179"/>
        <v/>
      </c>
      <c r="AT237" t="str">
        <f t="shared" si="180"/>
        <v/>
      </c>
      <c r="AU237" t="str">
        <f t="shared" si="181"/>
        <v/>
      </c>
    </row>
    <row r="238" spans="10:47" x14ac:dyDescent="0.25">
      <c r="J238" s="37" t="str">
        <f t="shared" si="153"/>
        <v/>
      </c>
      <c r="S238" s="30" t="str">
        <f t="shared" si="154"/>
        <v/>
      </c>
      <c r="T238" s="6" t="str">
        <f>IF($D238="Villa Elena",COUNTIF($D$3:$D238,"Villa Elena"),"")</f>
        <v/>
      </c>
      <c r="U238" s="30" t="str">
        <f t="shared" si="155"/>
        <v/>
      </c>
      <c r="V238" s="30" t="str">
        <f t="shared" si="156"/>
        <v/>
      </c>
      <c r="W238" s="30" t="str">
        <f t="shared" si="157"/>
        <v/>
      </c>
      <c r="X238" s="30" t="str">
        <f t="shared" si="158"/>
        <v/>
      </c>
      <c r="Y238" s="30" t="str">
        <f t="shared" si="159"/>
        <v/>
      </c>
      <c r="Z238" s="30" t="str">
        <f t="shared" si="160"/>
        <v/>
      </c>
      <c r="AA238" s="30" t="str">
        <f t="shared" si="161"/>
        <v/>
      </c>
      <c r="AB238" s="30" t="str">
        <f t="shared" si="162"/>
        <v/>
      </c>
      <c r="AC238" s="30" t="str">
        <f t="shared" si="163"/>
        <v/>
      </c>
      <c r="AD238" s="30" t="str">
        <f t="shared" si="164"/>
        <v/>
      </c>
      <c r="AE238" s="30" t="str">
        <f t="shared" si="165"/>
        <v/>
      </c>
      <c r="AF238" s="30" t="str">
        <f t="shared" si="166"/>
        <v/>
      </c>
      <c r="AG238" s="30" t="str">
        <f t="shared" si="167"/>
        <v/>
      </c>
      <c r="AH238" s="30" t="str">
        <f t="shared" si="168"/>
        <v/>
      </c>
      <c r="AI238" s="30" t="str">
        <f t="shared" si="169"/>
        <v/>
      </c>
      <c r="AJ238" s="30" t="str">
        <f t="shared" si="170"/>
        <v/>
      </c>
      <c r="AK238" s="30" t="str">
        <f t="shared" si="171"/>
        <v/>
      </c>
      <c r="AL238" s="30" t="str">
        <f t="shared" si="172"/>
        <v/>
      </c>
      <c r="AM238" s="30" t="str">
        <f t="shared" si="173"/>
        <v/>
      </c>
      <c r="AN238" s="30" t="str">
        <f t="shared" si="174"/>
        <v/>
      </c>
      <c r="AO238" s="30" t="str">
        <f t="shared" si="175"/>
        <v/>
      </c>
      <c r="AP238" s="30" t="str">
        <f t="shared" si="176"/>
        <v/>
      </c>
      <c r="AQ238" s="30" t="str">
        <f t="shared" si="177"/>
        <v/>
      </c>
      <c r="AR238" s="30" t="str">
        <f t="shared" si="178"/>
        <v/>
      </c>
      <c r="AS238" s="30" t="str">
        <f t="shared" si="179"/>
        <v/>
      </c>
      <c r="AT238" t="str">
        <f t="shared" si="180"/>
        <v/>
      </c>
      <c r="AU238" t="str">
        <f t="shared" si="181"/>
        <v/>
      </c>
    </row>
    <row r="239" spans="10:47" x14ac:dyDescent="0.25">
      <c r="J239" s="37" t="str">
        <f t="shared" si="153"/>
        <v/>
      </c>
      <c r="S239" s="30" t="str">
        <f t="shared" si="154"/>
        <v/>
      </c>
      <c r="T239" s="6" t="str">
        <f>IF($D239="Villa Elena",COUNTIF($D$3:$D239,"Villa Elena"),"")</f>
        <v/>
      </c>
      <c r="U239" s="30" t="str">
        <f t="shared" si="155"/>
        <v/>
      </c>
      <c r="V239" s="30" t="str">
        <f t="shared" si="156"/>
        <v/>
      </c>
      <c r="W239" s="30" t="str">
        <f t="shared" si="157"/>
        <v/>
      </c>
      <c r="X239" s="30" t="str">
        <f t="shared" si="158"/>
        <v/>
      </c>
      <c r="Y239" s="30" t="str">
        <f t="shared" si="159"/>
        <v/>
      </c>
      <c r="Z239" s="30" t="str">
        <f t="shared" si="160"/>
        <v/>
      </c>
      <c r="AA239" s="30" t="str">
        <f t="shared" si="161"/>
        <v/>
      </c>
      <c r="AB239" s="30" t="str">
        <f t="shared" si="162"/>
        <v/>
      </c>
      <c r="AC239" s="30" t="str">
        <f t="shared" si="163"/>
        <v/>
      </c>
      <c r="AD239" s="30" t="str">
        <f t="shared" si="164"/>
        <v/>
      </c>
      <c r="AE239" s="30" t="str">
        <f t="shared" si="165"/>
        <v/>
      </c>
      <c r="AF239" s="30" t="str">
        <f t="shared" si="166"/>
        <v/>
      </c>
      <c r="AG239" s="30" t="str">
        <f t="shared" si="167"/>
        <v/>
      </c>
      <c r="AH239" s="30" t="str">
        <f t="shared" si="168"/>
        <v/>
      </c>
      <c r="AI239" s="30" t="str">
        <f t="shared" si="169"/>
        <v/>
      </c>
      <c r="AJ239" s="30" t="str">
        <f t="shared" si="170"/>
        <v/>
      </c>
      <c r="AK239" s="30" t="str">
        <f t="shared" si="171"/>
        <v/>
      </c>
      <c r="AL239" s="30" t="str">
        <f t="shared" si="172"/>
        <v/>
      </c>
      <c r="AM239" s="30" t="str">
        <f t="shared" si="173"/>
        <v/>
      </c>
      <c r="AN239" s="30" t="str">
        <f t="shared" si="174"/>
        <v/>
      </c>
      <c r="AO239" s="30" t="str">
        <f t="shared" si="175"/>
        <v/>
      </c>
      <c r="AP239" s="30" t="str">
        <f t="shared" si="176"/>
        <v/>
      </c>
      <c r="AQ239" s="30" t="str">
        <f t="shared" si="177"/>
        <v/>
      </c>
      <c r="AR239" s="30" t="str">
        <f t="shared" si="178"/>
        <v/>
      </c>
      <c r="AS239" s="30" t="str">
        <f t="shared" si="179"/>
        <v/>
      </c>
      <c r="AT239" t="str">
        <f t="shared" si="180"/>
        <v/>
      </c>
      <c r="AU239" t="str">
        <f t="shared" si="181"/>
        <v/>
      </c>
    </row>
    <row r="240" spans="10:47" x14ac:dyDescent="0.25">
      <c r="J240" s="37" t="str">
        <f t="shared" si="153"/>
        <v/>
      </c>
      <c r="S240" s="30" t="str">
        <f t="shared" si="154"/>
        <v/>
      </c>
      <c r="T240" s="6" t="str">
        <f>IF($D240="Villa Elena",COUNTIF($D$3:$D240,"Villa Elena"),"")</f>
        <v/>
      </c>
      <c r="U240" s="30" t="str">
        <f t="shared" si="155"/>
        <v/>
      </c>
      <c r="V240" s="30" t="str">
        <f t="shared" si="156"/>
        <v/>
      </c>
      <c r="W240" s="30" t="str">
        <f t="shared" si="157"/>
        <v/>
      </c>
      <c r="X240" s="30" t="str">
        <f t="shared" si="158"/>
        <v/>
      </c>
      <c r="Y240" s="30" t="str">
        <f t="shared" si="159"/>
        <v/>
      </c>
      <c r="Z240" s="30" t="str">
        <f t="shared" si="160"/>
        <v/>
      </c>
      <c r="AA240" s="30" t="str">
        <f t="shared" si="161"/>
        <v/>
      </c>
      <c r="AB240" s="30" t="str">
        <f t="shared" si="162"/>
        <v/>
      </c>
      <c r="AC240" s="30" t="str">
        <f t="shared" si="163"/>
        <v/>
      </c>
      <c r="AD240" s="30" t="str">
        <f t="shared" si="164"/>
        <v/>
      </c>
      <c r="AE240" s="30" t="str">
        <f t="shared" si="165"/>
        <v/>
      </c>
      <c r="AF240" s="30" t="str">
        <f t="shared" si="166"/>
        <v/>
      </c>
      <c r="AG240" s="30" t="str">
        <f t="shared" si="167"/>
        <v/>
      </c>
      <c r="AH240" s="30" t="str">
        <f t="shared" si="168"/>
        <v/>
      </c>
      <c r="AI240" s="30" t="str">
        <f t="shared" si="169"/>
        <v/>
      </c>
      <c r="AJ240" s="30" t="str">
        <f t="shared" si="170"/>
        <v/>
      </c>
      <c r="AK240" s="30" t="str">
        <f t="shared" si="171"/>
        <v/>
      </c>
      <c r="AL240" s="30" t="str">
        <f t="shared" si="172"/>
        <v/>
      </c>
      <c r="AM240" s="30" t="str">
        <f t="shared" si="173"/>
        <v/>
      </c>
      <c r="AN240" s="30" t="str">
        <f t="shared" si="174"/>
        <v/>
      </c>
      <c r="AO240" s="30" t="str">
        <f t="shared" si="175"/>
        <v/>
      </c>
      <c r="AP240" s="30" t="str">
        <f t="shared" si="176"/>
        <v/>
      </c>
      <c r="AQ240" s="30" t="str">
        <f t="shared" si="177"/>
        <v/>
      </c>
      <c r="AR240" s="30" t="str">
        <f t="shared" si="178"/>
        <v/>
      </c>
      <c r="AS240" s="30" t="str">
        <f t="shared" si="179"/>
        <v/>
      </c>
      <c r="AT240" t="str">
        <f t="shared" si="180"/>
        <v/>
      </c>
      <c r="AU240" t="str">
        <f t="shared" si="181"/>
        <v/>
      </c>
    </row>
    <row r="241" spans="10:47" x14ac:dyDescent="0.25">
      <c r="J241" s="37" t="str">
        <f t="shared" si="153"/>
        <v/>
      </c>
      <c r="S241" s="30" t="str">
        <f t="shared" si="154"/>
        <v/>
      </c>
      <c r="T241" s="6" t="str">
        <f>IF($D241="Villa Elena",COUNTIF($D$3:$D241,"Villa Elena"),"")</f>
        <v/>
      </c>
      <c r="U241" s="30" t="str">
        <f t="shared" si="155"/>
        <v/>
      </c>
      <c r="V241" s="30" t="str">
        <f t="shared" si="156"/>
        <v/>
      </c>
      <c r="W241" s="30" t="str">
        <f t="shared" si="157"/>
        <v/>
      </c>
      <c r="X241" s="30" t="str">
        <f t="shared" si="158"/>
        <v/>
      </c>
      <c r="Y241" s="30" t="str">
        <f t="shared" si="159"/>
        <v/>
      </c>
      <c r="Z241" s="30" t="str">
        <f t="shared" si="160"/>
        <v/>
      </c>
      <c r="AA241" s="30" t="str">
        <f t="shared" si="161"/>
        <v/>
      </c>
      <c r="AB241" s="30" t="str">
        <f t="shared" si="162"/>
        <v/>
      </c>
      <c r="AC241" s="30" t="str">
        <f t="shared" si="163"/>
        <v/>
      </c>
      <c r="AD241" s="30" t="str">
        <f t="shared" si="164"/>
        <v/>
      </c>
      <c r="AE241" s="30" t="str">
        <f t="shared" si="165"/>
        <v/>
      </c>
      <c r="AF241" s="30" t="str">
        <f t="shared" si="166"/>
        <v/>
      </c>
      <c r="AG241" s="30" t="str">
        <f t="shared" si="167"/>
        <v/>
      </c>
      <c r="AH241" s="30" t="str">
        <f t="shared" si="168"/>
        <v/>
      </c>
      <c r="AI241" s="30" t="str">
        <f t="shared" si="169"/>
        <v/>
      </c>
      <c r="AJ241" s="30" t="str">
        <f t="shared" si="170"/>
        <v/>
      </c>
      <c r="AK241" s="30" t="str">
        <f t="shared" si="171"/>
        <v/>
      </c>
      <c r="AL241" s="30" t="str">
        <f t="shared" si="172"/>
        <v/>
      </c>
      <c r="AM241" s="30" t="str">
        <f t="shared" si="173"/>
        <v/>
      </c>
      <c r="AN241" s="30" t="str">
        <f t="shared" si="174"/>
        <v/>
      </c>
      <c r="AO241" s="30" t="str">
        <f t="shared" si="175"/>
        <v/>
      </c>
      <c r="AP241" s="30" t="str">
        <f t="shared" si="176"/>
        <v/>
      </c>
      <c r="AQ241" s="30" t="str">
        <f t="shared" si="177"/>
        <v/>
      </c>
      <c r="AR241" s="30" t="str">
        <f t="shared" si="178"/>
        <v/>
      </c>
      <c r="AS241" s="30" t="str">
        <f t="shared" si="179"/>
        <v/>
      </c>
      <c r="AT241" t="str">
        <f t="shared" si="180"/>
        <v/>
      </c>
      <c r="AU241" t="str">
        <f t="shared" si="181"/>
        <v/>
      </c>
    </row>
    <row r="242" spans="10:47" x14ac:dyDescent="0.25">
      <c r="J242" s="37" t="str">
        <f t="shared" si="153"/>
        <v/>
      </c>
      <c r="S242" s="30" t="str">
        <f t="shared" si="154"/>
        <v/>
      </c>
      <c r="T242" s="6" t="str">
        <f>IF($D242="Villa Elena",COUNTIF($D$3:$D242,"Villa Elena"),"")</f>
        <v/>
      </c>
      <c r="U242" s="30" t="str">
        <f t="shared" si="155"/>
        <v/>
      </c>
      <c r="V242" s="30" t="str">
        <f t="shared" si="156"/>
        <v/>
      </c>
      <c r="W242" s="30" t="str">
        <f t="shared" si="157"/>
        <v/>
      </c>
      <c r="X242" s="30" t="str">
        <f t="shared" si="158"/>
        <v/>
      </c>
      <c r="Y242" s="30" t="str">
        <f t="shared" si="159"/>
        <v/>
      </c>
      <c r="Z242" s="30" t="str">
        <f t="shared" si="160"/>
        <v/>
      </c>
      <c r="AA242" s="30" t="str">
        <f t="shared" si="161"/>
        <v/>
      </c>
      <c r="AB242" s="30" t="str">
        <f t="shared" si="162"/>
        <v/>
      </c>
      <c r="AC242" s="30" t="str">
        <f t="shared" si="163"/>
        <v/>
      </c>
      <c r="AD242" s="30" t="str">
        <f t="shared" si="164"/>
        <v/>
      </c>
      <c r="AE242" s="30" t="str">
        <f t="shared" si="165"/>
        <v/>
      </c>
      <c r="AF242" s="30" t="str">
        <f t="shared" si="166"/>
        <v/>
      </c>
      <c r="AG242" s="30" t="str">
        <f t="shared" si="167"/>
        <v/>
      </c>
      <c r="AH242" s="30" t="str">
        <f t="shared" si="168"/>
        <v/>
      </c>
      <c r="AI242" s="30" t="str">
        <f t="shared" si="169"/>
        <v/>
      </c>
      <c r="AJ242" s="30" t="str">
        <f t="shared" si="170"/>
        <v/>
      </c>
      <c r="AK242" s="30" t="str">
        <f t="shared" si="171"/>
        <v/>
      </c>
      <c r="AL242" s="30" t="str">
        <f t="shared" si="172"/>
        <v/>
      </c>
      <c r="AM242" s="30" t="str">
        <f t="shared" si="173"/>
        <v/>
      </c>
      <c r="AN242" s="30" t="str">
        <f t="shared" si="174"/>
        <v/>
      </c>
      <c r="AO242" s="30" t="str">
        <f t="shared" si="175"/>
        <v/>
      </c>
      <c r="AP242" s="30" t="str">
        <f t="shared" si="176"/>
        <v/>
      </c>
      <c r="AQ242" s="30" t="str">
        <f t="shared" si="177"/>
        <v/>
      </c>
      <c r="AR242" s="30" t="str">
        <f t="shared" si="178"/>
        <v/>
      </c>
      <c r="AS242" s="30" t="str">
        <f t="shared" si="179"/>
        <v/>
      </c>
      <c r="AT242" t="str">
        <f t="shared" si="180"/>
        <v/>
      </c>
      <c r="AU242" t="str">
        <f t="shared" si="181"/>
        <v/>
      </c>
    </row>
    <row r="243" spans="10:47" x14ac:dyDescent="0.25">
      <c r="J243" s="37" t="str">
        <f t="shared" si="153"/>
        <v/>
      </c>
      <c r="S243" s="30" t="str">
        <f t="shared" si="154"/>
        <v/>
      </c>
      <c r="T243" s="6" t="str">
        <f>IF($D243="Villa Elena",COUNTIF($D$3:$D243,"Villa Elena"),"")</f>
        <v/>
      </c>
      <c r="U243" s="30" t="str">
        <f t="shared" si="155"/>
        <v/>
      </c>
      <c r="V243" s="30" t="str">
        <f t="shared" si="156"/>
        <v/>
      </c>
      <c r="W243" s="30" t="str">
        <f t="shared" si="157"/>
        <v/>
      </c>
      <c r="X243" s="30" t="str">
        <f t="shared" si="158"/>
        <v/>
      </c>
      <c r="Y243" s="30" t="str">
        <f t="shared" si="159"/>
        <v/>
      </c>
      <c r="Z243" s="30" t="str">
        <f t="shared" si="160"/>
        <v/>
      </c>
      <c r="AA243" s="30" t="str">
        <f t="shared" si="161"/>
        <v/>
      </c>
      <c r="AB243" s="30" t="str">
        <f t="shared" si="162"/>
        <v/>
      </c>
      <c r="AC243" s="30" t="str">
        <f t="shared" si="163"/>
        <v/>
      </c>
      <c r="AD243" s="30" t="str">
        <f t="shared" si="164"/>
        <v/>
      </c>
      <c r="AE243" s="30" t="str">
        <f t="shared" si="165"/>
        <v/>
      </c>
      <c r="AF243" s="30" t="str">
        <f t="shared" si="166"/>
        <v/>
      </c>
      <c r="AG243" s="30" t="str">
        <f t="shared" si="167"/>
        <v/>
      </c>
      <c r="AH243" s="30" t="str">
        <f t="shared" si="168"/>
        <v/>
      </c>
      <c r="AI243" s="30" t="str">
        <f t="shared" si="169"/>
        <v/>
      </c>
      <c r="AJ243" s="30" t="str">
        <f t="shared" si="170"/>
        <v/>
      </c>
      <c r="AK243" s="30" t="str">
        <f t="shared" si="171"/>
        <v/>
      </c>
      <c r="AL243" s="30" t="str">
        <f t="shared" si="172"/>
        <v/>
      </c>
      <c r="AM243" s="30" t="str">
        <f t="shared" si="173"/>
        <v/>
      </c>
      <c r="AN243" s="30" t="str">
        <f t="shared" si="174"/>
        <v/>
      </c>
      <c r="AO243" s="30" t="str">
        <f t="shared" si="175"/>
        <v/>
      </c>
      <c r="AP243" s="30" t="str">
        <f t="shared" si="176"/>
        <v/>
      </c>
      <c r="AQ243" s="30" t="str">
        <f t="shared" si="177"/>
        <v/>
      </c>
      <c r="AR243" s="30" t="str">
        <f t="shared" si="178"/>
        <v/>
      </c>
      <c r="AS243" s="30" t="str">
        <f t="shared" si="179"/>
        <v/>
      </c>
      <c r="AT243" t="str">
        <f t="shared" si="180"/>
        <v/>
      </c>
      <c r="AU243" t="str">
        <f t="shared" si="181"/>
        <v/>
      </c>
    </row>
    <row r="244" spans="10:47" x14ac:dyDescent="0.25">
      <c r="J244" s="37" t="str">
        <f t="shared" si="153"/>
        <v/>
      </c>
      <c r="S244" s="30" t="str">
        <f t="shared" si="154"/>
        <v/>
      </c>
      <c r="T244" s="6" t="str">
        <f>IF($D244="Villa Elena",COUNTIF($D$3:$D244,"Villa Elena"),"")</f>
        <v/>
      </c>
      <c r="U244" s="30" t="str">
        <f t="shared" si="155"/>
        <v/>
      </c>
      <c r="V244" s="30" t="str">
        <f t="shared" si="156"/>
        <v/>
      </c>
      <c r="W244" s="30" t="str">
        <f t="shared" si="157"/>
        <v/>
      </c>
      <c r="X244" s="30" t="str">
        <f t="shared" si="158"/>
        <v/>
      </c>
      <c r="Y244" s="30" t="str">
        <f t="shared" si="159"/>
        <v/>
      </c>
      <c r="Z244" s="30" t="str">
        <f t="shared" si="160"/>
        <v/>
      </c>
      <c r="AA244" s="30" t="str">
        <f t="shared" si="161"/>
        <v/>
      </c>
      <c r="AB244" s="30" t="str">
        <f t="shared" si="162"/>
        <v/>
      </c>
      <c r="AC244" s="30" t="str">
        <f t="shared" si="163"/>
        <v/>
      </c>
      <c r="AD244" s="30" t="str">
        <f t="shared" si="164"/>
        <v/>
      </c>
      <c r="AE244" s="30" t="str">
        <f t="shared" si="165"/>
        <v/>
      </c>
      <c r="AF244" s="30" t="str">
        <f t="shared" si="166"/>
        <v/>
      </c>
      <c r="AG244" s="30" t="str">
        <f t="shared" si="167"/>
        <v/>
      </c>
      <c r="AH244" s="30" t="str">
        <f t="shared" si="168"/>
        <v/>
      </c>
      <c r="AI244" s="30" t="str">
        <f t="shared" si="169"/>
        <v/>
      </c>
      <c r="AJ244" s="30" t="str">
        <f t="shared" si="170"/>
        <v/>
      </c>
      <c r="AK244" s="30" t="str">
        <f t="shared" si="171"/>
        <v/>
      </c>
      <c r="AL244" s="30" t="str">
        <f t="shared" si="172"/>
        <v/>
      </c>
      <c r="AM244" s="30" t="str">
        <f t="shared" si="173"/>
        <v/>
      </c>
      <c r="AN244" s="30" t="str">
        <f t="shared" si="174"/>
        <v/>
      </c>
      <c r="AO244" s="30" t="str">
        <f t="shared" si="175"/>
        <v/>
      </c>
      <c r="AP244" s="30" t="str">
        <f t="shared" si="176"/>
        <v/>
      </c>
      <c r="AQ244" s="30" t="str">
        <f t="shared" si="177"/>
        <v/>
      </c>
      <c r="AR244" s="30" t="str">
        <f t="shared" si="178"/>
        <v/>
      </c>
      <c r="AS244" s="30" t="str">
        <f t="shared" si="179"/>
        <v/>
      </c>
      <c r="AT244" t="str">
        <f t="shared" si="180"/>
        <v/>
      </c>
      <c r="AU244" t="str">
        <f t="shared" si="181"/>
        <v/>
      </c>
    </row>
    <row r="245" spans="10:47" x14ac:dyDescent="0.25">
      <c r="J245" s="37" t="str">
        <f t="shared" si="153"/>
        <v/>
      </c>
      <c r="S245" s="30" t="str">
        <f t="shared" si="154"/>
        <v/>
      </c>
      <c r="T245" s="6" t="str">
        <f>IF($D245="Villa Elena",COUNTIF($D$3:$D245,"Villa Elena"),"")</f>
        <v/>
      </c>
      <c r="U245" s="30" t="str">
        <f t="shared" si="155"/>
        <v/>
      </c>
      <c r="V245" s="30" t="str">
        <f t="shared" si="156"/>
        <v/>
      </c>
      <c r="W245" s="30" t="str">
        <f t="shared" si="157"/>
        <v/>
      </c>
      <c r="X245" s="30" t="str">
        <f t="shared" si="158"/>
        <v/>
      </c>
      <c r="Y245" s="30" t="str">
        <f t="shared" si="159"/>
        <v/>
      </c>
      <c r="Z245" s="30" t="str">
        <f t="shared" si="160"/>
        <v/>
      </c>
      <c r="AA245" s="30" t="str">
        <f t="shared" si="161"/>
        <v/>
      </c>
      <c r="AB245" s="30" t="str">
        <f t="shared" si="162"/>
        <v/>
      </c>
      <c r="AC245" s="30" t="str">
        <f t="shared" si="163"/>
        <v/>
      </c>
      <c r="AD245" s="30" t="str">
        <f t="shared" si="164"/>
        <v/>
      </c>
      <c r="AE245" s="30" t="str">
        <f t="shared" si="165"/>
        <v/>
      </c>
      <c r="AF245" s="30" t="str">
        <f t="shared" si="166"/>
        <v/>
      </c>
      <c r="AG245" s="30" t="str">
        <f t="shared" si="167"/>
        <v/>
      </c>
      <c r="AH245" s="30" t="str">
        <f t="shared" si="168"/>
        <v/>
      </c>
      <c r="AI245" s="30" t="str">
        <f t="shared" si="169"/>
        <v/>
      </c>
      <c r="AJ245" s="30" t="str">
        <f t="shared" si="170"/>
        <v/>
      </c>
      <c r="AK245" s="30" t="str">
        <f t="shared" si="171"/>
        <v/>
      </c>
      <c r="AL245" s="30" t="str">
        <f t="shared" si="172"/>
        <v/>
      </c>
      <c r="AM245" s="30" t="str">
        <f t="shared" si="173"/>
        <v/>
      </c>
      <c r="AN245" s="30" t="str">
        <f t="shared" si="174"/>
        <v/>
      </c>
      <c r="AO245" s="30" t="str">
        <f t="shared" si="175"/>
        <v/>
      </c>
      <c r="AP245" s="30" t="str">
        <f t="shared" si="176"/>
        <v/>
      </c>
      <c r="AQ245" s="30" t="str">
        <f t="shared" si="177"/>
        <v/>
      </c>
      <c r="AR245" s="30" t="str">
        <f t="shared" si="178"/>
        <v/>
      </c>
      <c r="AS245" s="30" t="str">
        <f t="shared" si="179"/>
        <v/>
      </c>
      <c r="AT245" t="str">
        <f t="shared" si="180"/>
        <v/>
      </c>
      <c r="AU245" t="str">
        <f t="shared" si="181"/>
        <v/>
      </c>
    </row>
    <row r="246" spans="10:47" x14ac:dyDescent="0.25">
      <c r="J246" s="37" t="str">
        <f t="shared" si="153"/>
        <v/>
      </c>
      <c r="S246" s="30" t="str">
        <f t="shared" si="154"/>
        <v/>
      </c>
      <c r="T246" s="6" t="str">
        <f>IF($D246="Villa Elena",COUNTIF($D$3:$D246,"Villa Elena"),"")</f>
        <v/>
      </c>
      <c r="U246" s="30" t="str">
        <f t="shared" si="155"/>
        <v/>
      </c>
      <c r="V246" s="30" t="str">
        <f t="shared" si="156"/>
        <v/>
      </c>
      <c r="W246" s="30" t="str">
        <f t="shared" si="157"/>
        <v/>
      </c>
      <c r="X246" s="30" t="str">
        <f t="shared" si="158"/>
        <v/>
      </c>
      <c r="Y246" s="30" t="str">
        <f t="shared" si="159"/>
        <v/>
      </c>
      <c r="Z246" s="30" t="str">
        <f t="shared" si="160"/>
        <v/>
      </c>
      <c r="AA246" s="30" t="str">
        <f t="shared" si="161"/>
        <v/>
      </c>
      <c r="AB246" s="30" t="str">
        <f t="shared" si="162"/>
        <v/>
      </c>
      <c r="AC246" s="30" t="str">
        <f t="shared" si="163"/>
        <v/>
      </c>
      <c r="AD246" s="30" t="str">
        <f t="shared" si="164"/>
        <v/>
      </c>
      <c r="AE246" s="30" t="str">
        <f t="shared" si="165"/>
        <v/>
      </c>
      <c r="AF246" s="30" t="str">
        <f t="shared" si="166"/>
        <v/>
      </c>
      <c r="AG246" s="30" t="str">
        <f t="shared" si="167"/>
        <v/>
      </c>
      <c r="AH246" s="30" t="str">
        <f t="shared" si="168"/>
        <v/>
      </c>
      <c r="AI246" s="30" t="str">
        <f t="shared" si="169"/>
        <v/>
      </c>
      <c r="AJ246" s="30" t="str">
        <f t="shared" si="170"/>
        <v/>
      </c>
      <c r="AK246" s="30" t="str">
        <f t="shared" si="171"/>
        <v/>
      </c>
      <c r="AL246" s="30" t="str">
        <f t="shared" si="172"/>
        <v/>
      </c>
      <c r="AM246" s="30" t="str">
        <f t="shared" si="173"/>
        <v/>
      </c>
      <c r="AN246" s="30" t="str">
        <f t="shared" si="174"/>
        <v/>
      </c>
      <c r="AO246" s="30" t="str">
        <f t="shared" si="175"/>
        <v/>
      </c>
      <c r="AP246" s="30" t="str">
        <f t="shared" si="176"/>
        <v/>
      </c>
      <c r="AQ246" s="30" t="str">
        <f t="shared" si="177"/>
        <v/>
      </c>
      <c r="AR246" s="30" t="str">
        <f t="shared" si="178"/>
        <v/>
      </c>
      <c r="AS246" s="30" t="str">
        <f t="shared" si="179"/>
        <v/>
      </c>
      <c r="AT246" t="str">
        <f t="shared" si="180"/>
        <v/>
      </c>
      <c r="AU246" t="str">
        <f t="shared" si="181"/>
        <v/>
      </c>
    </row>
    <row r="247" spans="10:47" x14ac:dyDescent="0.25">
      <c r="J247" s="37" t="str">
        <f t="shared" si="153"/>
        <v/>
      </c>
      <c r="S247" s="30" t="str">
        <f t="shared" si="154"/>
        <v/>
      </c>
      <c r="T247" s="6" t="str">
        <f>IF($D247="Villa Elena",COUNTIF($D$3:$D247,"Villa Elena"),"")</f>
        <v/>
      </c>
      <c r="U247" s="30" t="str">
        <f t="shared" si="155"/>
        <v/>
      </c>
      <c r="V247" s="30" t="str">
        <f t="shared" si="156"/>
        <v/>
      </c>
      <c r="W247" s="30" t="str">
        <f t="shared" si="157"/>
        <v/>
      </c>
      <c r="X247" s="30" t="str">
        <f t="shared" si="158"/>
        <v/>
      </c>
      <c r="Y247" s="30" t="str">
        <f t="shared" si="159"/>
        <v/>
      </c>
      <c r="Z247" s="30" t="str">
        <f t="shared" si="160"/>
        <v/>
      </c>
      <c r="AA247" s="30" t="str">
        <f t="shared" si="161"/>
        <v/>
      </c>
      <c r="AB247" s="30" t="str">
        <f t="shared" si="162"/>
        <v/>
      </c>
      <c r="AC247" s="30" t="str">
        <f t="shared" si="163"/>
        <v/>
      </c>
      <c r="AD247" s="30" t="str">
        <f t="shared" si="164"/>
        <v/>
      </c>
      <c r="AE247" s="30" t="str">
        <f t="shared" si="165"/>
        <v/>
      </c>
      <c r="AF247" s="30" t="str">
        <f t="shared" si="166"/>
        <v/>
      </c>
      <c r="AG247" s="30" t="str">
        <f t="shared" si="167"/>
        <v/>
      </c>
      <c r="AH247" s="30" t="str">
        <f t="shared" si="168"/>
        <v/>
      </c>
      <c r="AI247" s="30" t="str">
        <f t="shared" si="169"/>
        <v/>
      </c>
      <c r="AJ247" s="30" t="str">
        <f t="shared" si="170"/>
        <v/>
      </c>
      <c r="AK247" s="30" t="str">
        <f t="shared" si="171"/>
        <v/>
      </c>
      <c r="AL247" s="30" t="str">
        <f t="shared" si="172"/>
        <v/>
      </c>
      <c r="AM247" s="30" t="str">
        <f t="shared" si="173"/>
        <v/>
      </c>
      <c r="AN247" s="30" t="str">
        <f t="shared" si="174"/>
        <v/>
      </c>
      <c r="AO247" s="30" t="str">
        <f t="shared" si="175"/>
        <v/>
      </c>
      <c r="AP247" s="30" t="str">
        <f t="shared" si="176"/>
        <v/>
      </c>
      <c r="AQ247" s="30" t="str">
        <f t="shared" si="177"/>
        <v/>
      </c>
      <c r="AR247" s="30" t="str">
        <f t="shared" si="178"/>
        <v/>
      </c>
      <c r="AS247" s="30" t="str">
        <f t="shared" si="179"/>
        <v/>
      </c>
      <c r="AT247" t="str">
        <f t="shared" si="180"/>
        <v/>
      </c>
      <c r="AU247" t="str">
        <f t="shared" si="181"/>
        <v/>
      </c>
    </row>
    <row r="248" spans="10:47" x14ac:dyDescent="0.25">
      <c r="J248" s="37" t="str">
        <f t="shared" si="153"/>
        <v/>
      </c>
      <c r="S248" s="30" t="str">
        <f t="shared" si="154"/>
        <v/>
      </c>
      <c r="T248" s="6" t="str">
        <f>IF($D248="Villa Elena",COUNTIF($D$3:$D248,"Villa Elena"),"")</f>
        <v/>
      </c>
      <c r="U248" s="30" t="str">
        <f t="shared" si="155"/>
        <v/>
      </c>
      <c r="V248" s="30" t="str">
        <f t="shared" si="156"/>
        <v/>
      </c>
      <c r="W248" s="30" t="str">
        <f t="shared" si="157"/>
        <v/>
      </c>
      <c r="X248" s="30" t="str">
        <f t="shared" si="158"/>
        <v/>
      </c>
      <c r="Y248" s="30" t="str">
        <f t="shared" si="159"/>
        <v/>
      </c>
      <c r="Z248" s="30" t="str">
        <f t="shared" si="160"/>
        <v/>
      </c>
      <c r="AA248" s="30" t="str">
        <f t="shared" si="161"/>
        <v/>
      </c>
      <c r="AB248" s="30" t="str">
        <f t="shared" si="162"/>
        <v/>
      </c>
      <c r="AC248" s="30" t="str">
        <f t="shared" si="163"/>
        <v/>
      </c>
      <c r="AD248" s="30" t="str">
        <f t="shared" si="164"/>
        <v/>
      </c>
      <c r="AE248" s="30" t="str">
        <f t="shared" si="165"/>
        <v/>
      </c>
      <c r="AF248" s="30" t="str">
        <f t="shared" si="166"/>
        <v/>
      </c>
      <c r="AG248" s="30" t="str">
        <f t="shared" si="167"/>
        <v/>
      </c>
      <c r="AH248" s="30" t="str">
        <f t="shared" si="168"/>
        <v/>
      </c>
      <c r="AI248" s="30" t="str">
        <f t="shared" si="169"/>
        <v/>
      </c>
      <c r="AJ248" s="30" t="str">
        <f t="shared" si="170"/>
        <v/>
      </c>
      <c r="AK248" s="30" t="str">
        <f t="shared" si="171"/>
        <v/>
      </c>
      <c r="AL248" s="30" t="str">
        <f t="shared" si="172"/>
        <v/>
      </c>
      <c r="AM248" s="30" t="str">
        <f t="shared" si="173"/>
        <v/>
      </c>
      <c r="AN248" s="30" t="str">
        <f t="shared" si="174"/>
        <v/>
      </c>
      <c r="AO248" s="30" t="str">
        <f t="shared" si="175"/>
        <v/>
      </c>
      <c r="AP248" s="30" t="str">
        <f t="shared" si="176"/>
        <v/>
      </c>
      <c r="AQ248" s="30" t="str">
        <f t="shared" si="177"/>
        <v/>
      </c>
      <c r="AR248" s="30" t="str">
        <f t="shared" si="178"/>
        <v/>
      </c>
      <c r="AS248" s="30" t="str">
        <f t="shared" si="179"/>
        <v/>
      </c>
      <c r="AT248" t="str">
        <f t="shared" si="180"/>
        <v/>
      </c>
      <c r="AU248" t="str">
        <f t="shared" si="181"/>
        <v/>
      </c>
    </row>
    <row r="249" spans="10:47" x14ac:dyDescent="0.25">
      <c r="J249" s="37" t="str">
        <f t="shared" si="153"/>
        <v/>
      </c>
      <c r="S249" s="30" t="str">
        <f t="shared" si="154"/>
        <v/>
      </c>
      <c r="T249" s="6" t="str">
        <f>IF($D249="Villa Elena",COUNTIF($D$3:$D249,"Villa Elena"),"")</f>
        <v/>
      </c>
      <c r="U249" s="30" t="str">
        <f t="shared" si="155"/>
        <v/>
      </c>
      <c r="V249" s="30" t="str">
        <f t="shared" si="156"/>
        <v/>
      </c>
      <c r="W249" s="30" t="str">
        <f t="shared" si="157"/>
        <v/>
      </c>
      <c r="X249" s="30" t="str">
        <f t="shared" si="158"/>
        <v/>
      </c>
      <c r="Y249" s="30" t="str">
        <f t="shared" si="159"/>
        <v/>
      </c>
      <c r="Z249" s="30" t="str">
        <f t="shared" si="160"/>
        <v/>
      </c>
      <c r="AA249" s="30" t="str">
        <f t="shared" si="161"/>
        <v/>
      </c>
      <c r="AB249" s="30" t="str">
        <f t="shared" si="162"/>
        <v/>
      </c>
      <c r="AC249" s="30" t="str">
        <f t="shared" si="163"/>
        <v/>
      </c>
      <c r="AD249" s="30" t="str">
        <f t="shared" si="164"/>
        <v/>
      </c>
      <c r="AE249" s="30" t="str">
        <f t="shared" si="165"/>
        <v/>
      </c>
      <c r="AF249" s="30" t="str">
        <f t="shared" si="166"/>
        <v/>
      </c>
      <c r="AG249" s="30" t="str">
        <f t="shared" si="167"/>
        <v/>
      </c>
      <c r="AH249" s="30" t="str">
        <f t="shared" si="168"/>
        <v/>
      </c>
      <c r="AI249" s="30" t="str">
        <f t="shared" si="169"/>
        <v/>
      </c>
      <c r="AJ249" s="30" t="str">
        <f t="shared" si="170"/>
        <v/>
      </c>
      <c r="AK249" s="30" t="str">
        <f t="shared" si="171"/>
        <v/>
      </c>
      <c r="AL249" s="30" t="str">
        <f t="shared" si="172"/>
        <v/>
      </c>
      <c r="AM249" s="30" t="str">
        <f t="shared" si="173"/>
        <v/>
      </c>
      <c r="AN249" s="30" t="str">
        <f t="shared" si="174"/>
        <v/>
      </c>
      <c r="AO249" s="30" t="str">
        <f t="shared" si="175"/>
        <v/>
      </c>
      <c r="AP249" s="30" t="str">
        <f t="shared" si="176"/>
        <v/>
      </c>
      <c r="AQ249" s="30" t="str">
        <f t="shared" si="177"/>
        <v/>
      </c>
      <c r="AR249" s="30" t="str">
        <f t="shared" si="178"/>
        <v/>
      </c>
      <c r="AS249" s="30" t="str">
        <f t="shared" si="179"/>
        <v/>
      </c>
      <c r="AT249" t="str">
        <f t="shared" si="180"/>
        <v/>
      </c>
      <c r="AU249" t="str">
        <f t="shared" si="181"/>
        <v/>
      </c>
    </row>
    <row r="250" spans="10:47" x14ac:dyDescent="0.25">
      <c r="J250" s="37" t="str">
        <f t="shared" si="153"/>
        <v/>
      </c>
      <c r="S250" s="30" t="str">
        <f t="shared" si="154"/>
        <v/>
      </c>
      <c r="T250" s="6" t="str">
        <f>IF($D250="Villa Elena",COUNTIF($D$3:$D250,"Villa Elena"),"")</f>
        <v/>
      </c>
      <c r="U250" s="30" t="str">
        <f t="shared" si="155"/>
        <v/>
      </c>
      <c r="V250" s="30" t="str">
        <f t="shared" si="156"/>
        <v/>
      </c>
      <c r="W250" s="30" t="str">
        <f t="shared" si="157"/>
        <v/>
      </c>
      <c r="X250" s="30" t="str">
        <f t="shared" si="158"/>
        <v/>
      </c>
      <c r="Y250" s="30" t="str">
        <f t="shared" si="159"/>
        <v/>
      </c>
      <c r="Z250" s="30" t="str">
        <f t="shared" si="160"/>
        <v/>
      </c>
      <c r="AA250" s="30" t="str">
        <f t="shared" si="161"/>
        <v/>
      </c>
      <c r="AB250" s="30" t="str">
        <f t="shared" si="162"/>
        <v/>
      </c>
      <c r="AC250" s="30" t="str">
        <f t="shared" si="163"/>
        <v/>
      </c>
      <c r="AD250" s="30" t="str">
        <f t="shared" si="164"/>
        <v/>
      </c>
      <c r="AE250" s="30" t="str">
        <f t="shared" si="165"/>
        <v/>
      </c>
      <c r="AF250" s="30" t="str">
        <f t="shared" si="166"/>
        <v/>
      </c>
      <c r="AG250" s="30" t="str">
        <f t="shared" si="167"/>
        <v/>
      </c>
      <c r="AH250" s="30" t="str">
        <f t="shared" si="168"/>
        <v/>
      </c>
      <c r="AI250" s="30" t="str">
        <f t="shared" si="169"/>
        <v/>
      </c>
      <c r="AJ250" s="30" t="str">
        <f t="shared" si="170"/>
        <v/>
      </c>
      <c r="AK250" s="30" t="str">
        <f t="shared" si="171"/>
        <v/>
      </c>
      <c r="AL250" s="30" t="str">
        <f t="shared" si="172"/>
        <v/>
      </c>
      <c r="AM250" s="30" t="str">
        <f t="shared" si="173"/>
        <v/>
      </c>
      <c r="AN250" s="30" t="str">
        <f t="shared" si="174"/>
        <v/>
      </c>
      <c r="AO250" s="30" t="str">
        <f t="shared" si="175"/>
        <v/>
      </c>
      <c r="AP250" s="30" t="str">
        <f t="shared" si="176"/>
        <v/>
      </c>
      <c r="AQ250" s="30" t="str">
        <f t="shared" si="177"/>
        <v/>
      </c>
      <c r="AR250" s="30" t="str">
        <f t="shared" si="178"/>
        <v/>
      </c>
      <c r="AS250" s="30" t="str">
        <f t="shared" si="179"/>
        <v/>
      </c>
      <c r="AT250" t="str">
        <f t="shared" si="180"/>
        <v/>
      </c>
      <c r="AU250" t="str">
        <f t="shared" si="181"/>
        <v/>
      </c>
    </row>
    <row r="251" spans="10:47" x14ac:dyDescent="0.25">
      <c r="J251" s="37" t="str">
        <f t="shared" si="153"/>
        <v/>
      </c>
      <c r="S251" s="30" t="str">
        <f t="shared" si="154"/>
        <v/>
      </c>
      <c r="T251" s="6" t="str">
        <f>IF($D251="Villa Elena",COUNTIF($D$3:$D251,"Villa Elena"),"")</f>
        <v/>
      </c>
      <c r="U251" s="30" t="str">
        <f t="shared" si="155"/>
        <v/>
      </c>
      <c r="V251" s="30" t="str">
        <f t="shared" si="156"/>
        <v/>
      </c>
      <c r="W251" s="30" t="str">
        <f t="shared" si="157"/>
        <v/>
      </c>
      <c r="X251" s="30" t="str">
        <f t="shared" si="158"/>
        <v/>
      </c>
      <c r="Y251" s="30" t="str">
        <f t="shared" si="159"/>
        <v/>
      </c>
      <c r="Z251" s="30" t="str">
        <f t="shared" si="160"/>
        <v/>
      </c>
      <c r="AA251" s="30" t="str">
        <f t="shared" si="161"/>
        <v/>
      </c>
      <c r="AB251" s="30" t="str">
        <f t="shared" si="162"/>
        <v/>
      </c>
      <c r="AC251" s="30" t="str">
        <f t="shared" si="163"/>
        <v/>
      </c>
      <c r="AD251" s="30" t="str">
        <f t="shared" si="164"/>
        <v/>
      </c>
      <c r="AE251" s="30" t="str">
        <f t="shared" si="165"/>
        <v/>
      </c>
      <c r="AF251" s="30" t="str">
        <f t="shared" si="166"/>
        <v/>
      </c>
      <c r="AG251" s="30" t="str">
        <f t="shared" si="167"/>
        <v/>
      </c>
      <c r="AH251" s="30" t="str">
        <f t="shared" si="168"/>
        <v/>
      </c>
      <c r="AI251" s="30" t="str">
        <f t="shared" si="169"/>
        <v/>
      </c>
      <c r="AJ251" s="30" t="str">
        <f t="shared" si="170"/>
        <v/>
      </c>
      <c r="AK251" s="30" t="str">
        <f t="shared" si="171"/>
        <v/>
      </c>
      <c r="AL251" s="30" t="str">
        <f t="shared" si="172"/>
        <v/>
      </c>
      <c r="AM251" s="30" t="str">
        <f t="shared" si="173"/>
        <v/>
      </c>
      <c r="AN251" s="30" t="str">
        <f t="shared" si="174"/>
        <v/>
      </c>
      <c r="AO251" s="30" t="str">
        <f t="shared" si="175"/>
        <v/>
      </c>
      <c r="AP251" s="30" t="str">
        <f t="shared" si="176"/>
        <v/>
      </c>
      <c r="AQ251" s="30" t="str">
        <f t="shared" si="177"/>
        <v/>
      </c>
      <c r="AR251" s="30" t="str">
        <f t="shared" si="178"/>
        <v/>
      </c>
      <c r="AS251" s="30" t="str">
        <f t="shared" si="179"/>
        <v/>
      </c>
      <c r="AT251" t="str">
        <f t="shared" si="180"/>
        <v/>
      </c>
      <c r="AU251" t="str">
        <f t="shared" si="181"/>
        <v/>
      </c>
    </row>
    <row r="252" spans="10:47" x14ac:dyDescent="0.25">
      <c r="J252" s="37" t="str">
        <f t="shared" si="153"/>
        <v/>
      </c>
      <c r="S252" s="30" t="str">
        <f t="shared" si="154"/>
        <v/>
      </c>
      <c r="T252" s="6" t="str">
        <f>IF($D252="Villa Elena",COUNTIF($D$3:$D252,"Villa Elena"),"")</f>
        <v/>
      </c>
      <c r="U252" s="30" t="str">
        <f t="shared" si="155"/>
        <v/>
      </c>
      <c r="V252" s="30" t="str">
        <f t="shared" si="156"/>
        <v/>
      </c>
      <c r="W252" s="30" t="str">
        <f t="shared" si="157"/>
        <v/>
      </c>
      <c r="X252" s="30" t="str">
        <f t="shared" si="158"/>
        <v/>
      </c>
      <c r="Y252" s="30" t="str">
        <f t="shared" si="159"/>
        <v/>
      </c>
      <c r="Z252" s="30" t="str">
        <f t="shared" si="160"/>
        <v/>
      </c>
      <c r="AA252" s="30" t="str">
        <f t="shared" si="161"/>
        <v/>
      </c>
      <c r="AB252" s="30" t="str">
        <f t="shared" si="162"/>
        <v/>
      </c>
      <c r="AC252" s="30" t="str">
        <f t="shared" si="163"/>
        <v/>
      </c>
      <c r="AD252" s="30" t="str">
        <f t="shared" si="164"/>
        <v/>
      </c>
      <c r="AE252" s="30" t="str">
        <f t="shared" si="165"/>
        <v/>
      </c>
      <c r="AF252" s="30" t="str">
        <f t="shared" si="166"/>
        <v/>
      </c>
      <c r="AG252" s="30" t="str">
        <f t="shared" si="167"/>
        <v/>
      </c>
      <c r="AH252" s="30" t="str">
        <f t="shared" si="168"/>
        <v/>
      </c>
      <c r="AI252" s="30" t="str">
        <f t="shared" si="169"/>
        <v/>
      </c>
      <c r="AJ252" s="30" t="str">
        <f t="shared" si="170"/>
        <v/>
      </c>
      <c r="AK252" s="30" t="str">
        <f t="shared" si="171"/>
        <v/>
      </c>
      <c r="AL252" s="30" t="str">
        <f t="shared" si="172"/>
        <v/>
      </c>
      <c r="AM252" s="30" t="str">
        <f t="shared" si="173"/>
        <v/>
      </c>
      <c r="AN252" s="30" t="str">
        <f t="shared" si="174"/>
        <v/>
      </c>
      <c r="AO252" s="30" t="str">
        <f t="shared" si="175"/>
        <v/>
      </c>
      <c r="AP252" s="30" t="str">
        <f t="shared" si="176"/>
        <v/>
      </c>
      <c r="AQ252" s="30" t="str">
        <f t="shared" si="177"/>
        <v/>
      </c>
      <c r="AR252" s="30" t="str">
        <f t="shared" si="178"/>
        <v/>
      </c>
      <c r="AS252" s="30" t="str">
        <f t="shared" si="179"/>
        <v/>
      </c>
      <c r="AT252" t="str">
        <f t="shared" si="180"/>
        <v/>
      </c>
      <c r="AU252" t="str">
        <f t="shared" si="181"/>
        <v/>
      </c>
    </row>
    <row r="253" spans="10:47" x14ac:dyDescent="0.25">
      <c r="J253" s="37" t="str">
        <f t="shared" si="153"/>
        <v/>
      </c>
      <c r="S253" s="30" t="str">
        <f t="shared" si="154"/>
        <v/>
      </c>
      <c r="T253" s="6" t="str">
        <f>IF($D253="Villa Elena",COUNTIF($D$3:$D253,"Villa Elena"),"")</f>
        <v/>
      </c>
      <c r="U253" s="30" t="str">
        <f t="shared" si="155"/>
        <v/>
      </c>
      <c r="V253" s="30" t="str">
        <f t="shared" si="156"/>
        <v/>
      </c>
      <c r="W253" s="30" t="str">
        <f t="shared" si="157"/>
        <v/>
      </c>
      <c r="X253" s="30" t="str">
        <f t="shared" si="158"/>
        <v/>
      </c>
      <c r="Y253" s="30" t="str">
        <f t="shared" si="159"/>
        <v/>
      </c>
      <c r="Z253" s="30" t="str">
        <f t="shared" si="160"/>
        <v/>
      </c>
      <c r="AA253" s="30" t="str">
        <f t="shared" si="161"/>
        <v/>
      </c>
      <c r="AB253" s="30" t="str">
        <f t="shared" si="162"/>
        <v/>
      </c>
      <c r="AC253" s="30" t="str">
        <f t="shared" si="163"/>
        <v/>
      </c>
      <c r="AD253" s="30" t="str">
        <f t="shared" si="164"/>
        <v/>
      </c>
      <c r="AE253" s="30" t="str">
        <f t="shared" si="165"/>
        <v/>
      </c>
      <c r="AF253" s="30" t="str">
        <f t="shared" si="166"/>
        <v/>
      </c>
      <c r="AG253" s="30" t="str">
        <f t="shared" si="167"/>
        <v/>
      </c>
      <c r="AH253" s="30" t="str">
        <f t="shared" si="168"/>
        <v/>
      </c>
      <c r="AI253" s="30" t="str">
        <f t="shared" si="169"/>
        <v/>
      </c>
      <c r="AJ253" s="30" t="str">
        <f t="shared" si="170"/>
        <v/>
      </c>
      <c r="AK253" s="30" t="str">
        <f t="shared" si="171"/>
        <v/>
      </c>
      <c r="AL253" s="30" t="str">
        <f t="shared" si="172"/>
        <v/>
      </c>
      <c r="AM253" s="30" t="str">
        <f t="shared" si="173"/>
        <v/>
      </c>
      <c r="AN253" s="30" t="str">
        <f t="shared" si="174"/>
        <v/>
      </c>
      <c r="AO253" s="30" t="str">
        <f t="shared" si="175"/>
        <v/>
      </c>
      <c r="AP253" s="30" t="str">
        <f t="shared" si="176"/>
        <v/>
      </c>
      <c r="AQ253" s="30" t="str">
        <f t="shared" si="177"/>
        <v/>
      </c>
      <c r="AR253" s="30" t="str">
        <f t="shared" si="178"/>
        <v/>
      </c>
      <c r="AS253" s="30" t="str">
        <f t="shared" si="179"/>
        <v/>
      </c>
      <c r="AT253" t="str">
        <f t="shared" si="180"/>
        <v/>
      </c>
      <c r="AU253" t="str">
        <f t="shared" si="181"/>
        <v/>
      </c>
    </row>
    <row r="254" spans="10:47" x14ac:dyDescent="0.25">
      <c r="J254" s="37" t="str">
        <f t="shared" si="153"/>
        <v/>
      </c>
      <c r="S254" s="30" t="str">
        <f t="shared" si="154"/>
        <v/>
      </c>
      <c r="T254" s="6" t="str">
        <f>IF($D254="Villa Elena",COUNTIF($D$3:$D254,"Villa Elena"),"")</f>
        <v/>
      </c>
      <c r="U254" s="30" t="str">
        <f t="shared" si="155"/>
        <v/>
      </c>
      <c r="V254" s="30" t="str">
        <f t="shared" si="156"/>
        <v/>
      </c>
      <c r="W254" s="30" t="str">
        <f t="shared" si="157"/>
        <v/>
      </c>
      <c r="X254" s="30" t="str">
        <f t="shared" si="158"/>
        <v/>
      </c>
      <c r="Y254" s="30" t="str">
        <f t="shared" si="159"/>
        <v/>
      </c>
      <c r="Z254" s="30" t="str">
        <f t="shared" si="160"/>
        <v/>
      </c>
      <c r="AA254" s="30" t="str">
        <f t="shared" si="161"/>
        <v/>
      </c>
      <c r="AB254" s="30" t="str">
        <f t="shared" si="162"/>
        <v/>
      </c>
      <c r="AC254" s="30" t="str">
        <f t="shared" si="163"/>
        <v/>
      </c>
      <c r="AD254" s="30" t="str">
        <f t="shared" si="164"/>
        <v/>
      </c>
      <c r="AE254" s="30" t="str">
        <f t="shared" si="165"/>
        <v/>
      </c>
      <c r="AF254" s="30" t="str">
        <f t="shared" si="166"/>
        <v/>
      </c>
      <c r="AG254" s="30" t="str">
        <f t="shared" si="167"/>
        <v/>
      </c>
      <c r="AH254" s="30" t="str">
        <f t="shared" si="168"/>
        <v/>
      </c>
      <c r="AI254" s="30" t="str">
        <f t="shared" si="169"/>
        <v/>
      </c>
      <c r="AJ254" s="30" t="str">
        <f t="shared" si="170"/>
        <v/>
      </c>
      <c r="AK254" s="30" t="str">
        <f t="shared" si="171"/>
        <v/>
      </c>
      <c r="AL254" s="30" t="str">
        <f t="shared" si="172"/>
        <v/>
      </c>
      <c r="AM254" s="30" t="str">
        <f t="shared" si="173"/>
        <v/>
      </c>
      <c r="AN254" s="30" t="str">
        <f t="shared" si="174"/>
        <v/>
      </c>
      <c r="AO254" s="30" t="str">
        <f t="shared" si="175"/>
        <v/>
      </c>
      <c r="AP254" s="30" t="str">
        <f t="shared" si="176"/>
        <v/>
      </c>
      <c r="AQ254" s="30" t="str">
        <f t="shared" si="177"/>
        <v/>
      </c>
      <c r="AR254" s="30" t="str">
        <f t="shared" si="178"/>
        <v/>
      </c>
      <c r="AS254" s="30" t="str">
        <f t="shared" si="179"/>
        <v/>
      </c>
      <c r="AT254" t="str">
        <f t="shared" si="180"/>
        <v/>
      </c>
      <c r="AU254" t="str">
        <f t="shared" si="181"/>
        <v/>
      </c>
    </row>
    <row r="255" spans="10:47" x14ac:dyDescent="0.25">
      <c r="J255" s="37" t="str">
        <f t="shared" si="153"/>
        <v/>
      </c>
      <c r="S255" s="30" t="str">
        <f t="shared" si="154"/>
        <v/>
      </c>
      <c r="T255" s="6" t="str">
        <f>IF($D255="Villa Elena",COUNTIF($D$3:$D255,"Villa Elena"),"")</f>
        <v/>
      </c>
      <c r="U255" s="30" t="str">
        <f t="shared" si="155"/>
        <v/>
      </c>
      <c r="V255" s="30" t="str">
        <f t="shared" si="156"/>
        <v/>
      </c>
      <c r="W255" s="30" t="str">
        <f t="shared" si="157"/>
        <v/>
      </c>
      <c r="X255" s="30" t="str">
        <f t="shared" si="158"/>
        <v/>
      </c>
      <c r="Y255" s="30" t="str">
        <f t="shared" si="159"/>
        <v/>
      </c>
      <c r="Z255" s="30" t="str">
        <f t="shared" si="160"/>
        <v/>
      </c>
      <c r="AA255" s="30" t="str">
        <f t="shared" si="161"/>
        <v/>
      </c>
      <c r="AB255" s="30" t="str">
        <f t="shared" si="162"/>
        <v/>
      </c>
      <c r="AC255" s="30" t="str">
        <f t="shared" si="163"/>
        <v/>
      </c>
      <c r="AD255" s="30" t="str">
        <f t="shared" si="164"/>
        <v/>
      </c>
      <c r="AE255" s="30" t="str">
        <f t="shared" si="165"/>
        <v/>
      </c>
      <c r="AF255" s="30" t="str">
        <f t="shared" si="166"/>
        <v/>
      </c>
      <c r="AG255" s="30" t="str">
        <f t="shared" si="167"/>
        <v/>
      </c>
      <c r="AH255" s="30" t="str">
        <f t="shared" si="168"/>
        <v/>
      </c>
      <c r="AI255" s="30" t="str">
        <f t="shared" si="169"/>
        <v/>
      </c>
      <c r="AJ255" s="30" t="str">
        <f t="shared" si="170"/>
        <v/>
      </c>
      <c r="AK255" s="30" t="str">
        <f t="shared" si="171"/>
        <v/>
      </c>
      <c r="AL255" s="30" t="str">
        <f t="shared" si="172"/>
        <v/>
      </c>
      <c r="AM255" s="30" t="str">
        <f t="shared" si="173"/>
        <v/>
      </c>
      <c r="AN255" s="30" t="str">
        <f t="shared" si="174"/>
        <v/>
      </c>
      <c r="AO255" s="30" t="str">
        <f t="shared" si="175"/>
        <v/>
      </c>
      <c r="AP255" s="30" t="str">
        <f t="shared" si="176"/>
        <v/>
      </c>
      <c r="AQ255" s="30" t="str">
        <f t="shared" si="177"/>
        <v/>
      </c>
      <c r="AR255" s="30" t="str">
        <f t="shared" si="178"/>
        <v/>
      </c>
      <c r="AS255" s="30" t="str">
        <f t="shared" si="179"/>
        <v/>
      </c>
      <c r="AT255" t="str">
        <f t="shared" si="180"/>
        <v/>
      </c>
      <c r="AU255" t="str">
        <f t="shared" si="181"/>
        <v/>
      </c>
    </row>
    <row r="256" spans="10:47" x14ac:dyDescent="0.25">
      <c r="J256" s="37" t="str">
        <f t="shared" si="153"/>
        <v/>
      </c>
      <c r="S256" s="30" t="str">
        <f t="shared" si="154"/>
        <v/>
      </c>
      <c r="T256" s="6" t="str">
        <f>IF($D256="Villa Elena",COUNTIF($D$3:$D256,"Villa Elena"),"")</f>
        <v/>
      </c>
      <c r="U256" s="30" t="str">
        <f t="shared" si="155"/>
        <v/>
      </c>
      <c r="V256" s="30" t="str">
        <f t="shared" si="156"/>
        <v/>
      </c>
      <c r="W256" s="30" t="str">
        <f t="shared" si="157"/>
        <v/>
      </c>
      <c r="X256" s="30" t="str">
        <f t="shared" si="158"/>
        <v/>
      </c>
      <c r="Y256" s="30" t="str">
        <f t="shared" si="159"/>
        <v/>
      </c>
      <c r="Z256" s="30" t="str">
        <f t="shared" si="160"/>
        <v/>
      </c>
      <c r="AA256" s="30" t="str">
        <f t="shared" si="161"/>
        <v/>
      </c>
      <c r="AB256" s="30" t="str">
        <f t="shared" si="162"/>
        <v/>
      </c>
      <c r="AC256" s="30" t="str">
        <f t="shared" si="163"/>
        <v/>
      </c>
      <c r="AD256" s="30" t="str">
        <f t="shared" si="164"/>
        <v/>
      </c>
      <c r="AE256" s="30" t="str">
        <f t="shared" si="165"/>
        <v/>
      </c>
      <c r="AF256" s="30" t="str">
        <f t="shared" si="166"/>
        <v/>
      </c>
      <c r="AG256" s="30" t="str">
        <f t="shared" si="167"/>
        <v/>
      </c>
      <c r="AH256" s="30" t="str">
        <f t="shared" si="168"/>
        <v/>
      </c>
      <c r="AI256" s="30" t="str">
        <f t="shared" si="169"/>
        <v/>
      </c>
      <c r="AJ256" s="30" t="str">
        <f t="shared" si="170"/>
        <v/>
      </c>
      <c r="AK256" s="30" t="str">
        <f t="shared" si="171"/>
        <v/>
      </c>
      <c r="AL256" s="30" t="str">
        <f t="shared" si="172"/>
        <v/>
      </c>
      <c r="AM256" s="30" t="str">
        <f t="shared" si="173"/>
        <v/>
      </c>
      <c r="AN256" s="30" t="str">
        <f t="shared" si="174"/>
        <v/>
      </c>
      <c r="AO256" s="30" t="str">
        <f t="shared" si="175"/>
        <v/>
      </c>
      <c r="AP256" s="30" t="str">
        <f t="shared" si="176"/>
        <v/>
      </c>
      <c r="AQ256" s="30" t="str">
        <f t="shared" si="177"/>
        <v/>
      </c>
      <c r="AR256" s="30" t="str">
        <f t="shared" si="178"/>
        <v/>
      </c>
      <c r="AS256" s="30" t="str">
        <f t="shared" si="179"/>
        <v/>
      </c>
      <c r="AT256" t="str">
        <f t="shared" si="180"/>
        <v/>
      </c>
      <c r="AU256" t="str">
        <f t="shared" si="181"/>
        <v/>
      </c>
    </row>
    <row r="257" spans="10:47" x14ac:dyDescent="0.25">
      <c r="J257" s="37" t="str">
        <f t="shared" si="153"/>
        <v/>
      </c>
      <c r="S257" s="30" t="str">
        <f t="shared" si="154"/>
        <v/>
      </c>
      <c r="T257" s="6" t="str">
        <f>IF($D257="Villa Elena",COUNTIF($D$3:$D257,"Villa Elena"),"")</f>
        <v/>
      </c>
      <c r="U257" s="30" t="str">
        <f t="shared" si="155"/>
        <v/>
      </c>
      <c r="V257" s="30" t="str">
        <f t="shared" si="156"/>
        <v/>
      </c>
      <c r="W257" s="30" t="str">
        <f t="shared" si="157"/>
        <v/>
      </c>
      <c r="X257" s="30" t="str">
        <f t="shared" si="158"/>
        <v/>
      </c>
      <c r="Y257" s="30" t="str">
        <f t="shared" si="159"/>
        <v/>
      </c>
      <c r="Z257" s="30" t="str">
        <f t="shared" si="160"/>
        <v/>
      </c>
      <c r="AA257" s="30" t="str">
        <f t="shared" si="161"/>
        <v/>
      </c>
      <c r="AB257" s="30" t="str">
        <f t="shared" si="162"/>
        <v/>
      </c>
      <c r="AC257" s="30" t="str">
        <f t="shared" si="163"/>
        <v/>
      </c>
      <c r="AD257" s="30" t="str">
        <f t="shared" si="164"/>
        <v/>
      </c>
      <c r="AE257" s="30" t="str">
        <f t="shared" si="165"/>
        <v/>
      </c>
      <c r="AF257" s="30" t="str">
        <f t="shared" si="166"/>
        <v/>
      </c>
      <c r="AG257" s="30" t="str">
        <f t="shared" si="167"/>
        <v/>
      </c>
      <c r="AH257" s="30" t="str">
        <f t="shared" si="168"/>
        <v/>
      </c>
      <c r="AI257" s="30" t="str">
        <f t="shared" si="169"/>
        <v/>
      </c>
      <c r="AJ257" s="30" t="str">
        <f t="shared" si="170"/>
        <v/>
      </c>
      <c r="AK257" s="30" t="str">
        <f t="shared" si="171"/>
        <v/>
      </c>
      <c r="AL257" s="30" t="str">
        <f t="shared" si="172"/>
        <v/>
      </c>
      <c r="AM257" s="30" t="str">
        <f t="shared" si="173"/>
        <v/>
      </c>
      <c r="AN257" s="30" t="str">
        <f t="shared" si="174"/>
        <v/>
      </c>
      <c r="AO257" s="30" t="str">
        <f t="shared" si="175"/>
        <v/>
      </c>
      <c r="AP257" s="30" t="str">
        <f t="shared" si="176"/>
        <v/>
      </c>
      <c r="AQ257" s="30" t="str">
        <f t="shared" si="177"/>
        <v/>
      </c>
      <c r="AR257" s="30" t="str">
        <f t="shared" si="178"/>
        <v/>
      </c>
      <c r="AS257" s="30" t="str">
        <f t="shared" si="179"/>
        <v/>
      </c>
      <c r="AT257" t="str">
        <f t="shared" si="180"/>
        <v/>
      </c>
      <c r="AU257" t="str">
        <f t="shared" si="181"/>
        <v/>
      </c>
    </row>
    <row r="258" spans="10:47" x14ac:dyDescent="0.25">
      <c r="J258" s="37" t="str">
        <f t="shared" si="153"/>
        <v/>
      </c>
      <c r="S258" s="30" t="str">
        <f t="shared" si="154"/>
        <v/>
      </c>
      <c r="T258" s="6" t="str">
        <f>IF($D258="Villa Elena",COUNTIF($D$3:$D258,"Villa Elena"),"")</f>
        <v/>
      </c>
      <c r="U258" s="30" t="str">
        <f t="shared" si="155"/>
        <v/>
      </c>
      <c r="V258" s="30" t="str">
        <f t="shared" si="156"/>
        <v/>
      </c>
      <c r="W258" s="30" t="str">
        <f t="shared" si="157"/>
        <v/>
      </c>
      <c r="X258" s="30" t="str">
        <f t="shared" si="158"/>
        <v/>
      </c>
      <c r="Y258" s="30" t="str">
        <f t="shared" si="159"/>
        <v/>
      </c>
      <c r="Z258" s="30" t="str">
        <f t="shared" si="160"/>
        <v/>
      </c>
      <c r="AA258" s="30" t="str">
        <f t="shared" si="161"/>
        <v/>
      </c>
      <c r="AB258" s="30" t="str">
        <f t="shared" si="162"/>
        <v/>
      </c>
      <c r="AC258" s="30" t="str">
        <f t="shared" si="163"/>
        <v/>
      </c>
      <c r="AD258" s="30" t="str">
        <f t="shared" si="164"/>
        <v/>
      </c>
      <c r="AE258" s="30" t="str">
        <f t="shared" si="165"/>
        <v/>
      </c>
      <c r="AF258" s="30" t="str">
        <f t="shared" si="166"/>
        <v/>
      </c>
      <c r="AG258" s="30" t="str">
        <f t="shared" si="167"/>
        <v/>
      </c>
      <c r="AH258" s="30" t="str">
        <f t="shared" si="168"/>
        <v/>
      </c>
      <c r="AI258" s="30" t="str">
        <f t="shared" si="169"/>
        <v/>
      </c>
      <c r="AJ258" s="30" t="str">
        <f t="shared" si="170"/>
        <v/>
      </c>
      <c r="AK258" s="30" t="str">
        <f t="shared" si="171"/>
        <v/>
      </c>
      <c r="AL258" s="30" t="str">
        <f t="shared" si="172"/>
        <v/>
      </c>
      <c r="AM258" s="30" t="str">
        <f t="shared" si="173"/>
        <v/>
      </c>
      <c r="AN258" s="30" t="str">
        <f t="shared" si="174"/>
        <v/>
      </c>
      <c r="AO258" s="30" t="str">
        <f t="shared" si="175"/>
        <v/>
      </c>
      <c r="AP258" s="30" t="str">
        <f t="shared" si="176"/>
        <v/>
      </c>
      <c r="AQ258" s="30" t="str">
        <f t="shared" si="177"/>
        <v/>
      </c>
      <c r="AR258" s="30" t="str">
        <f t="shared" si="178"/>
        <v/>
      </c>
      <c r="AS258" s="30" t="str">
        <f t="shared" si="179"/>
        <v/>
      </c>
      <c r="AT258" t="str">
        <f t="shared" si="180"/>
        <v/>
      </c>
      <c r="AU258" t="str">
        <f t="shared" si="181"/>
        <v/>
      </c>
    </row>
    <row r="259" spans="10:47" x14ac:dyDescent="0.25">
      <c r="J259" s="37" t="str">
        <f t="shared" si="153"/>
        <v/>
      </c>
      <c r="S259" s="30" t="str">
        <f t="shared" si="154"/>
        <v/>
      </c>
      <c r="T259" s="6" t="str">
        <f>IF($D259="Villa Elena",COUNTIF($D$3:$D259,"Villa Elena"),"")</f>
        <v/>
      </c>
      <c r="U259" s="30" t="str">
        <f t="shared" si="155"/>
        <v/>
      </c>
      <c r="V259" s="30" t="str">
        <f t="shared" si="156"/>
        <v/>
      </c>
      <c r="W259" s="30" t="str">
        <f t="shared" si="157"/>
        <v/>
      </c>
      <c r="X259" s="30" t="str">
        <f t="shared" si="158"/>
        <v/>
      </c>
      <c r="Y259" s="30" t="str">
        <f t="shared" si="159"/>
        <v/>
      </c>
      <c r="Z259" s="30" t="str">
        <f t="shared" si="160"/>
        <v/>
      </c>
      <c r="AA259" s="30" t="str">
        <f t="shared" si="161"/>
        <v/>
      </c>
      <c r="AB259" s="30" t="str">
        <f t="shared" si="162"/>
        <v/>
      </c>
      <c r="AC259" s="30" t="str">
        <f t="shared" si="163"/>
        <v/>
      </c>
      <c r="AD259" s="30" t="str">
        <f t="shared" si="164"/>
        <v/>
      </c>
      <c r="AE259" s="30" t="str">
        <f t="shared" si="165"/>
        <v/>
      </c>
      <c r="AF259" s="30" t="str">
        <f t="shared" si="166"/>
        <v/>
      </c>
      <c r="AG259" s="30" t="str">
        <f t="shared" si="167"/>
        <v/>
      </c>
      <c r="AH259" s="30" t="str">
        <f t="shared" si="168"/>
        <v/>
      </c>
      <c r="AI259" s="30" t="str">
        <f t="shared" si="169"/>
        <v/>
      </c>
      <c r="AJ259" s="30" t="str">
        <f t="shared" si="170"/>
        <v/>
      </c>
      <c r="AK259" s="30" t="str">
        <f t="shared" si="171"/>
        <v/>
      </c>
      <c r="AL259" s="30" t="str">
        <f t="shared" si="172"/>
        <v/>
      </c>
      <c r="AM259" s="30" t="str">
        <f t="shared" si="173"/>
        <v/>
      </c>
      <c r="AN259" s="30" t="str">
        <f t="shared" si="174"/>
        <v/>
      </c>
      <c r="AO259" s="30" t="str">
        <f t="shared" si="175"/>
        <v/>
      </c>
      <c r="AP259" s="30" t="str">
        <f t="shared" si="176"/>
        <v/>
      </c>
      <c r="AQ259" s="30" t="str">
        <f t="shared" si="177"/>
        <v/>
      </c>
      <c r="AR259" s="30" t="str">
        <f t="shared" si="178"/>
        <v/>
      </c>
      <c r="AS259" s="30" t="str">
        <f t="shared" si="179"/>
        <v/>
      </c>
      <c r="AT259" t="str">
        <f t="shared" si="180"/>
        <v/>
      </c>
      <c r="AU259" t="str">
        <f t="shared" si="181"/>
        <v/>
      </c>
    </row>
    <row r="260" spans="10:47" x14ac:dyDescent="0.25">
      <c r="J260" s="37" t="str">
        <f t="shared" si="153"/>
        <v/>
      </c>
      <c r="S260" s="30" t="str">
        <f t="shared" si="154"/>
        <v/>
      </c>
      <c r="T260" s="6" t="str">
        <f>IF($D260="Villa Elena",COUNTIF($D$3:$D260,"Villa Elena"),"")</f>
        <v/>
      </c>
      <c r="U260" s="30" t="str">
        <f t="shared" si="155"/>
        <v/>
      </c>
      <c r="V260" s="30" t="str">
        <f t="shared" si="156"/>
        <v/>
      </c>
      <c r="W260" s="30" t="str">
        <f t="shared" si="157"/>
        <v/>
      </c>
      <c r="X260" s="30" t="str">
        <f t="shared" si="158"/>
        <v/>
      </c>
      <c r="Y260" s="30" t="str">
        <f t="shared" si="159"/>
        <v/>
      </c>
      <c r="Z260" s="30" t="str">
        <f t="shared" si="160"/>
        <v/>
      </c>
      <c r="AA260" s="30" t="str">
        <f t="shared" si="161"/>
        <v/>
      </c>
      <c r="AB260" s="30" t="str">
        <f t="shared" si="162"/>
        <v/>
      </c>
      <c r="AC260" s="30" t="str">
        <f t="shared" si="163"/>
        <v/>
      </c>
      <c r="AD260" s="30" t="str">
        <f t="shared" si="164"/>
        <v/>
      </c>
      <c r="AE260" s="30" t="str">
        <f t="shared" si="165"/>
        <v/>
      </c>
      <c r="AF260" s="30" t="str">
        <f t="shared" si="166"/>
        <v/>
      </c>
      <c r="AG260" s="30" t="str">
        <f t="shared" si="167"/>
        <v/>
      </c>
      <c r="AH260" s="30" t="str">
        <f t="shared" si="168"/>
        <v/>
      </c>
      <c r="AI260" s="30" t="str">
        <f t="shared" si="169"/>
        <v/>
      </c>
      <c r="AJ260" s="30" t="str">
        <f t="shared" si="170"/>
        <v/>
      </c>
      <c r="AK260" s="30" t="str">
        <f t="shared" si="171"/>
        <v/>
      </c>
      <c r="AL260" s="30" t="str">
        <f t="shared" si="172"/>
        <v/>
      </c>
      <c r="AM260" s="30" t="str">
        <f t="shared" si="173"/>
        <v/>
      </c>
      <c r="AN260" s="30" t="str">
        <f t="shared" si="174"/>
        <v/>
      </c>
      <c r="AO260" s="30" t="str">
        <f t="shared" si="175"/>
        <v/>
      </c>
      <c r="AP260" s="30" t="str">
        <f t="shared" si="176"/>
        <v/>
      </c>
      <c r="AQ260" s="30" t="str">
        <f t="shared" si="177"/>
        <v/>
      </c>
      <c r="AR260" s="30" t="str">
        <f t="shared" si="178"/>
        <v/>
      </c>
      <c r="AS260" s="30" t="str">
        <f t="shared" si="179"/>
        <v/>
      </c>
      <c r="AT260" t="str">
        <f t="shared" si="180"/>
        <v/>
      </c>
      <c r="AU260" t="str">
        <f t="shared" si="181"/>
        <v/>
      </c>
    </row>
    <row r="261" spans="10:47" x14ac:dyDescent="0.25">
      <c r="J261" s="37" t="str">
        <f t="shared" si="153"/>
        <v/>
      </c>
      <c r="S261" s="30" t="str">
        <f t="shared" si="154"/>
        <v/>
      </c>
      <c r="T261" s="6" t="str">
        <f>IF($D261="Villa Elena",COUNTIF($D$3:$D261,"Villa Elena"),"")</f>
        <v/>
      </c>
      <c r="U261" s="30" t="str">
        <f t="shared" si="155"/>
        <v/>
      </c>
      <c r="V261" s="30" t="str">
        <f t="shared" si="156"/>
        <v/>
      </c>
      <c r="W261" s="30" t="str">
        <f t="shared" si="157"/>
        <v/>
      </c>
      <c r="X261" s="30" t="str">
        <f t="shared" si="158"/>
        <v/>
      </c>
      <c r="Y261" s="30" t="str">
        <f t="shared" si="159"/>
        <v/>
      </c>
      <c r="Z261" s="30" t="str">
        <f t="shared" si="160"/>
        <v/>
      </c>
      <c r="AA261" s="30" t="str">
        <f t="shared" si="161"/>
        <v/>
      </c>
      <c r="AB261" s="30" t="str">
        <f t="shared" si="162"/>
        <v/>
      </c>
      <c r="AC261" s="30" t="str">
        <f t="shared" si="163"/>
        <v/>
      </c>
      <c r="AD261" s="30" t="str">
        <f t="shared" si="164"/>
        <v/>
      </c>
      <c r="AE261" s="30" t="str">
        <f t="shared" si="165"/>
        <v/>
      </c>
      <c r="AF261" s="30" t="str">
        <f t="shared" si="166"/>
        <v/>
      </c>
      <c r="AG261" s="30" t="str">
        <f t="shared" si="167"/>
        <v/>
      </c>
      <c r="AH261" s="30" t="str">
        <f t="shared" si="168"/>
        <v/>
      </c>
      <c r="AI261" s="30" t="str">
        <f t="shared" si="169"/>
        <v/>
      </c>
      <c r="AJ261" s="30" t="str">
        <f t="shared" si="170"/>
        <v/>
      </c>
      <c r="AK261" s="30" t="str">
        <f t="shared" si="171"/>
        <v/>
      </c>
      <c r="AL261" s="30" t="str">
        <f t="shared" si="172"/>
        <v/>
      </c>
      <c r="AM261" s="30" t="str">
        <f t="shared" si="173"/>
        <v/>
      </c>
      <c r="AN261" s="30" t="str">
        <f t="shared" si="174"/>
        <v/>
      </c>
      <c r="AO261" s="30" t="str">
        <f t="shared" si="175"/>
        <v/>
      </c>
      <c r="AP261" s="30" t="str">
        <f t="shared" si="176"/>
        <v/>
      </c>
      <c r="AQ261" s="30" t="str">
        <f t="shared" si="177"/>
        <v/>
      </c>
      <c r="AR261" s="30" t="str">
        <f t="shared" si="178"/>
        <v/>
      </c>
      <c r="AS261" s="30" t="str">
        <f t="shared" si="179"/>
        <v/>
      </c>
      <c r="AT261" t="str">
        <f t="shared" si="180"/>
        <v/>
      </c>
      <c r="AU261" t="str">
        <f t="shared" si="181"/>
        <v/>
      </c>
    </row>
    <row r="262" spans="10:47" x14ac:dyDescent="0.25">
      <c r="J262" s="37" t="str">
        <f t="shared" si="153"/>
        <v/>
      </c>
      <c r="S262" s="30" t="str">
        <f t="shared" si="154"/>
        <v/>
      </c>
      <c r="T262" s="6" t="str">
        <f>IF($D262="Villa Elena",COUNTIF($D$3:$D262,"Villa Elena"),"")</f>
        <v/>
      </c>
      <c r="U262" s="30" t="str">
        <f t="shared" si="155"/>
        <v/>
      </c>
      <c r="V262" s="30" t="str">
        <f t="shared" si="156"/>
        <v/>
      </c>
      <c r="W262" s="30" t="str">
        <f t="shared" si="157"/>
        <v/>
      </c>
      <c r="X262" s="30" t="str">
        <f t="shared" si="158"/>
        <v/>
      </c>
      <c r="Y262" s="30" t="str">
        <f t="shared" si="159"/>
        <v/>
      </c>
      <c r="Z262" s="30" t="str">
        <f t="shared" si="160"/>
        <v/>
      </c>
      <c r="AA262" s="30" t="str">
        <f t="shared" si="161"/>
        <v/>
      </c>
      <c r="AB262" s="30" t="str">
        <f t="shared" si="162"/>
        <v/>
      </c>
      <c r="AC262" s="30" t="str">
        <f t="shared" si="163"/>
        <v/>
      </c>
      <c r="AD262" s="30" t="str">
        <f t="shared" si="164"/>
        <v/>
      </c>
      <c r="AE262" s="30" t="str">
        <f t="shared" si="165"/>
        <v/>
      </c>
      <c r="AF262" s="30" t="str">
        <f t="shared" si="166"/>
        <v/>
      </c>
      <c r="AG262" s="30" t="str">
        <f t="shared" si="167"/>
        <v/>
      </c>
      <c r="AH262" s="30" t="str">
        <f t="shared" si="168"/>
        <v/>
      </c>
      <c r="AI262" s="30" t="str">
        <f t="shared" si="169"/>
        <v/>
      </c>
      <c r="AJ262" s="30" t="str">
        <f t="shared" si="170"/>
        <v/>
      </c>
      <c r="AK262" s="30" t="str">
        <f t="shared" si="171"/>
        <v/>
      </c>
      <c r="AL262" s="30" t="str">
        <f t="shared" si="172"/>
        <v/>
      </c>
      <c r="AM262" s="30" t="str">
        <f t="shared" si="173"/>
        <v/>
      </c>
      <c r="AN262" s="30" t="str">
        <f t="shared" si="174"/>
        <v/>
      </c>
      <c r="AO262" s="30" t="str">
        <f t="shared" si="175"/>
        <v/>
      </c>
      <c r="AP262" s="30" t="str">
        <f t="shared" si="176"/>
        <v/>
      </c>
      <c r="AQ262" s="30" t="str">
        <f t="shared" si="177"/>
        <v/>
      </c>
      <c r="AR262" s="30" t="str">
        <f t="shared" si="178"/>
        <v/>
      </c>
      <c r="AS262" s="30" t="str">
        <f t="shared" si="179"/>
        <v/>
      </c>
      <c r="AT262" t="str">
        <f t="shared" si="180"/>
        <v/>
      </c>
      <c r="AU262" t="str">
        <f t="shared" si="181"/>
        <v/>
      </c>
    </row>
    <row r="263" spans="10:47" x14ac:dyDescent="0.25">
      <c r="AT263" t="str">
        <f t="shared" si="180"/>
        <v/>
      </c>
      <c r="AU263" t="str">
        <f t="shared" si="181"/>
        <v/>
      </c>
    </row>
    <row r="264" spans="10:47" x14ac:dyDescent="0.25">
      <c r="AT264" t="str">
        <f t="shared" si="180"/>
        <v/>
      </c>
      <c r="AU264" t="str">
        <f t="shared" si="181"/>
        <v/>
      </c>
    </row>
    <row r="265" spans="10:47" x14ac:dyDescent="0.25">
      <c r="AT265" t="str">
        <f t="shared" si="180"/>
        <v/>
      </c>
      <c r="AU265" t="str">
        <f t="shared" si="181"/>
        <v/>
      </c>
    </row>
    <row r="266" spans="10:47" x14ac:dyDescent="0.25">
      <c r="AT266" t="str">
        <f t="shared" si="180"/>
        <v/>
      </c>
      <c r="AU266" t="str">
        <f t="shared" si="181"/>
        <v/>
      </c>
    </row>
    <row r="267" spans="10:47" x14ac:dyDescent="0.25">
      <c r="AT267" t="str">
        <f t="shared" si="180"/>
        <v/>
      </c>
      <c r="AU267" t="str">
        <f t="shared" si="181"/>
        <v/>
      </c>
    </row>
    <row r="268" spans="10:47" x14ac:dyDescent="0.25">
      <c r="AT268" t="str">
        <f t="shared" si="180"/>
        <v/>
      </c>
      <c r="AU268" t="str">
        <f t="shared" si="181"/>
        <v/>
      </c>
    </row>
    <row r="269" spans="10:47" x14ac:dyDescent="0.25">
      <c r="AT269" t="str">
        <f t="shared" si="180"/>
        <v/>
      </c>
      <c r="AU269" t="str">
        <f t="shared" si="181"/>
        <v/>
      </c>
    </row>
  </sheetData>
  <conditionalFormatting sqref="A3:R213">
    <cfRule type="expression" dxfId="7" priority="1">
      <formula>$D3="Via San Rocco"</formula>
    </cfRule>
    <cfRule type="expression" dxfId="6" priority="2">
      <formula>$D3="Via Cavour"</formula>
    </cfRule>
    <cfRule type="expression" dxfId="5" priority="3">
      <formula>$G3="Airbnb"</formula>
    </cfRule>
    <cfRule type="expression" dxfId="4" priority="4">
      <formula>$G3="diretta"</formula>
    </cfRule>
    <cfRule type="expression" dxfId="3" priority="5">
      <formula>$G3="Booking.com"</formula>
    </cfRule>
    <cfRule type="expression" dxfId="2" priority="6">
      <formula>$G3=""</formula>
    </cfRule>
  </conditionalFormatting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39"/>
  <sheetViews>
    <sheetView workbookViewId="0">
      <pane xSplit="1" ySplit="2" topLeftCell="B3" activePane="bottomRight" state="frozen"/>
      <selection pane="topRight"/>
      <selection pane="bottomLeft"/>
      <selection pane="bottomRight" activeCell="H6" sqref="H6"/>
    </sheetView>
  </sheetViews>
  <sheetFormatPr baseColWidth="10" defaultColWidth="8.83203125" defaultRowHeight="15" x14ac:dyDescent="0.2"/>
  <cols>
    <col min="1" max="1" width="34" bestFit="1" customWidth="1"/>
    <col min="2" max="13" width="11" customWidth="1"/>
    <col min="14" max="14" width="11.6640625" customWidth="1"/>
  </cols>
  <sheetData>
    <row r="1" spans="1:14" ht="36" customHeight="1" thickBot="1" x14ac:dyDescent="0.25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6" customHeight="1" thickBot="1" x14ac:dyDescent="0.25">
      <c r="A2" s="3" t="s">
        <v>134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  <c r="L2" s="3" t="s">
        <v>145</v>
      </c>
      <c r="M2" s="3" t="s">
        <v>146</v>
      </c>
      <c r="N2" s="3" t="s">
        <v>147</v>
      </c>
    </row>
    <row r="3" spans="1:14" ht="22" customHeight="1" thickBot="1" x14ac:dyDescent="0.25">
      <c r="A3" s="17" t="s">
        <v>148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20" customHeight="1" x14ac:dyDescent="0.2">
      <c r="A4" s="9" t="s">
        <v>149</v>
      </c>
      <c r="B4" s="10">
        <v>100</v>
      </c>
      <c r="C4" s="10">
        <v>100</v>
      </c>
      <c r="D4" s="10">
        <v>100</v>
      </c>
      <c r="E4" s="10">
        <v>100</v>
      </c>
      <c r="F4" s="10">
        <v>100</v>
      </c>
      <c r="G4" s="10">
        <v>100</v>
      </c>
      <c r="H4" s="10">
        <v>100</v>
      </c>
      <c r="I4" s="10">
        <v>100</v>
      </c>
      <c r="J4" s="10">
        <v>100</v>
      </c>
      <c r="K4" s="10">
        <v>100</v>
      </c>
      <c r="L4" s="10">
        <v>100</v>
      </c>
      <c r="M4" s="10">
        <v>100</v>
      </c>
      <c r="N4" s="19">
        <f t="shared" ref="N4:N16" si="0">SUM(B4:M4)</f>
        <v>1200</v>
      </c>
    </row>
    <row r="5" spans="1:14" ht="20" customHeight="1" x14ac:dyDescent="0.2">
      <c r="A5" s="15" t="s">
        <v>150</v>
      </c>
      <c r="B5" s="16">
        <v>0</v>
      </c>
      <c r="C5" s="16">
        <v>50</v>
      </c>
      <c r="D5" s="16">
        <v>0</v>
      </c>
      <c r="E5" s="16">
        <v>190</v>
      </c>
      <c r="F5" s="16">
        <v>80</v>
      </c>
      <c r="G5" s="16">
        <v>140</v>
      </c>
      <c r="H5" s="16">
        <v>570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9">
        <f t="shared" si="0"/>
        <v>1030</v>
      </c>
    </row>
    <row r="6" spans="1:14" ht="20" customHeight="1" x14ac:dyDescent="0.2">
      <c r="A6" s="9" t="s">
        <v>151</v>
      </c>
      <c r="B6" s="10">
        <v>0</v>
      </c>
      <c r="C6" s="10">
        <v>0</v>
      </c>
      <c r="D6" s="10">
        <v>0</v>
      </c>
      <c r="E6" s="10">
        <v>42.7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9">
        <f t="shared" si="0"/>
        <v>42.7</v>
      </c>
    </row>
    <row r="7" spans="1:14" ht="20" customHeight="1" x14ac:dyDescent="0.2">
      <c r="A7" s="15" t="s">
        <v>152</v>
      </c>
      <c r="B7" s="16">
        <v>0</v>
      </c>
      <c r="C7" s="16">
        <v>0</v>
      </c>
      <c r="D7" s="16">
        <v>0</v>
      </c>
      <c r="E7" s="16">
        <v>52.46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9">
        <f t="shared" si="0"/>
        <v>52.46</v>
      </c>
    </row>
    <row r="8" spans="1:14" ht="20" customHeight="1" x14ac:dyDescent="0.2">
      <c r="A8" s="9" t="s">
        <v>153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9">
        <f t="shared" si="0"/>
        <v>0</v>
      </c>
    </row>
    <row r="9" spans="1:14" ht="20" customHeight="1" x14ac:dyDescent="0.2">
      <c r="A9" s="15" t="s">
        <v>154</v>
      </c>
      <c r="B9" s="16">
        <v>0</v>
      </c>
      <c r="C9" s="16">
        <v>0</v>
      </c>
      <c r="D9" s="16">
        <v>122</v>
      </c>
      <c r="E9" s="16">
        <v>0</v>
      </c>
      <c r="F9" s="16">
        <v>143.96</v>
      </c>
      <c r="G9" s="16">
        <v>0</v>
      </c>
      <c r="H9" s="16">
        <v>292.8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9">
        <f t="shared" si="0"/>
        <v>558.76</v>
      </c>
    </row>
    <row r="10" spans="1:14" ht="20" customHeight="1" x14ac:dyDescent="0.2">
      <c r="A10" s="9" t="s">
        <v>155</v>
      </c>
      <c r="B10" s="10">
        <v>160.44</v>
      </c>
      <c r="C10" s="10">
        <v>160.44</v>
      </c>
      <c r="D10" s="10">
        <v>160.44</v>
      </c>
      <c r="E10" s="10">
        <v>160.44</v>
      </c>
      <c r="F10" s="10">
        <v>169.68</v>
      </c>
      <c r="G10" s="10">
        <v>169.68</v>
      </c>
      <c r="H10" s="10">
        <v>178.92</v>
      </c>
      <c r="I10" s="10">
        <v>188.16</v>
      </c>
      <c r="J10" s="10">
        <v>169.68</v>
      </c>
      <c r="K10" s="10">
        <v>169.68</v>
      </c>
      <c r="L10" s="10">
        <v>169.68</v>
      </c>
      <c r="M10" s="10">
        <v>169.68</v>
      </c>
      <c r="N10" s="19">
        <f t="shared" si="0"/>
        <v>2026.9200000000005</v>
      </c>
    </row>
    <row r="11" spans="1:14" ht="20" customHeight="1" x14ac:dyDescent="0.2">
      <c r="A11" s="15" t="s">
        <v>156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9">
        <f t="shared" si="0"/>
        <v>0</v>
      </c>
    </row>
    <row r="12" spans="1:14" ht="20" customHeight="1" x14ac:dyDescent="0.2">
      <c r="A12" s="9" t="s">
        <v>157</v>
      </c>
      <c r="B12" s="10">
        <v>0</v>
      </c>
      <c r="C12" s="10">
        <v>82.96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9">
        <f t="shared" si="0"/>
        <v>82.96</v>
      </c>
    </row>
    <row r="13" spans="1:14" ht="20" customHeight="1" x14ac:dyDescent="0.2">
      <c r="A13" s="15" t="s">
        <v>158</v>
      </c>
      <c r="B13" s="16">
        <v>6</v>
      </c>
      <c r="C13" s="16">
        <v>6</v>
      </c>
      <c r="D13" s="16">
        <v>6</v>
      </c>
      <c r="E13" s="16">
        <v>6</v>
      </c>
      <c r="F13" s="16">
        <v>6</v>
      </c>
      <c r="G13" s="16">
        <v>6</v>
      </c>
      <c r="H13" s="16">
        <v>6</v>
      </c>
      <c r="I13" s="16">
        <v>6</v>
      </c>
      <c r="J13" s="16">
        <v>6</v>
      </c>
      <c r="K13" s="16">
        <v>6</v>
      </c>
      <c r="L13" s="16">
        <v>6</v>
      </c>
      <c r="M13" s="16">
        <v>6</v>
      </c>
      <c r="N13" s="19">
        <f t="shared" si="0"/>
        <v>72</v>
      </c>
    </row>
    <row r="14" spans="1:14" ht="20" customHeight="1" x14ac:dyDescent="0.2">
      <c r="A14" s="9" t="s">
        <v>159</v>
      </c>
      <c r="B14" s="10">
        <v>10</v>
      </c>
      <c r="C14" s="10">
        <v>10</v>
      </c>
      <c r="D14" s="10">
        <v>10</v>
      </c>
      <c r="E14" s="10">
        <v>10</v>
      </c>
      <c r="F14" s="10">
        <v>10</v>
      </c>
      <c r="G14" s="10">
        <v>10</v>
      </c>
      <c r="H14" s="10">
        <v>10</v>
      </c>
      <c r="I14" s="10">
        <v>10</v>
      </c>
      <c r="J14" s="10">
        <v>10</v>
      </c>
      <c r="K14" s="10">
        <v>10</v>
      </c>
      <c r="L14" s="10">
        <v>10</v>
      </c>
      <c r="M14" s="10">
        <v>10</v>
      </c>
      <c r="N14" s="19">
        <f t="shared" si="0"/>
        <v>120</v>
      </c>
    </row>
    <row r="15" spans="1:14" ht="20" customHeight="1" x14ac:dyDescent="0.2">
      <c r="A15" s="15" t="s">
        <v>160</v>
      </c>
      <c r="B15" s="16">
        <v>14.78</v>
      </c>
      <c r="C15" s="16">
        <v>2.9</v>
      </c>
      <c r="D15" s="16">
        <v>3.39</v>
      </c>
      <c r="E15" s="16">
        <v>18.11</v>
      </c>
      <c r="F15" s="16">
        <v>29.07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9">
        <f t="shared" si="0"/>
        <v>68.25</v>
      </c>
    </row>
    <row r="16" spans="1:14" ht="20" customHeight="1" x14ac:dyDescent="0.2">
      <c r="A16" s="9" t="s">
        <v>161</v>
      </c>
      <c r="B16" s="10">
        <v>0</v>
      </c>
      <c r="C16" s="10">
        <v>13</v>
      </c>
      <c r="D16" s="10">
        <v>13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9">
        <f t="shared" si="0"/>
        <v>26</v>
      </c>
    </row>
    <row r="17" spans="1:14" ht="24" customHeight="1" thickBot="1" x14ac:dyDescent="0.25">
      <c r="A17" s="20" t="s">
        <v>162</v>
      </c>
      <c r="B17" s="21">
        <f t="shared" ref="B17:N17" si="1">SUM(B4:B16)</f>
        <v>291.21999999999997</v>
      </c>
      <c r="C17" s="21">
        <f t="shared" si="1"/>
        <v>425.29999999999995</v>
      </c>
      <c r="D17" s="21">
        <f t="shared" si="1"/>
        <v>414.83</v>
      </c>
      <c r="E17" s="21">
        <f t="shared" si="1"/>
        <v>579.70999999999992</v>
      </c>
      <c r="F17" s="21">
        <f t="shared" si="1"/>
        <v>538.71</v>
      </c>
      <c r="G17" s="21">
        <f t="shared" si="1"/>
        <v>425.68</v>
      </c>
      <c r="H17" s="21">
        <f t="shared" si="1"/>
        <v>1157.72</v>
      </c>
      <c r="I17" s="21">
        <f t="shared" si="1"/>
        <v>304.15999999999997</v>
      </c>
      <c r="J17" s="21">
        <f t="shared" si="1"/>
        <v>285.68</v>
      </c>
      <c r="K17" s="21">
        <f t="shared" si="1"/>
        <v>285.68</v>
      </c>
      <c r="L17" s="21">
        <f t="shared" si="1"/>
        <v>285.68</v>
      </c>
      <c r="M17" s="21">
        <f t="shared" si="1"/>
        <v>285.68</v>
      </c>
      <c r="N17" s="21">
        <f t="shared" si="1"/>
        <v>5280.05</v>
      </c>
    </row>
    <row r="19" spans="1:14" ht="22" customHeight="1" thickBot="1" x14ac:dyDescent="0.25">
      <c r="A19" s="22" t="s">
        <v>163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ht="20" customHeight="1" x14ac:dyDescent="0.2">
      <c r="A20" s="24" t="s">
        <v>164</v>
      </c>
      <c r="B20" s="25">
        <f t="shared" ref="B20:M20" si="2">SUM(B28:B39)</f>
        <v>505.62</v>
      </c>
      <c r="C20" s="25">
        <f t="shared" si="2"/>
        <v>106</v>
      </c>
      <c r="D20" s="25">
        <f t="shared" si="2"/>
        <v>199</v>
      </c>
      <c r="E20" s="25">
        <f t="shared" si="2"/>
        <v>0</v>
      </c>
      <c r="F20" s="25">
        <f t="shared" si="2"/>
        <v>1017</v>
      </c>
      <c r="G20" s="25">
        <f t="shared" si="2"/>
        <v>444.5</v>
      </c>
      <c r="H20" s="25">
        <f t="shared" si="2"/>
        <v>1453.3400000000001</v>
      </c>
      <c r="I20" s="25">
        <f t="shared" si="2"/>
        <v>0</v>
      </c>
      <c r="J20" s="25">
        <f t="shared" si="2"/>
        <v>0</v>
      </c>
      <c r="K20" s="25">
        <f t="shared" si="2"/>
        <v>0</v>
      </c>
      <c r="L20" s="25">
        <f t="shared" si="2"/>
        <v>0</v>
      </c>
      <c r="M20" s="25">
        <f t="shared" si="2"/>
        <v>0</v>
      </c>
      <c r="N20" s="26">
        <f>SUM(B20:M20)</f>
        <v>3725.46</v>
      </c>
    </row>
    <row r="21" spans="1:14" ht="20" customHeight="1" x14ac:dyDescent="0.2">
      <c r="A21" s="15" t="s">
        <v>165</v>
      </c>
      <c r="B21" s="16">
        <f t="shared" ref="B21:M21" si="3">B20*0.4*0.05</f>
        <v>10.112400000000001</v>
      </c>
      <c r="C21" s="16">
        <f t="shared" si="3"/>
        <v>2.1200000000000006</v>
      </c>
      <c r="D21" s="16">
        <f t="shared" si="3"/>
        <v>3.9800000000000004</v>
      </c>
      <c r="E21" s="16">
        <f t="shared" si="3"/>
        <v>0</v>
      </c>
      <c r="F21" s="16">
        <f t="shared" si="3"/>
        <v>20.340000000000003</v>
      </c>
      <c r="G21" s="16">
        <f t="shared" si="3"/>
        <v>8.89</v>
      </c>
      <c r="H21" s="16">
        <f t="shared" si="3"/>
        <v>29.066800000000008</v>
      </c>
      <c r="I21" s="16">
        <f t="shared" si="3"/>
        <v>0</v>
      </c>
      <c r="J21" s="16">
        <f t="shared" si="3"/>
        <v>0</v>
      </c>
      <c r="K21" s="16">
        <f t="shared" si="3"/>
        <v>0</v>
      </c>
      <c r="L21" s="16">
        <f t="shared" si="3"/>
        <v>0</v>
      </c>
      <c r="M21" s="16">
        <f t="shared" si="3"/>
        <v>0</v>
      </c>
      <c r="N21" s="26">
        <f>SUM(B21:M21)</f>
        <v>74.509200000000021</v>
      </c>
    </row>
    <row r="22" spans="1:14" ht="20" customHeight="1" x14ac:dyDescent="0.2">
      <c r="A22" s="24" t="s">
        <v>166</v>
      </c>
      <c r="B22" s="25">
        <f t="shared" ref="B22:M22" si="4">B20-B21</f>
        <v>495.50760000000002</v>
      </c>
      <c r="C22" s="25">
        <f t="shared" si="4"/>
        <v>103.88</v>
      </c>
      <c r="D22" s="25">
        <f t="shared" si="4"/>
        <v>195.02</v>
      </c>
      <c r="E22" s="25">
        <f t="shared" si="4"/>
        <v>0</v>
      </c>
      <c r="F22" s="25">
        <f t="shared" si="4"/>
        <v>996.66</v>
      </c>
      <c r="G22" s="25">
        <f t="shared" si="4"/>
        <v>435.61</v>
      </c>
      <c r="H22" s="25">
        <f t="shared" si="4"/>
        <v>1424.2732000000001</v>
      </c>
      <c r="I22" s="25">
        <f t="shared" si="4"/>
        <v>0</v>
      </c>
      <c r="J22" s="25">
        <f t="shared" si="4"/>
        <v>0</v>
      </c>
      <c r="K22" s="25">
        <f t="shared" si="4"/>
        <v>0</v>
      </c>
      <c r="L22" s="25">
        <f t="shared" si="4"/>
        <v>0</v>
      </c>
      <c r="M22" s="25">
        <f t="shared" si="4"/>
        <v>0</v>
      </c>
      <c r="N22" s="26">
        <f>SUM(B22:M22)</f>
        <v>3650.9508000000001</v>
      </c>
    </row>
    <row r="24" spans="1:14" ht="26" customHeight="1" thickBot="1" x14ac:dyDescent="0.25">
      <c r="A24" s="45" t="s">
        <v>167</v>
      </c>
      <c r="B24" s="105">
        <f t="shared" ref="B24:N24" si="5">B22-B17</f>
        <v>204.28760000000005</v>
      </c>
      <c r="C24" s="105">
        <f t="shared" si="5"/>
        <v>-321.41999999999996</v>
      </c>
      <c r="D24" s="105">
        <f t="shared" si="5"/>
        <v>-219.80999999999997</v>
      </c>
      <c r="E24" s="105">
        <f t="shared" si="5"/>
        <v>-579.70999999999992</v>
      </c>
      <c r="F24" s="105">
        <f t="shared" si="5"/>
        <v>457.94999999999993</v>
      </c>
      <c r="G24" s="105">
        <f t="shared" si="5"/>
        <v>9.9300000000000068</v>
      </c>
      <c r="H24" s="105">
        <f t="shared" si="5"/>
        <v>266.55320000000006</v>
      </c>
      <c r="I24" s="105">
        <f t="shared" si="5"/>
        <v>-304.15999999999997</v>
      </c>
      <c r="J24" s="105">
        <f t="shared" si="5"/>
        <v>-285.68</v>
      </c>
      <c r="K24" s="105">
        <f t="shared" si="5"/>
        <v>-285.68</v>
      </c>
      <c r="L24" s="105">
        <f t="shared" si="5"/>
        <v>-285.68</v>
      </c>
      <c r="M24" s="105">
        <f t="shared" si="5"/>
        <v>-285.68</v>
      </c>
      <c r="N24" s="105">
        <f t="shared" si="5"/>
        <v>-1629.0992000000001</v>
      </c>
    </row>
    <row r="26" spans="1:14" ht="22" customHeight="1" thickBot="1" x14ac:dyDescent="0.25">
      <c r="A26" s="17" t="s">
        <v>168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24" customHeight="1" thickBot="1" x14ac:dyDescent="0.25">
      <c r="A27" s="27" t="s">
        <v>169</v>
      </c>
      <c r="B27" s="27" t="s">
        <v>135</v>
      </c>
      <c r="C27" s="27" t="s">
        <v>136</v>
      </c>
      <c r="D27" s="27" t="s">
        <v>137</v>
      </c>
      <c r="E27" s="27" t="s">
        <v>138</v>
      </c>
      <c r="F27" s="27" t="s">
        <v>139</v>
      </c>
      <c r="G27" s="27" t="s">
        <v>140</v>
      </c>
      <c r="H27" s="27" t="s">
        <v>141</v>
      </c>
      <c r="I27" s="27" t="s">
        <v>142</v>
      </c>
      <c r="J27" s="27" t="s">
        <v>143</v>
      </c>
      <c r="K27" s="27" t="s">
        <v>144</v>
      </c>
      <c r="L27" s="27" t="s">
        <v>145</v>
      </c>
      <c r="M27" s="27" t="s">
        <v>146</v>
      </c>
      <c r="N27" s="27" t="s">
        <v>147</v>
      </c>
    </row>
    <row r="28" spans="1:14" ht="20" customHeight="1" x14ac:dyDescent="0.2">
      <c r="A28" s="9" t="s">
        <v>32</v>
      </c>
      <c r="B28" s="10">
        <v>505.62</v>
      </c>
      <c r="C28" s="10">
        <v>56</v>
      </c>
      <c r="D28" s="10">
        <v>0</v>
      </c>
      <c r="E28" s="10">
        <v>0</v>
      </c>
      <c r="F28" s="10">
        <v>450</v>
      </c>
      <c r="G28" s="10">
        <v>0</v>
      </c>
      <c r="H28" s="10">
        <v>130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9">
        <f t="shared" ref="N28:N39" si="6">SUM(B28:M28)</f>
        <v>1141.6199999999999</v>
      </c>
    </row>
    <row r="29" spans="1:14" ht="20" customHeight="1" x14ac:dyDescent="0.2">
      <c r="A29" s="15" t="s">
        <v>45</v>
      </c>
      <c r="B29" s="16">
        <v>0</v>
      </c>
      <c r="C29" s="16">
        <v>50</v>
      </c>
      <c r="D29" s="16">
        <v>0</v>
      </c>
      <c r="E29" s="16">
        <v>0</v>
      </c>
      <c r="F29" s="16">
        <v>75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9">
        <f t="shared" si="6"/>
        <v>125</v>
      </c>
    </row>
    <row r="30" spans="1:14" ht="20" customHeight="1" x14ac:dyDescent="0.2">
      <c r="A30" s="9" t="s">
        <v>39</v>
      </c>
      <c r="B30" s="10">
        <v>0</v>
      </c>
      <c r="C30" s="10">
        <v>0</v>
      </c>
      <c r="D30" s="10">
        <v>118</v>
      </c>
      <c r="E30" s="10">
        <v>0</v>
      </c>
      <c r="F30" s="10">
        <v>145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9">
        <f t="shared" si="6"/>
        <v>263</v>
      </c>
    </row>
    <row r="31" spans="1:14" ht="20" customHeight="1" x14ac:dyDescent="0.2">
      <c r="A31" s="15" t="s">
        <v>170</v>
      </c>
      <c r="B31" s="16">
        <v>0</v>
      </c>
      <c r="C31" s="16">
        <v>0</v>
      </c>
      <c r="D31" s="16">
        <v>81</v>
      </c>
      <c r="E31" s="16">
        <v>0</v>
      </c>
      <c r="F31" s="16">
        <v>240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9">
        <f t="shared" si="6"/>
        <v>321</v>
      </c>
    </row>
    <row r="32" spans="1:14" ht="20" customHeight="1" x14ac:dyDescent="0.2">
      <c r="A32" s="9" t="s">
        <v>63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9">
        <f t="shared" si="6"/>
        <v>0</v>
      </c>
    </row>
    <row r="33" spans="1:14" ht="20" customHeight="1" x14ac:dyDescent="0.2">
      <c r="A33" s="15" t="s">
        <v>69</v>
      </c>
      <c r="B33" s="16">
        <v>0</v>
      </c>
      <c r="C33" s="16">
        <v>0</v>
      </c>
      <c r="D33" s="16">
        <v>0</v>
      </c>
      <c r="E33" s="16">
        <v>0</v>
      </c>
      <c r="F33" s="16">
        <v>107</v>
      </c>
      <c r="G33" s="16">
        <v>444.5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9">
        <f t="shared" si="6"/>
        <v>551.5</v>
      </c>
    </row>
    <row r="34" spans="1:14" ht="20" customHeight="1" x14ac:dyDescent="0.2">
      <c r="A34" s="9" t="s">
        <v>96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176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9">
        <f t="shared" si="6"/>
        <v>176</v>
      </c>
    </row>
    <row r="35" spans="1:14" ht="20" customHeight="1" x14ac:dyDescent="0.2">
      <c r="A35" s="15" t="s">
        <v>93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339.5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9">
        <f t="shared" si="6"/>
        <v>339.5</v>
      </c>
    </row>
    <row r="36" spans="1:14" ht="20" customHeight="1" x14ac:dyDescent="0.2">
      <c r="A36" s="9" t="s">
        <v>171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9">
        <f t="shared" si="6"/>
        <v>0</v>
      </c>
    </row>
    <row r="37" spans="1:14" ht="20" customHeight="1" x14ac:dyDescent="0.2">
      <c r="A37" s="15" t="s">
        <v>115</v>
      </c>
      <c r="B37" s="16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9">
        <f t="shared" si="6"/>
        <v>0</v>
      </c>
    </row>
    <row r="38" spans="1:14" ht="20" customHeight="1" x14ac:dyDescent="0.2">
      <c r="A38" s="9" t="s">
        <v>98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807.84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9">
        <f t="shared" si="6"/>
        <v>807.84</v>
      </c>
    </row>
    <row r="39" spans="1:14" ht="20" customHeight="1" x14ac:dyDescent="0.2">
      <c r="A39" s="15" t="s">
        <v>172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9">
        <f t="shared" si="6"/>
        <v>0</v>
      </c>
    </row>
  </sheetData>
  <conditionalFormatting sqref="B24:N2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R216"/>
  <sheetViews>
    <sheetView workbookViewId="0">
      <pane xSplit="1" ySplit="2" topLeftCell="B3" activePane="bottomRight" state="frozen"/>
      <selection pane="topRight"/>
      <selection pane="bottomLeft"/>
      <selection pane="bottomRight" activeCell="N44" sqref="N44"/>
    </sheetView>
  </sheetViews>
  <sheetFormatPr baseColWidth="10" defaultColWidth="8.83203125" defaultRowHeight="15" x14ac:dyDescent="0.2"/>
  <cols>
    <col min="1" max="1" width="11.6640625" bestFit="1" customWidth="1"/>
    <col min="2" max="2" width="26" customWidth="1"/>
    <col min="3" max="5" width="14" customWidth="1"/>
    <col min="6" max="7" width="10" customWidth="1"/>
    <col min="8" max="8" width="22" customWidth="1"/>
    <col min="16" max="16" width="18.6640625" customWidth="1"/>
    <col min="18" max="18" width="20.83203125" customWidth="1"/>
  </cols>
  <sheetData>
    <row r="1" spans="1:18" ht="36" customHeight="1" thickBot="1" x14ac:dyDescent="0.25">
      <c r="A1" s="278" t="s">
        <v>173</v>
      </c>
      <c r="B1" s="279"/>
      <c r="C1" s="63"/>
      <c r="D1" s="63"/>
      <c r="E1" s="63"/>
      <c r="F1" s="63"/>
      <c r="G1" s="63"/>
      <c r="H1" s="63"/>
    </row>
    <row r="2" spans="1:18" ht="24" customHeight="1" thickBot="1" x14ac:dyDescent="0.25">
      <c r="A2" s="64" t="s">
        <v>174</v>
      </c>
      <c r="B2" s="65"/>
      <c r="C2" s="65"/>
      <c r="D2" s="65"/>
      <c r="E2" s="65"/>
      <c r="F2" s="65"/>
      <c r="G2" s="65"/>
      <c r="H2" s="65"/>
    </row>
    <row r="3" spans="1:18" ht="34" customHeight="1" thickBot="1" x14ac:dyDescent="0.4">
      <c r="A3" s="66" t="s">
        <v>175</v>
      </c>
      <c r="B3" s="66" t="s">
        <v>169</v>
      </c>
      <c r="C3" s="66" t="s">
        <v>176</v>
      </c>
      <c r="D3" s="66" t="s">
        <v>177</v>
      </c>
      <c r="E3" s="66" t="s">
        <v>178</v>
      </c>
      <c r="F3" s="66" t="s">
        <v>179</v>
      </c>
      <c r="G3" s="66" t="s">
        <v>180</v>
      </c>
      <c r="H3" s="66" t="s">
        <v>18</v>
      </c>
      <c r="P3" s="121" t="s">
        <v>181</v>
      </c>
      <c r="R3" s="122">
        <f>E18+E36+E54+E72+E90+E108+E126+E144+E162+E180+E198+E216</f>
        <v>19212.805</v>
      </c>
    </row>
    <row r="4" spans="1:18" ht="20" customHeight="1" x14ac:dyDescent="0.2">
      <c r="A4" s="67"/>
      <c r="B4" s="68" t="s">
        <v>32</v>
      </c>
      <c r="C4" s="69">
        <f>SUMPRODUCT((MONTH(PRENOTAZIONI!$A$3:$A$263)=1)*(YEAR(PRENOTAZIONI!$A$3:$A$263)=2026)*(PRENOTAZIONI!$D$3:$D$263="Sotto la Quercia")*PRENOTAZIONI!$H$3:$H$263)</f>
        <v>223.64</v>
      </c>
      <c r="D4" s="70">
        <f t="shared" ref="D4:D17" si="0">C4-E4</f>
        <v>167.73</v>
      </c>
      <c r="E4" s="71">
        <f>C4*0.25</f>
        <v>55.91</v>
      </c>
      <c r="F4" s="72">
        <f>SUMPRODUCT((PRENOTAZIONI!$A$3:$A$263&lt;DATE(2026,2,1))*(PRENOTAZIONI!$B$3:$B$263&gt;DATE(2026,1,1))*(YEAR(PRENOTAZIONI!$A$3:$A$263)=2026)*(PRENOTAZIONI!$D$3:$D$263="Sotto la Quercia")*((PRENOTAZIONI!$B$3:$B$263*(PRENOTAZIONI!$B$3:$B$263&lt;DATE(2026,2,1))+DATE(2026,2,1)*(PRENOTAZIONI!$B$3:$B$263&gt;=DATE(2026,2,1)))-(PRENOTAZIONI!$A$3:$A$263*(PRENOTAZIONI!$A$3:$A$263&gt;DATE(2026,1,1))+DATE(2026,1,1)*(PRENOTAZIONI!$A$3:$A$263&lt;=DATE(2026,1,1)))))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2</v>
      </c>
      <c r="G4" s="72">
        <f>SUMPRODUCT((MONTH(PRENOTAZIONI!$A$3:$A$263)=1)*(YEAR(PRENOTAZIONI!$A$3:$A$263)=2026)*(PRENOTAZIONI!$D$3:$D$263="Sotto la Quercia"))</f>
        <v>1</v>
      </c>
      <c r="H4" s="67"/>
    </row>
    <row r="5" spans="1:18" ht="20" customHeight="1" x14ac:dyDescent="0.2">
      <c r="A5" s="67"/>
      <c r="B5" s="68" t="s">
        <v>45</v>
      </c>
      <c r="C5" s="69">
        <f>SUMPRODUCT((MONTH(PRENOTAZIONI!$A$3:$A$263)=1)*(YEAR(PRENOTAZIONI!$A$3:$A$263)=2026)*(PRENOTAZIONI!$D$3:$D$263="Villa Elena")*PRENOTAZIONI!$H$3:$H$263)</f>
        <v>200</v>
      </c>
      <c r="D5" s="70">
        <f t="shared" si="0"/>
        <v>150</v>
      </c>
      <c r="E5" s="71">
        <f>C5*0.25</f>
        <v>50</v>
      </c>
      <c r="F5" s="72">
        <f>SUMPRODUCT((PRENOTAZIONI!$A$3:$A$263&lt;DATE(2026,2,1))*(PRENOTAZIONI!$B$3:$B$263&gt;DATE(2026,1,1))*(YEAR(PRENOTAZIONI!$A$3:$A$263)=2026)*(PRENOTAZIONI!$D$3:$D$263="Villa Elena")*((PRENOTAZIONI!$B$3:$B$263*(PRENOTAZIONI!$B$3:$B$263&lt;DATE(2026,2,1))+DATE(2026,2,1)*(PRENOTAZIONI!$B$3:$B$263&gt;=DATE(2026,2,1)))-(PRENOTAZIONI!$A$3:$A$263*(PRENOTAZIONI!$A$3:$A$263&gt;DATE(2026,1,1))+DATE(2026,1,1)*(PRENOTAZIONI!$A$3:$A$263&lt;=DATE(2026,1,1)))))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2</v>
      </c>
      <c r="G5" s="72">
        <f>SUMPRODUCT((MONTH(PRENOTAZIONI!$A$3:$A$263)=1)*(YEAR(PRENOTAZIONI!$A$3:$A$263)=2026)*(PRENOTAZIONI!$D$3:$D$263="Villa Elena"))</f>
        <v>1</v>
      </c>
      <c r="H5" s="67"/>
    </row>
    <row r="6" spans="1:18" ht="20" customHeight="1" x14ac:dyDescent="0.2">
      <c r="A6" s="67"/>
      <c r="B6" s="68" t="s">
        <v>39</v>
      </c>
      <c r="C6" s="69">
        <f>SUMPRODUCT((MONTH(PRENOTAZIONI!$A$3:$A$263)=1)*(YEAR(PRENOTAZIONI!$A$3:$A$263)=2026)*(PRENOTAZIONI!$D$3:$D$263="Casa nel Borgo")*PRENOTAZIONI!$H$3:$H$263)</f>
        <v>300</v>
      </c>
      <c r="D6" s="70">
        <f t="shared" si="0"/>
        <v>225</v>
      </c>
      <c r="E6" s="71">
        <f>C6*0.25</f>
        <v>75</v>
      </c>
      <c r="F6" s="72">
        <f>SUMPRODUCT((PRENOTAZIONI!$A$3:$A$263&lt;DATE(2026,2,1))*(PRENOTAZIONI!$B$3:$B$263&gt;DATE(2026,1,1))*(YEAR(PRENOTAZIONI!$A$3:$A$263)=2026)*(PRENOTAZIONI!$D$3:$D$263="Casa nel Borgo")*((PRENOTAZIONI!$B$3:$B$263*(PRENOTAZIONI!$B$3:$B$263&lt;DATE(2026,2,1))+DATE(2026,2,1)*(PRENOTAZIONI!$B$3:$B$263&gt;=DATE(2026,2,1)))-(PRENOTAZIONI!$A$3:$A$263*(PRENOTAZIONI!$A$3:$A$263&gt;DATE(2026,1,1))+DATE(2026,1,1)*(PRENOTAZIONI!$A$3:$A$263&lt;=DATE(2026,1,1)))))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23</v>
      </c>
      <c r="G6" s="72">
        <f>SUMPRODUCT((MONTH(PRENOTAZIONI!$A$3:$A$263)=1)*(YEAR(PRENOTAZIONI!$A$3:$A$263)=2026)*(PRENOTAZIONI!$D$3:$D$263="Casa nel Borgo"))</f>
        <v>1</v>
      </c>
      <c r="H6" s="67"/>
    </row>
    <row r="7" spans="1:18" ht="20" customHeight="1" x14ac:dyDescent="0.2">
      <c r="A7" s="67"/>
      <c r="B7" s="68" t="s">
        <v>51</v>
      </c>
      <c r="C7" s="69">
        <f>SUMPRODUCT((MONTH(PRENOTAZIONI!$A$3:$A$263)=1)*(YEAR(PRENOTAZIONI!$A$3:$A$263)=2026)*(PRENOTAZIONI!$D$3:$D$263="Via San Rocco")*PRENOTAZIONI!$H$3:$H$263)</f>
        <v>192.3</v>
      </c>
      <c r="D7" s="70">
        <f t="shared" si="0"/>
        <v>173.07</v>
      </c>
      <c r="E7" s="71">
        <f>C7*0.1</f>
        <v>19.230000000000004</v>
      </c>
      <c r="F7" s="72">
        <f>SUMPRODUCT((PRENOTAZIONI!$A$3:$A$263&lt;DATE(2026,2,1))*(PRENOTAZIONI!$B$3:$B$263&gt;DATE(2026,1,1))*(YEAR(PRENOTAZIONI!$A$3:$A$263)=2026)*(PRENOTAZIONI!$D$3:$D$263="Via San Rocco")*((PRENOTAZIONI!$B$3:$B$263*(PRENOTAZIONI!$B$3:$B$263&lt;DATE(2026,2,1))+DATE(2026,2,1)*(PRENOTAZIONI!$B$3:$B$263&gt;=DATE(2026,2,1)))-(PRENOTAZIONI!$A$3:$A$263*(PRENOTAZIONI!$A$3:$A$263&gt;DATE(2026,1,1))+DATE(2026,1,1)*(PRENOTAZIONI!$A$3:$A$263&lt;=DATE(2026,1,1)))))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1</v>
      </c>
      <c r="G7" s="72">
        <f>SUMPRODUCT((MONTH(PRENOTAZIONI!$A$3:$A$263)=1)*(YEAR(PRENOTAZIONI!$A$3:$A$263)=2026)*(PRENOTAZIONI!$D$3:$D$263="Via San Rocco"))</f>
        <v>1</v>
      </c>
      <c r="H7" s="67"/>
    </row>
    <row r="8" spans="1:18" ht="20" customHeight="1" x14ac:dyDescent="0.2">
      <c r="A8" s="67"/>
      <c r="B8" s="68" t="s">
        <v>60</v>
      </c>
      <c r="C8" s="69">
        <f>SUMPRODUCT((MONTH(PRENOTAZIONI!$A$3:$A$263)=1)*(YEAR(PRENOTAZIONI!$A$3:$A$263)=2026)*(PRENOTAZIONI!$D$3:$D$263="Via Cavour")*PRENOTAZIONI!$H$3:$H$263)</f>
        <v>0</v>
      </c>
      <c r="D8" s="70">
        <f t="shared" si="0"/>
        <v>0</v>
      </c>
      <c r="E8" s="71">
        <f>C8*0.1</f>
        <v>0</v>
      </c>
      <c r="F8" s="72">
        <f>SUMPRODUCT((PRENOTAZIONI!$A$3:$A$263&lt;DATE(2026,2,1))*(PRENOTAZIONI!$B$3:$B$263&gt;DATE(2026,1,1))*(YEAR(PRENOTAZIONI!$A$3:$A$263)=2026)*(PRENOTAZIONI!$D$3:$D$263="Via Cavour")*((PRENOTAZIONI!$B$3:$B$263*(PRENOTAZIONI!$B$3:$B$263&lt;DATE(2026,2,1))+DATE(2026,2,1)*(PRENOTAZIONI!$B$3:$B$263&gt;=DATE(2026,2,1)))-(PRENOTAZIONI!$A$3:$A$263*(PRENOTAZIONI!$A$3:$A$263&gt;DATE(2026,1,1))+DATE(2026,1,1)*(PRENOTAZIONI!$A$3:$A$263&lt;=DATE(2026,1,1)))))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8" s="72">
        <f>SUMPRODUCT((MONTH(PRENOTAZIONI!$A$3:$A$263)=1)*(YEAR(PRENOTAZIONI!$A$3:$A$263)=2026)*(PRENOTAZIONI!$D$3:$D$263="Via Cavour"))</f>
        <v>0</v>
      </c>
      <c r="H8" s="67"/>
    </row>
    <row r="9" spans="1:18" ht="20" customHeight="1" x14ac:dyDescent="0.2">
      <c r="A9" s="67"/>
      <c r="B9" s="68" t="s">
        <v>93</v>
      </c>
      <c r="C9" s="69">
        <f>SUMPRODUCT((MONTH(PRENOTAZIONI!$A$3:$A$263)=1)*(YEAR(PRENOTAZIONI!$A$3:$A$263)=2026)*(PRENOTAZIONI!$D$3:$D$263="Casa Letizia")*PRENOTAZIONI!$H$3:$H$263)</f>
        <v>0</v>
      </c>
      <c r="D9" s="70">
        <f t="shared" si="0"/>
        <v>0</v>
      </c>
      <c r="E9" s="71">
        <f t="shared" ref="E9:E17" si="1">C9*0.25</f>
        <v>0</v>
      </c>
      <c r="F9" s="72">
        <f>SUMPRODUCT((PRENOTAZIONI!$A$3:$A$263&lt;DATE(2026,2,1))*(PRENOTAZIONI!$B$3:$B$263&gt;DATE(2026,1,1))*(YEAR(PRENOTAZIONI!$A$3:$A$263)=2026)*(PRENOTAZIONI!$D$3:$D$263="Casa Letizia")*((PRENOTAZIONI!$B$3:$B$263*(PRENOTAZIONI!$B$3:$B$263&lt;DATE(2026,2,1))+DATE(2026,2,1)*(PRENOTAZIONI!$B$3:$B$263&gt;=DATE(2026,2,1)))-(PRENOTAZIONI!$A$3:$A$263*(PRENOTAZIONI!$A$3:$A$263&gt;DATE(2026,1,1))+DATE(2026,1,1)*(PRENOTAZIONI!$A$3:$A$263&lt;=DATE(2026,1,1)))))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9" s="72">
        <f>SUMPRODUCT((MONTH(PRENOTAZIONI!$A$3:$A$263)=1)*(YEAR(PRENOTAZIONI!$A$3:$A$263)=2026)*(PRENOTAZIONI!$D$3:$D$263="Casa Letizia"))</f>
        <v>0</v>
      </c>
      <c r="H9" s="67"/>
    </row>
    <row r="10" spans="1:18" ht="20" customHeight="1" x14ac:dyDescent="0.2">
      <c r="A10" s="67"/>
      <c r="B10" s="68" t="s">
        <v>96</v>
      </c>
      <c r="C10" s="69">
        <f>SUMPRODUCT((MONTH(PRENOTAZIONI!$A$3:$A$263)=1)*(YEAR(PRENOTAZIONI!$A$3:$A$263)=2026)*(PRENOTAZIONI!$D$3:$D$263="Miramare")*PRENOTAZIONI!$H$3:$H$263)</f>
        <v>0</v>
      </c>
      <c r="D10" s="70">
        <f t="shared" si="0"/>
        <v>0</v>
      </c>
      <c r="E10" s="71">
        <f t="shared" si="1"/>
        <v>0</v>
      </c>
      <c r="F10" s="72">
        <f>SUMPRODUCT((PRENOTAZIONI!$A$3:$A$263&lt;DATE(2026,2,1))*(PRENOTAZIONI!$B$3:$B$263&gt;DATE(2026,1,1))*(YEAR(PRENOTAZIONI!$A$3:$A$263)=2026)*(PRENOTAZIONI!$D$3:$D$263="Miramare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0" s="72">
        <f>SUMPRODUCT((MONTH(PRENOTAZIONI!$A$3:$A$263)=1)*(YEAR(PRENOTAZIONI!$A$3:$A$263)=2026)*(PRENOTAZIONI!$D$3:$D$263="Miramare"))</f>
        <v>0</v>
      </c>
      <c r="H10" s="67"/>
    </row>
    <row r="11" spans="1:18" ht="20" customHeight="1" x14ac:dyDescent="0.2">
      <c r="A11" s="67"/>
      <c r="B11" s="68" t="s">
        <v>69</v>
      </c>
      <c r="C11" s="69">
        <f>SUMPRODUCT((MONTH(PRENOTAZIONI!$A$3:$A$263)=1)*(YEAR(PRENOTAZIONI!$A$3:$A$263)=2026)*(PRENOTAZIONI!$D$3:$D$263="Agantonio")*PRENOTAZIONI!$H$3:$H$263)</f>
        <v>0</v>
      </c>
      <c r="D11" s="70">
        <f t="shared" si="0"/>
        <v>0</v>
      </c>
      <c r="E11" s="71">
        <f t="shared" si="1"/>
        <v>0</v>
      </c>
      <c r="F11" s="72">
        <f>SUMPRODUCT((PRENOTAZIONI!$A$3:$A$263&lt;DATE(2026,2,1))*(PRENOTAZIONI!$B$3:$B$263&gt;DATE(2026,1,1))*(YEAR(PRENOTAZIONI!$A$3:$A$263)=2026)*(PRENOTAZIONI!$D$3:$D$263="Agantonio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1" s="72">
        <f>SUMPRODUCT((MONTH(PRENOTAZIONI!$A$3:$A$263)=1)*(YEAR(PRENOTAZIONI!$A$3:$A$263)=2026)*(PRENOTAZIONI!$D$3:$D$263="Agantonio"))</f>
        <v>0</v>
      </c>
      <c r="H11" s="67"/>
    </row>
    <row r="12" spans="1:18" ht="20" customHeight="1" x14ac:dyDescent="0.2">
      <c r="A12" s="67"/>
      <c r="B12" s="68" t="s">
        <v>63</v>
      </c>
      <c r="C12" s="69">
        <f>SUMPRODUCT((MONTH(PRENOTAZIONI!$A$3:$A$263)=1)*(YEAR(PRENOTAZIONI!$A$3:$A$263)=2026)*(PRENOTAZIONI!$D$3:$D$263="Casa Bella Gialla")*PRENOTAZIONI!$H$3:$H$263)</f>
        <v>0</v>
      </c>
      <c r="D12" s="70">
        <f t="shared" si="0"/>
        <v>0</v>
      </c>
      <c r="E12" s="71">
        <f t="shared" si="1"/>
        <v>0</v>
      </c>
      <c r="F12" s="72">
        <f>SUMPRODUCT((PRENOTAZIONI!$A$3:$A$263&lt;DATE(2026,2,1))*(PRENOTAZIONI!$B$3:$B$263&gt;DATE(2026,1,1))*(YEAR(PRENOTAZIONI!$A$3:$A$263)=2026)*(PRENOTAZIONI!$D$3:$D$263="Casa Bella Gialla")*((PRENOTAZIONI!$B$3:$B$263*(PRENOTAZIONI!$B$3:$B$263&lt;DATE(2026,2,1))+DATE(2026,2,1)*(PRENOTAZIONI!$B$3:$B$263&gt;=DATE(2026,2,1)))-(PRENOTAZIONI!$A$3:$A$263*(PRENOTAZIONI!$A$3:$A$263&gt;DATE(2026,1,1))+DATE(2026,1,1)*(PRENOTAZIONI!$A$3:$A$263&lt;=DATE(2026,1,1)))))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2" s="72">
        <f>SUMPRODUCT((MONTH(PRENOTAZIONI!$A$3:$A$263)=1)*(YEAR(PRENOTAZIONI!$A$3:$A$263)=2026)*(PRENOTAZIONI!$D$3:$D$263="Casa Bella Gialla"))</f>
        <v>0</v>
      </c>
      <c r="H12" s="67"/>
    </row>
    <row r="13" spans="1:18" ht="20" customHeight="1" x14ac:dyDescent="0.2">
      <c r="A13" s="67"/>
      <c r="B13" s="68" t="s">
        <v>115</v>
      </c>
      <c r="C13" s="69">
        <f>SUMPRODUCT((MONTH(PRENOTAZIONI!$A$3:$A$263)=1)*(YEAR(PRENOTAZIONI!$A$3:$A$263)=2026)*(PRENOTAZIONI!$D$3:$D$263="Casa Verde Oliva")*PRENOTAZIONI!$H$3:$H$263)</f>
        <v>0</v>
      </c>
      <c r="D13" s="70">
        <f t="shared" si="0"/>
        <v>0</v>
      </c>
      <c r="E13" s="71">
        <f t="shared" si="1"/>
        <v>0</v>
      </c>
      <c r="F13" s="72">
        <f>SUMPRODUCT((PRENOTAZIONI!$A$3:$A$263&lt;DATE(2026,2,1))*(PRENOTAZIONI!$B$3:$B$263&gt;DATE(2026,1,1))*(YEAR(PRENOTAZIONI!$A$3:$A$263)=2026)*(PRENOTAZIONI!$D$3:$D$263="Casa Verde Oliva")*((PRENOTAZIONI!$B$3:$B$263*(PRENOTAZIONI!$B$3:$B$263&lt;DATE(2026,2,1))+DATE(2026,2,1)*(PRENOTAZIONI!$B$3:$B$263&gt;=DATE(2026,2,1)))-(PRENOTAZIONI!$A$3:$A$263*(PRENOTAZIONI!$A$3:$A$263&gt;DATE(2026,1,1))+DATE(2026,1,1)*(PRENOTAZIONI!$A$3:$A$263&lt;=DATE(2026,1,1)))))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3" s="72">
        <f>SUMPRODUCT((MONTH(PRENOTAZIONI!$A$3:$A$263)=1)*(YEAR(PRENOTAZIONI!$A$3:$A$263)=2026)*(PRENOTAZIONI!$D$3:$D$263="Casa Verde Oliva"))</f>
        <v>0</v>
      </c>
      <c r="H13" s="67"/>
    </row>
    <row r="14" spans="1:18" ht="20" customHeight="1" x14ac:dyDescent="0.2">
      <c r="A14" s="67"/>
      <c r="B14" s="68" t="s">
        <v>171</v>
      </c>
      <c r="C14" s="69">
        <f>SUMPRODUCT((MONTH(PRENOTAZIONI!$A$3:$A$263)=1)*(YEAR(PRENOTAZIONI!$A$3:$A$263)=2026)*(PRENOTAZIONI!$D$3:$D$263="Casa Nicola")*PRENOTAZIONI!$H$3:$H$263)</f>
        <v>0</v>
      </c>
      <c r="D14" s="70">
        <f t="shared" si="0"/>
        <v>0</v>
      </c>
      <c r="E14" s="71">
        <f t="shared" si="1"/>
        <v>0</v>
      </c>
      <c r="F14" s="72">
        <f>SUMPRODUCT((PRENOTAZIONI!$A$3:$A$263&lt;DATE(2026,2,1))*(PRENOTAZIONI!$B$3:$B$263&gt;DATE(2026,1,1))*(YEAR(PRENOTAZIONI!$A$3:$A$263)=2026)*(PRENOTAZIONI!$D$3:$D$263="Casa Nicola")*((PRENOTAZIONI!$B$3:$B$263*(PRENOTAZIONI!$B$3:$B$263&lt;DATE(2026,2,1))+DATE(2026,2,1)*(PRENOTAZIONI!$B$3:$B$263&gt;=DATE(2026,2,1)))-(PRENOTAZIONI!$A$3:$A$263*(PRENOTAZIONI!$A$3:$A$263&gt;DATE(2026,1,1))+DATE(2026,1,1)*(PRENOTAZIONI!$A$3:$A$263&lt;=DATE(2026,1,1)))))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4" s="72">
        <f>SUMPRODUCT((MONTH(PRENOTAZIONI!$A$3:$A$263)=1)*(YEAR(PRENOTAZIONI!$A$3:$A$263)=2026)*(PRENOTAZIONI!$D$3:$D$263="Casa Nicola"))</f>
        <v>0</v>
      </c>
      <c r="H14" s="67"/>
    </row>
    <row r="15" spans="1:18" ht="20" customHeight="1" x14ac:dyDescent="0.2">
      <c r="A15" s="67"/>
      <c r="B15" s="68" t="s">
        <v>172</v>
      </c>
      <c r="C15" s="69">
        <f>SUMPRODUCT((MONTH(PRENOTAZIONI!$A$3:$A$263)=1)*(YEAR(PRENOTAZIONI!$A$3:$A$263)=2026)*(PRENOTAZIONI!$D$3:$D$263="White Cottage")*PRENOTAZIONI!$H$3:$H$263)</f>
        <v>0</v>
      </c>
      <c r="D15" s="70">
        <f t="shared" si="0"/>
        <v>0</v>
      </c>
      <c r="E15" s="71">
        <f t="shared" si="1"/>
        <v>0</v>
      </c>
      <c r="F15" s="72">
        <f>SUMPRODUCT((PRENOTAZIONI!$A$3:$A$263&lt;DATE(2026,2,1))*(PRENOTAZIONI!$B$3:$B$263&gt;DATE(2026,1,1))*(YEAR(PRENOTAZIONI!$A$3:$A$263)=2026)*(PRENOTAZIONI!$D$3:$D$263="White Cottage")*((PRENOTAZIONI!$B$3:$B$263*(PRENOTAZIONI!$B$3:$B$263&lt;DATE(2026,2,1))+DATE(2026,2,1)*(PRENOTAZIONI!$B$3:$B$263&gt;=DATE(2026,2,1)))-(PRENOTAZIONI!$A$3:$A$263*(PRENOTAZIONI!$A$3:$A$263&gt;DATE(2026,1,1))+DATE(2026,1,1)*(PRENOTAZIONI!$A$3:$A$263&lt;=DATE(2026,1,1)))))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5" s="72">
        <f>SUMPRODUCT((MONTH(PRENOTAZIONI!$A$3:$A$263)=1)*(YEAR(PRENOTAZIONI!$A$3:$A$263)=2026)*(PRENOTAZIONI!$D$3:$D$263="White Cottage"))</f>
        <v>0</v>
      </c>
      <c r="H15" s="67"/>
    </row>
    <row r="16" spans="1:18" ht="20" customHeight="1" x14ac:dyDescent="0.2">
      <c r="A16" s="67"/>
      <c r="B16" s="68" t="s">
        <v>98</v>
      </c>
      <c r="C16" s="69">
        <f>SUMPRODUCT((MONTH(PRENOTAZIONI!$A$3:$A$263)=1)*(YEAR(PRENOTAZIONI!$A$3:$A$263)=2026)*(PRENOTAZIONI!$D$3:$D$263="Villa Nella")*PRENOTAZIONI!$H$3:$H$263)</f>
        <v>0</v>
      </c>
      <c r="D16" s="70">
        <f t="shared" si="0"/>
        <v>0</v>
      </c>
      <c r="E16" s="71">
        <f t="shared" si="1"/>
        <v>0</v>
      </c>
      <c r="F16" s="72">
        <f>SUMPRODUCT((PRENOTAZIONI!$A$3:$A$263&lt;DATE(2026,2,1))*(PRENOTAZIONI!$B$3:$B$263&gt;DATE(2026,1,1))*(YEAR(PRENOTAZIONI!$A$3:$A$263)=2026)*(PRENOTAZIONI!$D$3:$D$263="Villa Nella")*((PRENOTAZIONI!$B$3:$B$263*(PRENOTAZIONI!$B$3:$B$263&lt;DATE(2026,2,1))+DATE(2026,2,1)*(PRENOTAZIONI!$B$3:$B$263&gt;=DATE(2026,2,1)))-(PRENOTAZIONI!$A$3:$A$263*(PRENOTAZIONI!$A$3:$A$263&gt;DATE(2026,1,1))+DATE(2026,1,1)*(PRENOTAZIONI!$A$3:$A$263&lt;=DATE(2026,1,1)))))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6" s="72">
        <f>SUMPRODUCT((MONTH(PRENOTAZIONI!$A$3:$A$263)=1)*(YEAR(PRENOTAZIONI!$A$3:$A$263)=2026)*(PRENOTAZIONI!$D$3:$D$263="Villa Nella"))</f>
        <v>0</v>
      </c>
      <c r="H16" s="67"/>
    </row>
    <row r="17" spans="1:8" ht="20" customHeight="1" x14ac:dyDescent="0.2">
      <c r="A17" s="67"/>
      <c r="B17" s="68" t="s">
        <v>125</v>
      </c>
      <c r="C17" s="69">
        <f>SUMPRODUCT((MONTH(PRENOTAZIONI!$A$3:$A$263)=1)*(YEAR(PRENOTAZIONI!$A$3:$A$263)=2026)*(PRENOTAZIONI!$D$3:$D$263="Nel Cuore di Lanciano")*PRENOTAZIONI!$H$3:$H$263)</f>
        <v>0</v>
      </c>
      <c r="D17" s="70">
        <f t="shared" si="0"/>
        <v>0</v>
      </c>
      <c r="E17" s="71">
        <f t="shared" si="1"/>
        <v>0</v>
      </c>
      <c r="F17" s="72">
        <f>SUMPRODUCT((PRENOTAZIONI!$A$3:$A$263&lt;DATE(2026,2,1))*(PRENOTAZIONI!$B$3:$B$263&gt;DATE(2026,1,1))*(YEAR(PRENOTAZIONI!$A$3:$A$263)=2026)*(PRENOTAZIONI!$D$3:$D$263="Nel Cuore di Lanciano")*((PRENOTAZIONI!$B$3:$B$263*(PRENOTAZIONI!$B$3:$B$263&lt;DATE(2026,2,1))+DATE(2026,2,1)*(PRENOTAZIONI!$B$3:$B$263&gt;=DATE(2026,2,1)))-(PRENOTAZIONI!$A$3:$A$263*(PRENOTAZIONI!$A$3:$A$263&gt;DATE(2026,1,1))+DATE(2026,1,1)*(PRENOTAZIONI!$A$3:$A$263&lt;=DATE(2026,1,1)))))</f>
        <v>0</v>
      </c>
      <c r="G17" s="72">
        <f>SUMPRODUCT((MONTH(PRENOTAZIONI!$A$3:$A$263)=1)*(YEAR(PRENOTAZIONI!$A$3:$A$263)=2026)*(PRENOTAZIONI!$D$3:$D$263="Nel Cuore di Lanciano"))</f>
        <v>0</v>
      </c>
      <c r="H17" s="67"/>
    </row>
    <row r="18" spans="1:8" ht="24" customHeight="1" x14ac:dyDescent="0.2">
      <c r="A18" s="63"/>
      <c r="B18" s="73" t="s">
        <v>147</v>
      </c>
      <c r="C18" s="74">
        <f>SUM(C4:C17)</f>
        <v>915.94</v>
      </c>
      <c r="D18" s="74">
        <f>SUM(D4:D17)</f>
        <v>715.8</v>
      </c>
      <c r="E18" s="74">
        <f>SUM(E4:E17)</f>
        <v>200.14</v>
      </c>
      <c r="F18" s="75">
        <f>SUM(F4:F17)</f>
        <v>28</v>
      </c>
      <c r="G18" s="75">
        <f>SUM(G4:G17)</f>
        <v>4</v>
      </c>
      <c r="H18" s="63"/>
    </row>
    <row r="20" spans="1:8" ht="24" customHeight="1" x14ac:dyDescent="0.2">
      <c r="A20" s="64" t="s">
        <v>182</v>
      </c>
      <c r="B20" s="65"/>
      <c r="C20" s="65"/>
      <c r="D20" s="65"/>
      <c r="E20" s="65"/>
      <c r="F20" s="65"/>
      <c r="G20" s="65"/>
      <c r="H20" s="65"/>
    </row>
    <row r="21" spans="1:8" ht="34" customHeight="1" x14ac:dyDescent="0.2">
      <c r="A21" s="66" t="s">
        <v>175</v>
      </c>
      <c r="B21" s="66" t="s">
        <v>169</v>
      </c>
      <c r="C21" s="66" t="s">
        <v>176</v>
      </c>
      <c r="D21" s="66" t="s">
        <v>177</v>
      </c>
      <c r="E21" s="66" t="s">
        <v>178</v>
      </c>
      <c r="F21" s="66" t="s">
        <v>179</v>
      </c>
      <c r="G21" s="66" t="s">
        <v>180</v>
      </c>
      <c r="H21" s="66" t="s">
        <v>18</v>
      </c>
    </row>
    <row r="22" spans="1:8" ht="20" customHeight="1" x14ac:dyDescent="0.2">
      <c r="A22" s="67"/>
      <c r="B22" s="68" t="s">
        <v>32</v>
      </c>
      <c r="C22" s="69">
        <f>SUMPRODUCT((MONTH(PRENOTAZIONI!$A$3:$A$263)=2)*(YEAR(PRENOTAZIONI!$A$3:$A$263)=2026)*(PRENOTAZIONI!$D$3:$D$263="Sotto la Quercia")*PRENOTAZIONI!$H$3:$H$263)</f>
        <v>0</v>
      </c>
      <c r="D22" s="70">
        <f t="shared" ref="D22:D35" si="2">C22-E22</f>
        <v>0</v>
      </c>
      <c r="E22" s="71">
        <f>C22*0.25</f>
        <v>0</v>
      </c>
      <c r="F22" s="72">
        <f>SUMPRODUCT((PRENOTAZIONI!$A$3:$A$263&lt;DATE(2026,3,1))*(PRENOTAZIONI!$B$3:$B$263&gt;DATE(2026,2,1))*(YEAR(PRENOTAZIONI!$A$3:$A$263)=2026)*(PRENOTAZIONI!$D$3:$D$263="Sotto la Quercia")*((PRENOTAZIONI!$B$3:$B$263*(PRENOTAZIONI!$B$3:$B$263&lt;DATE(2026,3,1))+DATE(2026,3,1)*(PRENOTAZIONI!$B$3:$B$263&gt;=DATE(2026,3,1)))-(PRENOTAZIONI!$A$3:$A$263*(PRENOTAZIONI!$A$3:$A$263&gt;DATE(2026,2,1))+DATE(2026,2,1)*(PRENOTAZIONI!$A$3:$A$263&lt;=DATE(2026,2,1)))))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22" s="72">
        <f>SUMPRODUCT((MONTH(PRENOTAZIONI!$A$3:$A$263)=2)*(YEAR(PRENOTAZIONI!$A$3:$A$263)=2026)*(PRENOTAZIONI!$D$3:$D$263="Sotto la Quercia"))</f>
        <v>0</v>
      </c>
      <c r="H22" s="67"/>
    </row>
    <row r="23" spans="1:8" ht="20" customHeight="1" x14ac:dyDescent="0.2">
      <c r="A23" s="67"/>
      <c r="B23" s="68" t="s">
        <v>45</v>
      </c>
      <c r="C23" s="69">
        <f>SUMPRODUCT((MONTH(PRENOTAZIONI!$A$3:$A$263)=2)*(YEAR(PRENOTAZIONI!$A$3:$A$263)=2026)*(PRENOTAZIONI!$D$3:$D$263="Villa Elena")*PRENOTAZIONI!$H$3:$H$263)</f>
        <v>162</v>
      </c>
      <c r="D23" s="70">
        <f t="shared" si="2"/>
        <v>121.5</v>
      </c>
      <c r="E23" s="71">
        <f>C23*0.25</f>
        <v>40.5</v>
      </c>
      <c r="F23" s="72">
        <f>SUMPRODUCT((PRENOTAZIONI!$A$3:$A$263&lt;DATE(2026,3,1))*(PRENOTAZIONI!$B$3:$B$263&gt;DATE(2026,2,1))*(YEAR(PRENOTAZIONI!$A$3:$A$263)=2026)*(PRENOTAZIONI!$D$3:$D$263="Villa Elena")*((PRENOTAZIONI!$B$3:$B$263*(PRENOTAZIONI!$B$3:$B$263&lt;DATE(2026,3,1))+DATE(2026,3,1)*(PRENOTAZIONI!$B$3:$B$263&gt;=DATE(2026,3,1)))-(PRENOTAZIONI!$A$3:$A$263*(PRENOTAZIONI!$A$3:$A$263&gt;DATE(2026,2,1))+DATE(2026,2,1)*(PRENOTAZIONI!$A$3:$A$263&lt;=DATE(2026,2,1)))))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2</v>
      </c>
      <c r="G23" s="72">
        <f>SUMPRODUCT((MONTH(PRENOTAZIONI!$A$3:$A$263)=2)*(YEAR(PRENOTAZIONI!$A$3:$A$263)=2026)*(PRENOTAZIONI!$D$3:$D$263="Villa Elena"))</f>
        <v>1</v>
      </c>
      <c r="H23" s="67"/>
    </row>
    <row r="24" spans="1:8" ht="20" customHeight="1" x14ac:dyDescent="0.2">
      <c r="A24" s="67"/>
      <c r="B24" s="68" t="s">
        <v>39</v>
      </c>
      <c r="C24" s="69">
        <f>SUMPRODUCT((MONTH(PRENOTAZIONI!$A$3:$A$263)=2)*(YEAR(PRENOTAZIONI!$A$3:$A$263)=2026)*(PRENOTAZIONI!$D$3:$D$263="Casa nel Borgo")*PRENOTAZIONI!$H$3:$H$263)</f>
        <v>1075.1300000000001</v>
      </c>
      <c r="D24" s="70">
        <f t="shared" si="2"/>
        <v>806.34750000000008</v>
      </c>
      <c r="E24" s="71">
        <f>C24*0.25</f>
        <v>268.78250000000003</v>
      </c>
      <c r="F24" s="72">
        <f>SUMPRODUCT((PRENOTAZIONI!$A$3:$A$263&lt;DATE(2026,3,1))*(PRENOTAZIONI!$B$3:$B$263&gt;DATE(2026,2,1))*(YEAR(PRENOTAZIONI!$A$3:$A$263)=2026)*(PRENOTAZIONI!$D$3:$D$263="Casa nel Borgo")*((PRENOTAZIONI!$B$3:$B$263*(PRENOTAZIONI!$B$3:$B$263&lt;DATE(2026,3,1))+DATE(2026,3,1)*(PRENOTAZIONI!$B$3:$B$263&gt;=DATE(2026,3,1)))-(PRENOTAZIONI!$A$3:$A$263*(PRENOTAZIONI!$A$3:$A$263&gt;DATE(2026,2,1))+DATE(2026,2,1)*(PRENOTAZIONI!$A$3:$A$263&lt;=DATE(2026,2,1)))))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25</v>
      </c>
      <c r="G24" s="72">
        <f>SUMPRODUCT((MONTH(PRENOTAZIONI!$A$3:$A$263)=2)*(YEAR(PRENOTAZIONI!$A$3:$A$263)=2026)*(PRENOTAZIONI!$D$3:$D$263="Casa nel Borgo"))</f>
        <v>3</v>
      </c>
      <c r="H24" s="67"/>
    </row>
    <row r="25" spans="1:8" ht="20" customHeight="1" x14ac:dyDescent="0.2">
      <c r="A25" s="67"/>
      <c r="B25" s="68" t="s">
        <v>51</v>
      </c>
      <c r="C25" s="69">
        <f>SUMPRODUCT((MONTH(PRENOTAZIONI!$A$3:$A$263)=2)*(YEAR(PRENOTAZIONI!$A$3:$A$263)=2026)*(PRENOTAZIONI!$D$3:$D$263="Via San Rocco")*PRENOTAZIONI!$H$3:$H$263)</f>
        <v>0</v>
      </c>
      <c r="D25" s="70">
        <f t="shared" si="2"/>
        <v>0</v>
      </c>
      <c r="E25" s="71">
        <f>C25*0.1</f>
        <v>0</v>
      </c>
      <c r="F25" s="72">
        <f>SUMPRODUCT((PRENOTAZIONI!$A$3:$A$263&lt;DATE(2026,3,1))*(PRENOTAZIONI!$B$3:$B$263&gt;DATE(2026,2,1))*(YEAR(PRENOTAZIONI!$A$3:$A$263)=2026)*(PRENOTAZIONI!$D$3:$D$263="Via San Rocco")*((PRENOTAZIONI!$B$3:$B$263*(PRENOTAZIONI!$B$3:$B$263&lt;DATE(2026,3,1))+DATE(2026,3,1)*(PRENOTAZIONI!$B$3:$B$263&gt;=DATE(2026,3,1)))-(PRENOTAZIONI!$A$3:$A$263*(PRENOTAZIONI!$A$3:$A$263&gt;DATE(2026,2,1))+DATE(2026,2,1)*(PRENOTAZIONI!$A$3:$A$263&lt;=DATE(2026,2,1)))))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1</v>
      </c>
      <c r="G25" s="72">
        <f>SUMPRODUCT((MONTH(PRENOTAZIONI!$A$3:$A$263)=2)*(YEAR(PRENOTAZIONI!$A$3:$A$263)=2026)*(PRENOTAZIONI!$D$3:$D$263="Via San Rocco"))</f>
        <v>0</v>
      </c>
      <c r="H25" s="67"/>
    </row>
    <row r="26" spans="1:8" ht="20" customHeight="1" x14ac:dyDescent="0.2">
      <c r="A26" s="67"/>
      <c r="B26" s="68" t="s">
        <v>60</v>
      </c>
      <c r="C26" s="69">
        <f>SUMPRODUCT((MONTH(PRENOTAZIONI!$A$3:$A$263)=2)*(YEAR(PRENOTAZIONI!$A$3:$A$263)=2026)*(PRENOTAZIONI!$D$3:$D$263="Via Cavour")*PRENOTAZIONI!$H$3:$H$263)</f>
        <v>0</v>
      </c>
      <c r="D26" s="70">
        <f t="shared" si="2"/>
        <v>0</v>
      </c>
      <c r="E26" s="71">
        <f>C26*0.1</f>
        <v>0</v>
      </c>
      <c r="F26" s="72">
        <f>SUMPRODUCT((PRENOTAZIONI!$A$3:$A$263&lt;DATE(2026,3,1))*(PRENOTAZIONI!$B$3:$B$263&gt;DATE(2026,2,1))*(YEAR(PRENOTAZIONI!$A$3:$A$263)=2026)*(PRENOTAZIONI!$D$3:$D$263="Via Cavour")*((PRENOTAZIONI!$B$3:$B$263*(PRENOTAZIONI!$B$3:$B$263&lt;DATE(2026,3,1))+DATE(2026,3,1)*(PRENOTAZIONI!$B$3:$B$263&gt;=DATE(2026,3,1)))-(PRENOTAZIONI!$A$3:$A$263*(PRENOTAZIONI!$A$3:$A$263&gt;DATE(2026,2,1))+DATE(2026,2,1)*(PRENOTAZIONI!$A$3:$A$263&lt;=DATE(2026,2,1)))))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26" s="72">
        <f>SUMPRODUCT((MONTH(PRENOTAZIONI!$A$3:$A$263)=2)*(YEAR(PRENOTAZIONI!$A$3:$A$263)=2026)*(PRENOTAZIONI!$D$3:$D$263="Via Cavour"))</f>
        <v>0</v>
      </c>
      <c r="H26" s="67"/>
    </row>
    <row r="27" spans="1:8" ht="20" customHeight="1" x14ac:dyDescent="0.2">
      <c r="A27" s="67"/>
      <c r="B27" s="68" t="s">
        <v>93</v>
      </c>
      <c r="C27" s="69">
        <f>SUMPRODUCT((MONTH(PRENOTAZIONI!$A$3:$A$263)=2)*(YEAR(PRENOTAZIONI!$A$3:$A$263)=2026)*(PRENOTAZIONI!$D$3:$D$263="Casa Letizia")*PRENOTAZIONI!$H$3:$H$263)</f>
        <v>0</v>
      </c>
      <c r="D27" s="70">
        <f t="shared" si="2"/>
        <v>0</v>
      </c>
      <c r="E27" s="71">
        <f t="shared" ref="E27:E35" si="3">C27*0.25</f>
        <v>0</v>
      </c>
      <c r="F27" s="72">
        <f>SUMPRODUCT((PRENOTAZIONI!$A$3:$A$263&lt;DATE(2026,3,1))*(PRENOTAZIONI!$B$3:$B$263&gt;DATE(2026,2,1))*(YEAR(PRENOTAZIONI!$A$3:$A$263)=2026)*(PRENOTAZIONI!$D$3:$D$263="Casa Letizia")*((PRENOTAZIONI!$B$3:$B$263*(PRENOTAZIONI!$B$3:$B$263&lt;DATE(2026,3,1))+DATE(2026,3,1)*(PRENOTAZIONI!$B$3:$B$263&gt;=DATE(2026,3,1)))-(PRENOTAZIONI!$A$3:$A$263*(PRENOTAZIONI!$A$3:$A$263&gt;DATE(2026,2,1))+DATE(2026,2,1)*(PRENOTAZIONI!$A$3:$A$263&lt;=DATE(2026,2,1)))))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27" s="72">
        <f>SUMPRODUCT((MONTH(PRENOTAZIONI!$A$3:$A$263)=2)*(YEAR(PRENOTAZIONI!$A$3:$A$263)=2026)*(PRENOTAZIONI!$D$3:$D$263="Casa Letizia"))</f>
        <v>0</v>
      </c>
      <c r="H27" s="67"/>
    </row>
    <row r="28" spans="1:8" ht="20" customHeight="1" x14ac:dyDescent="0.2">
      <c r="A28" s="67"/>
      <c r="B28" s="68" t="s">
        <v>96</v>
      </c>
      <c r="C28" s="69">
        <f>SUMPRODUCT((MONTH(PRENOTAZIONI!$A$3:$A$263)=2)*(YEAR(PRENOTAZIONI!$A$3:$A$263)=2026)*(PRENOTAZIONI!$D$3:$D$263="Miramare")*PRENOTAZIONI!$H$3:$H$263)</f>
        <v>0</v>
      </c>
      <c r="D28" s="70">
        <f t="shared" si="2"/>
        <v>0</v>
      </c>
      <c r="E28" s="71">
        <f t="shared" si="3"/>
        <v>0</v>
      </c>
      <c r="F28" s="72">
        <f>SUMPRODUCT((PRENOTAZIONI!$A$3:$A$263&lt;DATE(2026,3,1))*(PRENOTAZIONI!$B$3:$B$263&gt;DATE(2026,2,1))*(YEAR(PRENOTAZIONI!$A$3:$A$263)=2026)*(PRENOTAZIONI!$D$3:$D$263="Miramare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28" s="72">
        <f>SUMPRODUCT((MONTH(PRENOTAZIONI!$A$3:$A$263)=2)*(YEAR(PRENOTAZIONI!$A$3:$A$263)=2026)*(PRENOTAZIONI!$D$3:$D$263="Miramare"))</f>
        <v>0</v>
      </c>
      <c r="H28" s="67"/>
    </row>
    <row r="29" spans="1:8" ht="20" customHeight="1" x14ac:dyDescent="0.2">
      <c r="A29" s="67"/>
      <c r="B29" s="68" t="s">
        <v>69</v>
      </c>
      <c r="C29" s="69">
        <f>SUMPRODUCT((MONTH(PRENOTAZIONI!$A$3:$A$263)=2)*(YEAR(PRENOTAZIONI!$A$3:$A$263)=2026)*(PRENOTAZIONI!$D$3:$D$263="Agantonio")*PRENOTAZIONI!$H$3:$H$263)</f>
        <v>0</v>
      </c>
      <c r="D29" s="70">
        <f t="shared" si="2"/>
        <v>0</v>
      </c>
      <c r="E29" s="71">
        <f t="shared" si="3"/>
        <v>0</v>
      </c>
      <c r="F29" s="72">
        <f>SUMPRODUCT((PRENOTAZIONI!$A$3:$A$263&lt;DATE(2026,3,1))*(PRENOTAZIONI!$B$3:$B$263&gt;DATE(2026,2,1))*(YEAR(PRENOTAZIONI!$A$3:$A$263)=2026)*(PRENOTAZIONI!$D$3:$D$263="Agantonio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29" s="72">
        <f>SUMPRODUCT((MONTH(PRENOTAZIONI!$A$3:$A$263)=2)*(YEAR(PRENOTAZIONI!$A$3:$A$263)=2026)*(PRENOTAZIONI!$D$3:$D$263="Agantonio"))</f>
        <v>0</v>
      </c>
      <c r="H29" s="67"/>
    </row>
    <row r="30" spans="1:8" ht="20" customHeight="1" x14ac:dyDescent="0.2">
      <c r="A30" s="67"/>
      <c r="B30" s="68" t="s">
        <v>63</v>
      </c>
      <c r="C30" s="69">
        <f>SUMPRODUCT((MONTH(PRENOTAZIONI!$A$3:$A$263)=2)*(YEAR(PRENOTAZIONI!$A$3:$A$263)=2026)*(PRENOTAZIONI!$D$3:$D$263="Casa Bella Gialla")*PRENOTAZIONI!$H$3:$H$263)</f>
        <v>0</v>
      </c>
      <c r="D30" s="70">
        <f t="shared" si="2"/>
        <v>0</v>
      </c>
      <c r="E30" s="71">
        <f t="shared" si="3"/>
        <v>0</v>
      </c>
      <c r="F30" s="72">
        <f>SUMPRODUCT((PRENOTAZIONI!$A$3:$A$263&lt;DATE(2026,3,1))*(PRENOTAZIONI!$B$3:$B$263&gt;DATE(2026,2,1))*(YEAR(PRENOTAZIONI!$A$3:$A$263)=2026)*(PRENOTAZIONI!$D$3:$D$263="Casa Bella Gialla")*((PRENOTAZIONI!$B$3:$B$263*(PRENOTAZIONI!$B$3:$B$263&lt;DATE(2026,3,1))+DATE(2026,3,1)*(PRENOTAZIONI!$B$3:$B$263&gt;=DATE(2026,3,1)))-(PRENOTAZIONI!$A$3:$A$263*(PRENOTAZIONI!$A$3:$A$263&gt;DATE(2026,2,1))+DATE(2026,2,1)*(PRENOTAZIONI!$A$3:$A$263&lt;=DATE(2026,2,1)))))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0" s="72">
        <f>SUMPRODUCT((MONTH(PRENOTAZIONI!$A$3:$A$263)=2)*(YEAR(PRENOTAZIONI!$A$3:$A$263)=2026)*(PRENOTAZIONI!$D$3:$D$263="Casa Bella Gialla"))</f>
        <v>0</v>
      </c>
      <c r="H30" s="67"/>
    </row>
    <row r="31" spans="1:8" ht="20" customHeight="1" x14ac:dyDescent="0.2">
      <c r="A31" s="67"/>
      <c r="B31" s="68" t="s">
        <v>115</v>
      </c>
      <c r="C31" s="69">
        <f>SUMPRODUCT((MONTH(PRENOTAZIONI!$A$3:$A$263)=2)*(YEAR(PRENOTAZIONI!$A$3:$A$263)=2026)*(PRENOTAZIONI!$D$3:$D$263="Casa Verde Oliva")*PRENOTAZIONI!$H$3:$H$263)</f>
        <v>0</v>
      </c>
      <c r="D31" s="70">
        <f t="shared" si="2"/>
        <v>0</v>
      </c>
      <c r="E31" s="71">
        <f t="shared" si="3"/>
        <v>0</v>
      </c>
      <c r="F31" s="72">
        <f>SUMPRODUCT((PRENOTAZIONI!$A$3:$A$263&lt;DATE(2026,3,1))*(PRENOTAZIONI!$B$3:$B$263&gt;DATE(2026,2,1))*(YEAR(PRENOTAZIONI!$A$3:$A$263)=2026)*(PRENOTAZIONI!$D$3:$D$263="Casa Verde Oliva")*((PRENOTAZIONI!$B$3:$B$263*(PRENOTAZIONI!$B$3:$B$263&lt;DATE(2026,3,1))+DATE(2026,3,1)*(PRENOTAZIONI!$B$3:$B$263&gt;=DATE(2026,3,1)))-(PRENOTAZIONI!$A$3:$A$263*(PRENOTAZIONI!$A$3:$A$263&gt;DATE(2026,2,1))+DATE(2026,2,1)*(PRENOTAZIONI!$A$3:$A$263&lt;=DATE(2026,2,1)))))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1" s="72">
        <f>SUMPRODUCT((MONTH(PRENOTAZIONI!$A$3:$A$263)=2)*(YEAR(PRENOTAZIONI!$A$3:$A$263)=2026)*(PRENOTAZIONI!$D$3:$D$263="Casa Verde Oliva"))</f>
        <v>0</v>
      </c>
      <c r="H31" s="67"/>
    </row>
    <row r="32" spans="1:8" ht="20" customHeight="1" x14ac:dyDescent="0.2">
      <c r="A32" s="67"/>
      <c r="B32" s="68" t="s">
        <v>171</v>
      </c>
      <c r="C32" s="69">
        <f>SUMPRODUCT((MONTH(PRENOTAZIONI!$A$3:$A$263)=2)*(YEAR(PRENOTAZIONI!$A$3:$A$263)=2026)*(PRENOTAZIONI!$D$3:$D$263="Casa Nicola")*PRENOTAZIONI!$H$3:$H$263)</f>
        <v>0</v>
      </c>
      <c r="D32" s="70">
        <f t="shared" si="2"/>
        <v>0</v>
      </c>
      <c r="E32" s="71">
        <f t="shared" si="3"/>
        <v>0</v>
      </c>
      <c r="F32" s="72">
        <f>SUMPRODUCT((PRENOTAZIONI!$A$3:$A$263&lt;DATE(2026,3,1))*(PRENOTAZIONI!$B$3:$B$263&gt;DATE(2026,2,1))*(YEAR(PRENOTAZIONI!$A$3:$A$263)=2026)*(PRENOTAZIONI!$D$3:$D$263="Casa Nicola")*((PRENOTAZIONI!$B$3:$B$263*(PRENOTAZIONI!$B$3:$B$263&lt;DATE(2026,3,1))+DATE(2026,3,1)*(PRENOTAZIONI!$B$3:$B$263&gt;=DATE(2026,3,1)))-(PRENOTAZIONI!$A$3:$A$263*(PRENOTAZIONI!$A$3:$A$263&gt;DATE(2026,2,1))+DATE(2026,2,1)*(PRENOTAZIONI!$A$3:$A$263&lt;=DATE(2026,2,1)))))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2" s="72">
        <f>SUMPRODUCT((MONTH(PRENOTAZIONI!$A$3:$A$263)=2)*(YEAR(PRENOTAZIONI!$A$3:$A$263)=2026)*(PRENOTAZIONI!$D$3:$D$263="Casa Nicola"))</f>
        <v>0</v>
      </c>
      <c r="H32" s="67"/>
    </row>
    <row r="33" spans="1:8" ht="20" customHeight="1" x14ac:dyDescent="0.2">
      <c r="A33" s="67"/>
      <c r="B33" s="68" t="s">
        <v>172</v>
      </c>
      <c r="C33" s="69">
        <f>SUMPRODUCT((MONTH(PRENOTAZIONI!$A$3:$A$263)=2)*(YEAR(PRENOTAZIONI!$A$3:$A$263)=2026)*(PRENOTAZIONI!$D$3:$D$263="White Cottage")*PRENOTAZIONI!$H$3:$H$263)</f>
        <v>0</v>
      </c>
      <c r="D33" s="70">
        <f t="shared" si="2"/>
        <v>0</v>
      </c>
      <c r="E33" s="71">
        <f t="shared" si="3"/>
        <v>0</v>
      </c>
      <c r="F33" s="72">
        <f>SUMPRODUCT((PRENOTAZIONI!$A$3:$A$263&lt;DATE(2026,3,1))*(PRENOTAZIONI!$B$3:$B$263&gt;DATE(2026,2,1))*(YEAR(PRENOTAZIONI!$A$3:$A$263)=2026)*(PRENOTAZIONI!$D$3:$D$263="White Cottage")*((PRENOTAZIONI!$B$3:$B$263*(PRENOTAZIONI!$B$3:$B$263&lt;DATE(2026,3,1))+DATE(2026,3,1)*(PRENOTAZIONI!$B$3:$B$263&gt;=DATE(2026,3,1)))-(PRENOTAZIONI!$A$3:$A$263*(PRENOTAZIONI!$A$3:$A$263&gt;DATE(2026,2,1))+DATE(2026,2,1)*(PRENOTAZIONI!$A$3:$A$263&lt;=DATE(2026,2,1)))))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3" s="72">
        <f>SUMPRODUCT((MONTH(PRENOTAZIONI!$A$3:$A$263)=2)*(YEAR(PRENOTAZIONI!$A$3:$A$263)=2026)*(PRENOTAZIONI!$D$3:$D$263="White Cottage"))</f>
        <v>0</v>
      </c>
      <c r="H33" s="67"/>
    </row>
    <row r="34" spans="1:8" ht="20" customHeight="1" x14ac:dyDescent="0.2">
      <c r="A34" s="67"/>
      <c r="B34" s="68" t="s">
        <v>98</v>
      </c>
      <c r="C34" s="69">
        <f>SUMPRODUCT((MONTH(PRENOTAZIONI!$A$3:$A$263)=2)*(YEAR(PRENOTAZIONI!$A$3:$A$263)=2026)*(PRENOTAZIONI!$D$3:$D$263="Villa Nella")*PRENOTAZIONI!$H$3:$H$263)</f>
        <v>0</v>
      </c>
      <c r="D34" s="70">
        <f t="shared" si="2"/>
        <v>0</v>
      </c>
      <c r="E34" s="71">
        <f t="shared" si="3"/>
        <v>0</v>
      </c>
      <c r="F34" s="72">
        <f>SUMPRODUCT((PRENOTAZIONI!$A$3:$A$263&lt;DATE(2026,3,1))*(PRENOTAZIONI!$B$3:$B$263&gt;DATE(2026,2,1))*(YEAR(PRENOTAZIONI!$A$3:$A$263)=2026)*(PRENOTAZIONI!$D$3:$D$263="Villa Nella")*((PRENOTAZIONI!$B$3:$B$263*(PRENOTAZIONI!$B$3:$B$263&lt;DATE(2026,3,1))+DATE(2026,3,1)*(PRENOTAZIONI!$B$3:$B$263&gt;=DATE(2026,3,1)))-(PRENOTAZIONI!$A$3:$A$263*(PRENOTAZIONI!$A$3:$A$263&gt;DATE(2026,2,1))+DATE(2026,2,1)*(PRENOTAZIONI!$A$3:$A$263&lt;=DATE(2026,2,1)))))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4" s="72">
        <f>SUMPRODUCT((MONTH(PRENOTAZIONI!$A$3:$A$263)=2)*(YEAR(PRENOTAZIONI!$A$3:$A$263)=2026)*(PRENOTAZIONI!$D$3:$D$263="Villa Nella"))</f>
        <v>0</v>
      </c>
      <c r="H34" s="67"/>
    </row>
    <row r="35" spans="1:8" ht="20" customHeight="1" x14ac:dyDescent="0.2">
      <c r="A35" s="67"/>
      <c r="B35" s="68" t="s">
        <v>125</v>
      </c>
      <c r="C35" s="69">
        <f>SUMPRODUCT((MONTH(PRENOTAZIONI!$A$3:$A$263)=2)*(YEAR(PRENOTAZIONI!$A$3:$A$263)=2026)*(PRENOTAZIONI!$D$3:$D$263="Nel Cuore di Lanciano")*PRENOTAZIONI!$H$3:$H$263)</f>
        <v>0</v>
      </c>
      <c r="D35" s="70">
        <f t="shared" si="2"/>
        <v>0</v>
      </c>
      <c r="E35" s="71">
        <f t="shared" si="3"/>
        <v>0</v>
      </c>
      <c r="F35" s="72">
        <f>SUMPRODUCT((PRENOTAZIONI!$A$3:$A$263&lt;DATE(2026,3,1))*(PRENOTAZIONI!$B$3:$B$263&gt;DATE(2026,2,1))*(YEAR(PRENOTAZIONI!$A$3:$A$263)=2026)*(PRENOTAZIONI!$D$3:$D$263="Nel Cuore di Lanciano")*((PRENOTAZIONI!$B$3:$B$263*(PRENOTAZIONI!$B$3:$B$263&lt;DATE(2026,3,1))+DATE(2026,3,1)*(PRENOTAZIONI!$B$3:$B$263&gt;=DATE(2026,3,1)))-(PRENOTAZIONI!$A$3:$A$263*(PRENOTAZIONI!$A$3:$A$263&gt;DATE(2026,2,1))+DATE(2026,2,1)*(PRENOTAZIONI!$A$3:$A$263&lt;=DATE(2026,2,1)))))</f>
        <v>0</v>
      </c>
      <c r="G35" s="72">
        <f>SUMPRODUCT((MONTH(PRENOTAZIONI!$A$3:$A$263)=2)*(YEAR(PRENOTAZIONI!$A$3:$A$263)=2026)*(PRENOTAZIONI!$D$3:$D$263="Nel Cuore di Lanciano"))</f>
        <v>0</v>
      </c>
      <c r="H35" s="67"/>
    </row>
    <row r="36" spans="1:8" ht="24" customHeight="1" x14ac:dyDescent="0.2">
      <c r="A36" s="63"/>
      <c r="B36" s="73" t="s">
        <v>147</v>
      </c>
      <c r="C36" s="74">
        <f>SUM(C22:C35)</f>
        <v>1237.1300000000001</v>
      </c>
      <c r="D36" s="74">
        <f>SUM(D22:D35)</f>
        <v>927.84750000000008</v>
      </c>
      <c r="E36" s="74">
        <f>SUM(E22:E35)</f>
        <v>309.28250000000003</v>
      </c>
      <c r="F36" s="75">
        <f>SUM(F22:F35)</f>
        <v>28</v>
      </c>
      <c r="G36" s="75">
        <f>SUM(G22:G35)</f>
        <v>4</v>
      </c>
      <c r="H36" s="63"/>
    </row>
    <row r="38" spans="1:8" ht="24" customHeight="1" x14ac:dyDescent="0.2">
      <c r="A38" s="64" t="s">
        <v>183</v>
      </c>
      <c r="B38" s="65"/>
      <c r="C38" s="65"/>
      <c r="D38" s="65"/>
      <c r="E38" s="65"/>
      <c r="F38" s="65"/>
      <c r="G38" s="65"/>
      <c r="H38" s="65"/>
    </row>
    <row r="39" spans="1:8" ht="34" customHeight="1" x14ac:dyDescent="0.2">
      <c r="A39" s="66" t="s">
        <v>175</v>
      </c>
      <c r="B39" s="66" t="s">
        <v>169</v>
      </c>
      <c r="C39" s="66" t="s">
        <v>176</v>
      </c>
      <c r="D39" s="66" t="s">
        <v>177</v>
      </c>
      <c r="E39" s="66" t="s">
        <v>178</v>
      </c>
      <c r="F39" s="66" t="s">
        <v>179</v>
      </c>
      <c r="G39" s="66" t="s">
        <v>180</v>
      </c>
      <c r="H39" s="66" t="s">
        <v>18</v>
      </c>
    </row>
    <row r="40" spans="1:8" ht="20" customHeight="1" x14ac:dyDescent="0.2">
      <c r="A40" s="67"/>
      <c r="B40" s="68" t="s">
        <v>32</v>
      </c>
      <c r="C40" s="69">
        <f>SUMPRODUCT((MONTH(PRENOTAZIONI!$A$3:$A$263)=3)*(YEAR(PRENOTAZIONI!$A$3:$A$263)=2026)*(PRENOTAZIONI!$D$3:$D$263="Sotto la Quercia")*PRENOTAZIONI!$H$3:$H$263)</f>
        <v>0</v>
      </c>
      <c r="D40" s="70">
        <f t="shared" ref="D40:D53" si="4">C40-E40</f>
        <v>0</v>
      </c>
      <c r="E40" s="71">
        <f>C40*0.25</f>
        <v>0</v>
      </c>
      <c r="F40" s="72">
        <f>SUMPRODUCT((PRENOTAZIONI!$A$3:$A$263&lt;DATE(2026,4,1))*(PRENOTAZIONI!$B$3:$B$263&gt;DATE(2026,3,1))*(YEAR(PRENOTAZIONI!$A$3:$A$263)=2026)*(PRENOTAZIONI!$D$3:$D$263="Sotto la Quercia")*((PRENOTAZIONI!$B$3:$B$263*(PRENOTAZIONI!$B$3:$B$263&lt;DATE(2026,4,1))+DATE(2026,4,1)*(PRENOTAZIONI!$B$3:$B$263&gt;=DATE(2026,4,1)))-(PRENOTAZIONI!$A$3:$A$263*(PRENOTAZIONI!$A$3:$A$263&gt;DATE(2026,3,1))+DATE(2026,3,1)*(PRENOTAZIONI!$A$3:$A$263&lt;=DATE(2026,3,1)))))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40" s="72">
        <f>SUMPRODUCT((MONTH(PRENOTAZIONI!$A$3:$A$263)=3)*(YEAR(PRENOTAZIONI!$A$3:$A$263)=2026)*(PRENOTAZIONI!$D$3:$D$263="Sotto la Quercia"))</f>
        <v>0</v>
      </c>
      <c r="H40" s="67"/>
    </row>
    <row r="41" spans="1:8" ht="20" customHeight="1" x14ac:dyDescent="0.2">
      <c r="A41" s="67"/>
      <c r="B41" s="68" t="s">
        <v>45</v>
      </c>
      <c r="C41" s="69">
        <f>SUMPRODUCT((MONTH(PRENOTAZIONI!$A$3:$A$263)=3)*(YEAR(PRENOTAZIONI!$A$3:$A$263)=2026)*(PRENOTAZIONI!$D$3:$D$263="Villa Elena")*PRENOTAZIONI!$H$3:$H$263)</f>
        <v>162</v>
      </c>
      <c r="D41" s="70">
        <f t="shared" si="4"/>
        <v>121.5</v>
      </c>
      <c r="E41" s="71">
        <f>C41*0.25</f>
        <v>40.5</v>
      </c>
      <c r="F41" s="72">
        <f>SUMPRODUCT((PRENOTAZIONI!$A$3:$A$263&lt;DATE(2026,4,1))*(PRENOTAZIONI!$B$3:$B$263&gt;DATE(2026,3,1))*(YEAR(PRENOTAZIONI!$A$3:$A$263)=2026)*(PRENOTAZIONI!$D$3:$D$263="Villa Elena")*((PRENOTAZIONI!$B$3:$B$263*(PRENOTAZIONI!$B$3:$B$263&lt;DATE(2026,4,1))+DATE(2026,4,1)*(PRENOTAZIONI!$B$3:$B$263&gt;=DATE(2026,4,1)))-(PRENOTAZIONI!$A$3:$A$263*(PRENOTAZIONI!$A$3:$A$263&gt;DATE(2026,3,1))+DATE(2026,3,1)*(PRENOTAZIONI!$A$3:$A$263&lt;=DATE(2026,3,1)))))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2</v>
      </c>
      <c r="G41" s="72">
        <f>SUMPRODUCT((MONTH(PRENOTAZIONI!$A$3:$A$263)=3)*(YEAR(PRENOTAZIONI!$A$3:$A$263)=2026)*(PRENOTAZIONI!$D$3:$D$263="Villa Elena"))</f>
        <v>1</v>
      </c>
      <c r="H41" s="67"/>
    </row>
    <row r="42" spans="1:8" ht="20" customHeight="1" x14ac:dyDescent="0.2">
      <c r="A42" s="67"/>
      <c r="B42" s="68" t="s">
        <v>39</v>
      </c>
      <c r="C42" s="69">
        <f>SUMPRODUCT((MONTH(PRENOTAZIONI!$A$3:$A$263)=3)*(YEAR(PRENOTAZIONI!$A$3:$A$263)=2026)*(PRENOTAZIONI!$D$3:$D$263="Casa nel Borgo")*PRENOTAZIONI!$H$3:$H$263)</f>
        <v>300</v>
      </c>
      <c r="D42" s="70">
        <f t="shared" si="4"/>
        <v>225</v>
      </c>
      <c r="E42" s="71">
        <f>C42*0.25</f>
        <v>75</v>
      </c>
      <c r="F42" s="72">
        <f>SUMPRODUCT((PRENOTAZIONI!$A$3:$A$263&lt;DATE(2026,4,1))*(PRENOTAZIONI!$B$3:$B$263&gt;DATE(2026,3,1))*(YEAR(PRENOTAZIONI!$A$3:$A$263)=2026)*(PRENOTAZIONI!$D$3:$D$263="Casa nel Borgo")*((PRENOTAZIONI!$B$3:$B$263*(PRENOTAZIONI!$B$3:$B$263&lt;DATE(2026,4,1))+DATE(2026,4,1)*(PRENOTAZIONI!$B$3:$B$263&gt;=DATE(2026,4,1)))-(PRENOTAZIONI!$A$3:$A$263*(PRENOTAZIONI!$A$3:$A$263&gt;DATE(2026,3,1))+DATE(2026,3,1)*(PRENOTAZIONI!$A$3:$A$263&lt;=DATE(2026,3,1)))))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20</v>
      </c>
      <c r="G42" s="72">
        <f>SUMPRODUCT((MONTH(PRENOTAZIONI!$A$3:$A$263)=3)*(YEAR(PRENOTAZIONI!$A$3:$A$263)=2026)*(PRENOTAZIONI!$D$3:$D$263="Casa nel Borgo"))</f>
        <v>1</v>
      </c>
      <c r="H42" s="67"/>
    </row>
    <row r="43" spans="1:8" ht="20" customHeight="1" x14ac:dyDescent="0.2">
      <c r="A43" s="67"/>
      <c r="B43" s="68" t="s">
        <v>51</v>
      </c>
      <c r="C43" s="69">
        <f>SUMPRODUCT((MONTH(PRENOTAZIONI!$A$3:$A$263)=3)*(YEAR(PRENOTAZIONI!$A$3:$A$263)=2026)*(PRENOTAZIONI!$D$3:$D$263="Via San Rocco")*PRENOTAZIONI!$H$3:$H$263)</f>
        <v>225</v>
      </c>
      <c r="D43" s="70">
        <f t="shared" si="4"/>
        <v>202.5</v>
      </c>
      <c r="E43" s="71">
        <f>C43*0.1</f>
        <v>22.5</v>
      </c>
      <c r="F43" s="72">
        <f>SUMPRODUCT((PRENOTAZIONI!$A$3:$A$263&lt;DATE(2026,4,1))*(PRENOTAZIONI!$B$3:$B$263&gt;DATE(2026,3,1))*(YEAR(PRENOTAZIONI!$A$3:$A$263)=2026)*(PRENOTAZIONI!$D$3:$D$263="Via San Rocco")*((PRENOTAZIONI!$B$3:$B$263*(PRENOTAZIONI!$B$3:$B$263&lt;DATE(2026,4,1))+DATE(2026,4,1)*(PRENOTAZIONI!$B$3:$B$263&gt;=DATE(2026,4,1)))-(PRENOTAZIONI!$A$3:$A$263*(PRENOTAZIONI!$A$3:$A$263&gt;DATE(2026,3,1))+DATE(2026,3,1)*(PRENOTAZIONI!$A$3:$A$263&lt;=DATE(2026,3,1)))))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3</v>
      </c>
      <c r="G43" s="72">
        <f>SUMPRODUCT((MONTH(PRENOTAZIONI!$A$3:$A$263)=3)*(YEAR(PRENOTAZIONI!$A$3:$A$263)=2026)*(PRENOTAZIONI!$D$3:$D$263="Via San Rocco"))</f>
        <v>1</v>
      </c>
      <c r="H43" s="67"/>
    </row>
    <row r="44" spans="1:8" ht="20" customHeight="1" x14ac:dyDescent="0.2">
      <c r="A44" s="67"/>
      <c r="B44" s="68" t="s">
        <v>60</v>
      </c>
      <c r="C44" s="69">
        <f>SUMPRODUCT((MONTH(PRENOTAZIONI!$A$3:$A$263)=3)*(YEAR(PRENOTAZIONI!$A$3:$A$263)=2026)*(PRENOTAZIONI!$D$3:$D$263="Via Cavour")*PRENOTAZIONI!$H$3:$H$263)</f>
        <v>322.64</v>
      </c>
      <c r="D44" s="70">
        <f t="shared" si="4"/>
        <v>290.37599999999998</v>
      </c>
      <c r="E44" s="71">
        <f>C44*0.1</f>
        <v>32.264000000000003</v>
      </c>
      <c r="F44" s="72">
        <f>SUMPRODUCT((PRENOTAZIONI!$A$3:$A$263&lt;DATE(2026,4,1))*(PRENOTAZIONI!$B$3:$B$263&gt;DATE(2026,3,1))*(YEAR(PRENOTAZIONI!$A$3:$A$263)=2026)*(PRENOTAZIONI!$D$3:$D$263="Via Cavour")*((PRENOTAZIONI!$B$3:$B$263*(PRENOTAZIONI!$B$3:$B$263&lt;DATE(2026,4,1))+DATE(2026,4,1)*(PRENOTAZIONI!$B$3:$B$263&gt;=DATE(2026,4,1)))-(PRENOTAZIONI!$A$3:$A$263*(PRENOTAZIONI!$A$3:$A$263&gt;DATE(2026,3,1))+DATE(2026,3,1)*(PRENOTAZIONI!$A$3:$A$263&lt;=DATE(2026,3,1)))))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4</v>
      </c>
      <c r="G44" s="72">
        <f>SUMPRODUCT((MONTH(PRENOTAZIONI!$A$3:$A$263)=3)*(YEAR(PRENOTAZIONI!$A$3:$A$263)=2026)*(PRENOTAZIONI!$D$3:$D$263="Via Cavour"))</f>
        <v>1</v>
      </c>
      <c r="H44" s="67"/>
    </row>
    <row r="45" spans="1:8" ht="20" customHeight="1" x14ac:dyDescent="0.2">
      <c r="A45" s="67"/>
      <c r="B45" s="68" t="s">
        <v>93</v>
      </c>
      <c r="C45" s="69">
        <f>SUMPRODUCT((MONTH(PRENOTAZIONI!$A$3:$A$263)=3)*(YEAR(PRENOTAZIONI!$A$3:$A$263)=2026)*(PRENOTAZIONI!$D$3:$D$263="Casa Letizia")*PRENOTAZIONI!$H$3:$H$263)</f>
        <v>0</v>
      </c>
      <c r="D45" s="70">
        <f t="shared" si="4"/>
        <v>0</v>
      </c>
      <c r="E45" s="71">
        <f t="shared" ref="E45:E53" si="5">C45*0.25</f>
        <v>0</v>
      </c>
      <c r="F45" s="72">
        <f>SUMPRODUCT((PRENOTAZIONI!$A$3:$A$263&lt;DATE(2026,4,1))*(PRENOTAZIONI!$B$3:$B$263&gt;DATE(2026,3,1))*(YEAR(PRENOTAZIONI!$A$3:$A$263)=2026)*(PRENOTAZIONI!$D$3:$D$263="Casa Letizia")*((PRENOTAZIONI!$B$3:$B$263*(PRENOTAZIONI!$B$3:$B$263&lt;DATE(2026,4,1))+DATE(2026,4,1)*(PRENOTAZIONI!$B$3:$B$263&gt;=DATE(2026,4,1)))-(PRENOTAZIONI!$A$3:$A$263*(PRENOTAZIONI!$A$3:$A$263&gt;DATE(2026,3,1))+DATE(2026,3,1)*(PRENOTAZIONI!$A$3:$A$263&lt;=DATE(2026,3,1)))))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45" s="72">
        <f>SUMPRODUCT((MONTH(PRENOTAZIONI!$A$3:$A$263)=3)*(YEAR(PRENOTAZIONI!$A$3:$A$263)=2026)*(PRENOTAZIONI!$D$3:$D$263="Casa Letizia"))</f>
        <v>0</v>
      </c>
      <c r="H45" s="67"/>
    </row>
    <row r="46" spans="1:8" ht="20" customHeight="1" x14ac:dyDescent="0.2">
      <c r="A46" s="67"/>
      <c r="B46" s="68" t="s">
        <v>96</v>
      </c>
      <c r="C46" s="69">
        <f>SUMPRODUCT((MONTH(PRENOTAZIONI!$A$3:$A$263)=3)*(YEAR(PRENOTAZIONI!$A$3:$A$263)=2026)*(PRENOTAZIONI!$D$3:$D$263="Miramare")*PRENOTAZIONI!$H$3:$H$263)</f>
        <v>0</v>
      </c>
      <c r="D46" s="70">
        <f t="shared" si="4"/>
        <v>0</v>
      </c>
      <c r="E46" s="71">
        <f t="shared" si="5"/>
        <v>0</v>
      </c>
      <c r="F46" s="72">
        <f>SUMPRODUCT((PRENOTAZIONI!$A$3:$A$263&lt;DATE(2026,4,1))*(PRENOTAZIONI!$B$3:$B$263&gt;DATE(2026,3,1))*(YEAR(PRENOTAZIONI!$A$3:$A$263)=2026)*(PRENOTAZIONI!$D$3:$D$263="Miramare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46" s="72">
        <f>SUMPRODUCT((MONTH(PRENOTAZIONI!$A$3:$A$263)=3)*(YEAR(PRENOTAZIONI!$A$3:$A$263)=2026)*(PRENOTAZIONI!$D$3:$D$263="Miramare"))</f>
        <v>0</v>
      </c>
      <c r="H46" s="67"/>
    </row>
    <row r="47" spans="1:8" ht="20" customHeight="1" x14ac:dyDescent="0.2">
      <c r="A47" s="67"/>
      <c r="B47" s="68" t="s">
        <v>69</v>
      </c>
      <c r="C47" s="69">
        <f>SUMPRODUCT((MONTH(PRENOTAZIONI!$A$3:$A$263)=3)*(YEAR(PRENOTAZIONI!$A$3:$A$263)=2026)*(PRENOTAZIONI!$D$3:$D$263="Agantonio")*PRENOTAZIONI!$H$3:$H$263)</f>
        <v>0</v>
      </c>
      <c r="D47" s="70">
        <f t="shared" si="4"/>
        <v>0</v>
      </c>
      <c r="E47" s="71">
        <f t="shared" si="5"/>
        <v>0</v>
      </c>
      <c r="F47" s="72">
        <f>SUMPRODUCT((PRENOTAZIONI!$A$3:$A$263&lt;DATE(2026,4,1))*(PRENOTAZIONI!$B$3:$B$263&gt;DATE(2026,3,1))*(YEAR(PRENOTAZIONI!$A$3:$A$263)=2026)*(PRENOTAZIONI!$D$3:$D$263="Agantonio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47" s="72">
        <f>SUMPRODUCT((MONTH(PRENOTAZIONI!$A$3:$A$263)=3)*(YEAR(PRENOTAZIONI!$A$3:$A$263)=2026)*(PRENOTAZIONI!$D$3:$D$263="Agantonio"))</f>
        <v>0</v>
      </c>
      <c r="H47" s="67"/>
    </row>
    <row r="48" spans="1:8" ht="20" customHeight="1" x14ac:dyDescent="0.2">
      <c r="A48" s="67"/>
      <c r="B48" s="68" t="s">
        <v>63</v>
      </c>
      <c r="C48" s="69">
        <f>SUMPRODUCT((MONTH(PRENOTAZIONI!$A$3:$A$263)=3)*(YEAR(PRENOTAZIONI!$A$3:$A$263)=2026)*(PRENOTAZIONI!$D$3:$D$263="Casa Bella Gialla")*PRENOTAZIONI!$H$3:$H$263)</f>
        <v>202.65</v>
      </c>
      <c r="D48" s="70">
        <f t="shared" si="4"/>
        <v>151.98750000000001</v>
      </c>
      <c r="E48" s="71">
        <f t="shared" si="5"/>
        <v>50.662500000000001</v>
      </c>
      <c r="F48" s="72">
        <f>SUMPRODUCT((PRENOTAZIONI!$A$3:$A$263&lt;DATE(2026,4,1))*(PRENOTAZIONI!$B$3:$B$263&gt;DATE(2026,3,1))*(YEAR(PRENOTAZIONI!$A$3:$A$263)=2026)*(PRENOTAZIONI!$D$3:$D$263="Casa Bella Gialla")*((PRENOTAZIONI!$B$3:$B$263*(PRENOTAZIONI!$B$3:$B$263&lt;DATE(2026,4,1))+DATE(2026,4,1)*(PRENOTAZIONI!$B$3:$B$263&gt;=DATE(2026,4,1)))-(PRENOTAZIONI!$A$3:$A$263*(PRENOTAZIONI!$A$3:$A$263&gt;DATE(2026,3,1))+DATE(2026,3,1)*(PRENOTAZIONI!$A$3:$A$263&lt;=DATE(2026,3,1)))))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3</v>
      </c>
      <c r="G48" s="72">
        <f>SUMPRODUCT((MONTH(PRENOTAZIONI!$A$3:$A$263)=3)*(YEAR(PRENOTAZIONI!$A$3:$A$263)=2026)*(PRENOTAZIONI!$D$3:$D$263="Casa Bella Gialla"))</f>
        <v>1</v>
      </c>
      <c r="H48" s="67"/>
    </row>
    <row r="49" spans="1:8" ht="20" customHeight="1" x14ac:dyDescent="0.2">
      <c r="A49" s="67"/>
      <c r="B49" s="68" t="s">
        <v>115</v>
      </c>
      <c r="C49" s="69">
        <f>SUMPRODUCT((MONTH(PRENOTAZIONI!$A$3:$A$263)=3)*(YEAR(PRENOTAZIONI!$A$3:$A$263)=2026)*(PRENOTAZIONI!$D$3:$D$263="Casa Verde Oliva")*PRENOTAZIONI!$H$3:$H$263)</f>
        <v>0</v>
      </c>
      <c r="D49" s="70">
        <f t="shared" si="4"/>
        <v>0</v>
      </c>
      <c r="E49" s="71">
        <f t="shared" si="5"/>
        <v>0</v>
      </c>
      <c r="F49" s="72">
        <f>SUMPRODUCT((PRENOTAZIONI!$A$3:$A$263&lt;DATE(2026,4,1))*(PRENOTAZIONI!$B$3:$B$263&gt;DATE(2026,3,1))*(YEAR(PRENOTAZIONI!$A$3:$A$263)=2026)*(PRENOTAZIONI!$D$3:$D$263="Casa Verde Oliva")*((PRENOTAZIONI!$B$3:$B$263*(PRENOTAZIONI!$B$3:$B$263&lt;DATE(2026,4,1))+DATE(2026,4,1)*(PRENOTAZIONI!$B$3:$B$263&gt;=DATE(2026,4,1)))-(PRENOTAZIONI!$A$3:$A$263*(PRENOTAZIONI!$A$3:$A$263&gt;DATE(2026,3,1))+DATE(2026,3,1)*(PRENOTAZIONI!$A$3:$A$263&lt;=DATE(2026,3,1)))))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49" s="72">
        <f>SUMPRODUCT((MONTH(PRENOTAZIONI!$A$3:$A$263)=3)*(YEAR(PRENOTAZIONI!$A$3:$A$263)=2026)*(PRENOTAZIONI!$D$3:$D$263="Casa Verde Oliva"))</f>
        <v>0</v>
      </c>
      <c r="H49" s="67"/>
    </row>
    <row r="50" spans="1:8" ht="20" customHeight="1" x14ac:dyDescent="0.2">
      <c r="A50" s="67"/>
      <c r="B50" s="68" t="s">
        <v>171</v>
      </c>
      <c r="C50" s="69">
        <f>SUMPRODUCT((MONTH(PRENOTAZIONI!$A$3:$A$263)=3)*(YEAR(PRENOTAZIONI!$A$3:$A$263)=2026)*(PRENOTAZIONI!$D$3:$D$263="Casa Nicola")*PRENOTAZIONI!$H$3:$H$263)</f>
        <v>0</v>
      </c>
      <c r="D50" s="70">
        <f t="shared" si="4"/>
        <v>0</v>
      </c>
      <c r="E50" s="71">
        <f t="shared" si="5"/>
        <v>0</v>
      </c>
      <c r="F50" s="72">
        <f>SUMPRODUCT((PRENOTAZIONI!$A$3:$A$263&lt;DATE(2026,4,1))*(PRENOTAZIONI!$B$3:$B$263&gt;DATE(2026,3,1))*(YEAR(PRENOTAZIONI!$A$3:$A$263)=2026)*(PRENOTAZIONI!$D$3:$D$263="Casa Nicola")*((PRENOTAZIONI!$B$3:$B$263*(PRENOTAZIONI!$B$3:$B$263&lt;DATE(2026,4,1))+DATE(2026,4,1)*(PRENOTAZIONI!$B$3:$B$263&gt;=DATE(2026,4,1)))-(PRENOTAZIONI!$A$3:$A$263*(PRENOTAZIONI!$A$3:$A$263&gt;DATE(2026,3,1))+DATE(2026,3,1)*(PRENOTAZIONI!$A$3:$A$263&lt;=DATE(2026,3,1)))))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50" s="72">
        <f>SUMPRODUCT((MONTH(PRENOTAZIONI!$A$3:$A$263)=3)*(YEAR(PRENOTAZIONI!$A$3:$A$263)=2026)*(PRENOTAZIONI!$D$3:$D$263="Casa Nicola"))</f>
        <v>0</v>
      </c>
      <c r="H50" s="67"/>
    </row>
    <row r="51" spans="1:8" ht="20" customHeight="1" x14ac:dyDescent="0.2">
      <c r="A51" s="67"/>
      <c r="B51" s="68" t="s">
        <v>172</v>
      </c>
      <c r="C51" s="69">
        <f>SUMPRODUCT((MONTH(PRENOTAZIONI!$A$3:$A$263)=3)*(YEAR(PRENOTAZIONI!$A$3:$A$263)=2026)*(PRENOTAZIONI!$D$3:$D$263="White Cottage")*PRENOTAZIONI!$H$3:$H$263)</f>
        <v>0</v>
      </c>
      <c r="D51" s="70">
        <f t="shared" si="4"/>
        <v>0</v>
      </c>
      <c r="E51" s="71">
        <f t="shared" si="5"/>
        <v>0</v>
      </c>
      <c r="F51" s="72">
        <f>SUMPRODUCT((PRENOTAZIONI!$A$3:$A$263&lt;DATE(2026,4,1))*(PRENOTAZIONI!$B$3:$B$263&gt;DATE(2026,3,1))*(YEAR(PRENOTAZIONI!$A$3:$A$263)=2026)*(PRENOTAZIONI!$D$3:$D$263="White Cottage")*((PRENOTAZIONI!$B$3:$B$263*(PRENOTAZIONI!$B$3:$B$263&lt;DATE(2026,4,1))+DATE(2026,4,1)*(PRENOTAZIONI!$B$3:$B$263&gt;=DATE(2026,4,1)))-(PRENOTAZIONI!$A$3:$A$263*(PRENOTAZIONI!$A$3:$A$263&gt;DATE(2026,3,1))+DATE(2026,3,1)*(PRENOTAZIONI!$A$3:$A$263&lt;=DATE(2026,3,1)))))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51" s="72">
        <f>SUMPRODUCT((MONTH(PRENOTAZIONI!$A$3:$A$263)=3)*(YEAR(PRENOTAZIONI!$A$3:$A$263)=2026)*(PRENOTAZIONI!$D$3:$D$263="White Cottage"))</f>
        <v>0</v>
      </c>
      <c r="H51" s="67"/>
    </row>
    <row r="52" spans="1:8" ht="20" customHeight="1" x14ac:dyDescent="0.2">
      <c r="A52" s="67"/>
      <c r="B52" s="68" t="s">
        <v>98</v>
      </c>
      <c r="C52" s="69">
        <f>SUMPRODUCT((MONTH(PRENOTAZIONI!$A$3:$A$263)=3)*(YEAR(PRENOTAZIONI!$A$3:$A$263)=2026)*(PRENOTAZIONI!$D$3:$D$263="Villa Nella")*PRENOTAZIONI!$H$3:$H$263)</f>
        <v>0</v>
      </c>
      <c r="D52" s="70">
        <f t="shared" si="4"/>
        <v>0</v>
      </c>
      <c r="E52" s="71">
        <f t="shared" si="5"/>
        <v>0</v>
      </c>
      <c r="F52" s="72">
        <f>SUMPRODUCT((PRENOTAZIONI!$A$3:$A$263&lt;DATE(2026,4,1))*(PRENOTAZIONI!$B$3:$B$263&gt;DATE(2026,3,1))*(YEAR(PRENOTAZIONI!$A$3:$A$263)=2026)*(PRENOTAZIONI!$D$3:$D$263="Villa Nella")*((PRENOTAZIONI!$B$3:$B$263*(PRENOTAZIONI!$B$3:$B$263&lt;DATE(2026,4,1))+DATE(2026,4,1)*(PRENOTAZIONI!$B$3:$B$263&gt;=DATE(2026,4,1)))-(PRENOTAZIONI!$A$3:$A$263*(PRENOTAZIONI!$A$3:$A$263&gt;DATE(2026,3,1))+DATE(2026,3,1)*(PRENOTAZIONI!$A$3:$A$263&lt;=DATE(2026,3,1)))))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52" s="72">
        <f>SUMPRODUCT((MONTH(PRENOTAZIONI!$A$3:$A$263)=3)*(YEAR(PRENOTAZIONI!$A$3:$A$263)=2026)*(PRENOTAZIONI!$D$3:$D$263="Villa Nella"))</f>
        <v>0</v>
      </c>
      <c r="H52" s="67"/>
    </row>
    <row r="53" spans="1:8" ht="20" customHeight="1" x14ac:dyDescent="0.2">
      <c r="A53" s="67"/>
      <c r="B53" s="68" t="s">
        <v>125</v>
      </c>
      <c r="C53" s="69">
        <f>SUMPRODUCT((MONTH(PRENOTAZIONI!$A$3:$A$263)=3)*(YEAR(PRENOTAZIONI!$A$3:$A$263)=2026)*(PRENOTAZIONI!$D$3:$D$263="Nel Cuore di Lanciano")*PRENOTAZIONI!$H$3:$H$263)</f>
        <v>0</v>
      </c>
      <c r="D53" s="70">
        <f t="shared" si="4"/>
        <v>0</v>
      </c>
      <c r="E53" s="71">
        <f t="shared" si="5"/>
        <v>0</v>
      </c>
      <c r="F53" s="72">
        <f>SUMPRODUCT((PRENOTAZIONI!$A$3:$A$263&lt;DATE(2026,4,1))*(PRENOTAZIONI!$B$3:$B$263&gt;DATE(2026,3,1))*(YEAR(PRENOTAZIONI!$A$3:$A$263)=2026)*(PRENOTAZIONI!$D$3:$D$263="Nel Cuore di Lanciano")*((PRENOTAZIONI!$B$3:$B$263*(PRENOTAZIONI!$B$3:$B$263&lt;DATE(2026,4,1))+DATE(2026,4,1)*(PRENOTAZIONI!$B$3:$B$263&gt;=DATE(2026,4,1)))-(PRENOTAZIONI!$A$3:$A$263*(PRENOTAZIONI!$A$3:$A$263&gt;DATE(2026,3,1))+DATE(2026,3,1)*(PRENOTAZIONI!$A$3:$A$263&lt;=DATE(2026,3,1)))))</f>
        <v>0</v>
      </c>
      <c r="G53" s="72">
        <f>SUMPRODUCT((MONTH(PRENOTAZIONI!$A$3:$A$263)=3)*(YEAR(PRENOTAZIONI!$A$3:$A$263)=2026)*(PRENOTAZIONI!$D$3:$D$263="Nel Cuore di Lanciano"))</f>
        <v>0</v>
      </c>
      <c r="H53" s="67"/>
    </row>
    <row r="54" spans="1:8" ht="24" customHeight="1" x14ac:dyDescent="0.2">
      <c r="A54" s="63"/>
      <c r="B54" s="73" t="s">
        <v>147</v>
      </c>
      <c r="C54" s="74">
        <f>SUM(C40:C53)</f>
        <v>1212.29</v>
      </c>
      <c r="D54" s="74">
        <f>SUM(D40:D53)</f>
        <v>991.36349999999993</v>
      </c>
      <c r="E54" s="74">
        <f>SUM(E40:E53)</f>
        <v>220.9265</v>
      </c>
      <c r="F54" s="75">
        <f>SUM(F40:F53)</f>
        <v>32</v>
      </c>
      <c r="G54" s="75">
        <f>SUM(G40:G53)</f>
        <v>5</v>
      </c>
      <c r="H54" s="63"/>
    </row>
    <row r="56" spans="1:8" ht="24" customHeight="1" x14ac:dyDescent="0.2">
      <c r="A56" s="64" t="s">
        <v>184</v>
      </c>
      <c r="B56" s="65"/>
      <c r="C56" s="65"/>
      <c r="D56" s="65"/>
      <c r="E56" s="65"/>
      <c r="F56" s="65"/>
      <c r="G56" s="65"/>
      <c r="H56" s="65"/>
    </row>
    <row r="57" spans="1:8" ht="34" customHeight="1" x14ac:dyDescent="0.2">
      <c r="A57" s="66" t="s">
        <v>175</v>
      </c>
      <c r="B57" s="66" t="s">
        <v>169</v>
      </c>
      <c r="C57" s="66" t="s">
        <v>176</v>
      </c>
      <c r="D57" s="66" t="s">
        <v>177</v>
      </c>
      <c r="E57" s="66" t="s">
        <v>178</v>
      </c>
      <c r="F57" s="66" t="s">
        <v>179</v>
      </c>
      <c r="G57" s="66" t="s">
        <v>180</v>
      </c>
      <c r="H57" s="66" t="s">
        <v>18</v>
      </c>
    </row>
    <row r="58" spans="1:8" ht="20" customHeight="1" x14ac:dyDescent="0.2">
      <c r="A58" s="67"/>
      <c r="B58" s="68" t="s">
        <v>32</v>
      </c>
      <c r="C58" s="69">
        <f>SUMPRODUCT((MONTH(PRENOTAZIONI!$A$3:$A$263)=4)*(YEAR(PRENOTAZIONI!$A$3:$A$263)=2026)*(PRENOTAZIONI!$D$3:$D$263="Sotto la Quercia")*PRENOTAZIONI!$H$3:$H$263)</f>
        <v>1800.52</v>
      </c>
      <c r="D58" s="70">
        <f t="shared" ref="D58:D71" si="6">C58-E58</f>
        <v>1350.3899999999999</v>
      </c>
      <c r="E58" s="71">
        <f>C58*0.25</f>
        <v>450.13</v>
      </c>
      <c r="F58" s="72">
        <f>SUMPRODUCT((PRENOTAZIONI!$A$3:$A$263&lt;DATE(2026,5,1))*(PRENOTAZIONI!$B$3:$B$263&gt;DATE(2026,4,1))*(YEAR(PRENOTAZIONI!$A$3:$A$263)=2026)*(PRENOTAZIONI!$D$3:$D$263="Sotto la Quercia")*((PRENOTAZIONI!$B$3:$B$263*(PRENOTAZIONI!$B$3:$B$263&lt;DATE(2026,5,1))+DATE(2026,5,1)*(PRENOTAZIONI!$B$3:$B$263&gt;=DATE(2026,5,1)))-(PRENOTAZIONI!$A$3:$A$263*(PRENOTAZIONI!$A$3:$A$263&gt;DATE(2026,4,1))+DATE(2026,4,1)*(PRENOTAZIONI!$A$3:$A$263&lt;=DATE(2026,4,1)))))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5</v>
      </c>
      <c r="G58" s="72">
        <f>SUMPRODUCT((MONTH(PRENOTAZIONI!$A$3:$A$263)=4)*(YEAR(PRENOTAZIONI!$A$3:$A$263)=2026)*(PRENOTAZIONI!$D$3:$D$263="Sotto la Quercia"))</f>
        <v>3</v>
      </c>
      <c r="H58" s="67"/>
    </row>
    <row r="59" spans="1:8" ht="20" customHeight="1" x14ac:dyDescent="0.2">
      <c r="A59" s="67"/>
      <c r="B59" s="68" t="s">
        <v>45</v>
      </c>
      <c r="C59" s="69">
        <f>SUMPRODUCT((MONTH(PRENOTAZIONI!$A$3:$A$263)=4)*(YEAR(PRENOTAZIONI!$A$3:$A$263)=2026)*(PRENOTAZIONI!$D$3:$D$263="Villa Elena")*PRENOTAZIONI!$H$3:$H$263)</f>
        <v>300</v>
      </c>
      <c r="D59" s="70">
        <f t="shared" si="6"/>
        <v>225</v>
      </c>
      <c r="E59" s="71">
        <f>C59*0.25</f>
        <v>75</v>
      </c>
      <c r="F59" s="72">
        <f>SUMPRODUCT((PRENOTAZIONI!$A$3:$A$263&lt;DATE(2026,5,1))*(PRENOTAZIONI!$B$3:$B$263&gt;DATE(2026,4,1))*(YEAR(PRENOTAZIONI!$A$3:$A$263)=2026)*(PRENOTAZIONI!$D$3:$D$263="Villa Elena")*((PRENOTAZIONI!$B$3:$B$263*(PRENOTAZIONI!$B$3:$B$263&lt;DATE(2026,5,1))+DATE(2026,5,1)*(PRENOTAZIONI!$B$3:$B$263&gt;=DATE(2026,5,1)))-(PRENOTAZIONI!$A$3:$A$263*(PRENOTAZIONI!$A$3:$A$263&gt;DATE(2026,4,1))+DATE(2026,4,1)*(PRENOTAZIONI!$A$3:$A$263&lt;=DATE(2026,4,1)))))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3</v>
      </c>
      <c r="G59" s="72">
        <f>SUMPRODUCT((MONTH(PRENOTAZIONI!$A$3:$A$263)=4)*(YEAR(PRENOTAZIONI!$A$3:$A$263)=2026)*(PRENOTAZIONI!$D$3:$D$263="Villa Elena"))</f>
        <v>1</v>
      </c>
      <c r="H59" s="67"/>
    </row>
    <row r="60" spans="1:8" ht="20" customHeight="1" x14ac:dyDescent="0.2">
      <c r="A60" s="67"/>
      <c r="B60" s="68" t="s">
        <v>39</v>
      </c>
      <c r="C60" s="69">
        <f>SUMPRODUCT((MONTH(PRENOTAZIONI!$A$3:$A$263)=4)*(YEAR(PRENOTAZIONI!$A$3:$A$263)=2026)*(PRENOTAZIONI!$D$3:$D$263="Casa nel Borgo")*PRENOTAZIONI!$H$3:$H$263)</f>
        <v>579.07999999999993</v>
      </c>
      <c r="D60" s="70">
        <f t="shared" si="6"/>
        <v>434.30999999999995</v>
      </c>
      <c r="E60" s="71">
        <f>C60*0.25</f>
        <v>144.76999999999998</v>
      </c>
      <c r="F60" s="72">
        <f>SUMPRODUCT((PRENOTAZIONI!$A$3:$A$263&lt;DATE(2026,5,1))*(PRENOTAZIONI!$B$3:$B$263&gt;DATE(2026,4,1))*(YEAR(PRENOTAZIONI!$A$3:$A$263)=2026)*(PRENOTAZIONI!$D$3:$D$263="Casa nel Borgo")*((PRENOTAZIONI!$B$3:$B$263*(PRENOTAZIONI!$B$3:$B$263&lt;DATE(2026,5,1))+DATE(2026,5,1)*(PRENOTAZIONI!$B$3:$B$263&gt;=DATE(2026,5,1)))-(PRENOTAZIONI!$A$3:$A$263*(PRENOTAZIONI!$A$3:$A$263&gt;DATE(2026,4,1))+DATE(2026,4,1)*(PRENOTAZIONI!$A$3:$A$263&lt;=DATE(2026,4,1)))))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6</v>
      </c>
      <c r="G60" s="72">
        <f>SUMPRODUCT((MONTH(PRENOTAZIONI!$A$3:$A$263)=4)*(YEAR(PRENOTAZIONI!$A$3:$A$263)=2026)*(PRENOTAZIONI!$D$3:$D$263="Casa nel Borgo"))</f>
        <v>2</v>
      </c>
      <c r="H60" s="67"/>
    </row>
    <row r="61" spans="1:8" ht="20" customHeight="1" x14ac:dyDescent="0.2">
      <c r="A61" s="67"/>
      <c r="B61" s="68" t="s">
        <v>51</v>
      </c>
      <c r="C61" s="69">
        <f>SUMPRODUCT((MONTH(PRENOTAZIONI!$A$3:$A$263)=4)*(YEAR(PRENOTAZIONI!$A$3:$A$263)=2026)*(PRENOTAZIONI!$D$3:$D$263="Via San Rocco")*PRENOTAZIONI!$H$3:$H$263)</f>
        <v>1433.22</v>
      </c>
      <c r="D61" s="70">
        <f t="shared" si="6"/>
        <v>1289.8980000000001</v>
      </c>
      <c r="E61" s="71">
        <f>C61*0.1</f>
        <v>143.322</v>
      </c>
      <c r="F61" s="72">
        <f>SUMPRODUCT((PRENOTAZIONI!$A$3:$A$263&lt;DATE(2026,5,1))*(PRENOTAZIONI!$B$3:$B$263&gt;DATE(2026,4,1))*(YEAR(PRENOTAZIONI!$A$3:$A$263)=2026)*(PRENOTAZIONI!$D$3:$D$263="Via San Rocco")*((PRENOTAZIONI!$B$3:$B$263*(PRENOTAZIONI!$B$3:$B$263&lt;DATE(2026,5,1))+DATE(2026,5,1)*(PRENOTAZIONI!$B$3:$B$263&gt;=DATE(2026,5,1)))-(PRENOTAZIONI!$A$3:$A$263*(PRENOTAZIONI!$A$3:$A$263&gt;DATE(2026,4,1))+DATE(2026,4,1)*(PRENOTAZIONI!$A$3:$A$263&lt;=DATE(2026,4,1)))))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16</v>
      </c>
      <c r="G61" s="72">
        <f>SUMPRODUCT((MONTH(PRENOTAZIONI!$A$3:$A$263)=4)*(YEAR(PRENOTAZIONI!$A$3:$A$263)=2026)*(PRENOTAZIONI!$D$3:$D$263="Via San Rocco"))</f>
        <v>2</v>
      </c>
      <c r="H61" s="67"/>
    </row>
    <row r="62" spans="1:8" ht="20" customHeight="1" x14ac:dyDescent="0.2">
      <c r="A62" s="67"/>
      <c r="B62" s="68" t="s">
        <v>60</v>
      </c>
      <c r="C62" s="69">
        <f>SUMPRODUCT((MONTH(PRENOTAZIONI!$A$3:$A$263)=4)*(YEAR(PRENOTAZIONI!$A$3:$A$263)=2026)*(PRENOTAZIONI!$D$3:$D$263="Via Cavour")*PRENOTAZIONI!$H$3:$H$263)</f>
        <v>420</v>
      </c>
      <c r="D62" s="70">
        <f t="shared" si="6"/>
        <v>378</v>
      </c>
      <c r="E62" s="71">
        <f>C62*0.1</f>
        <v>42</v>
      </c>
      <c r="F62" s="72">
        <f>SUMPRODUCT((PRENOTAZIONI!$A$3:$A$263&lt;DATE(2026,5,1))*(PRENOTAZIONI!$B$3:$B$263&gt;DATE(2026,4,1))*(YEAR(PRENOTAZIONI!$A$3:$A$263)=2026)*(PRENOTAZIONI!$D$3:$D$263="Via Cavour")*((PRENOTAZIONI!$B$3:$B$263*(PRENOTAZIONI!$B$3:$B$263&lt;DATE(2026,5,1))+DATE(2026,5,1)*(PRENOTAZIONI!$B$3:$B$263&gt;=DATE(2026,5,1)))-(PRENOTAZIONI!$A$3:$A$263*(PRENOTAZIONI!$A$3:$A$263&gt;DATE(2026,4,1))+DATE(2026,4,1)*(PRENOTAZIONI!$A$3:$A$263&lt;=DATE(2026,4,1)))))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4</v>
      </c>
      <c r="G62" s="72">
        <f>SUMPRODUCT((MONTH(PRENOTAZIONI!$A$3:$A$263)=4)*(YEAR(PRENOTAZIONI!$A$3:$A$263)=2026)*(PRENOTAZIONI!$D$3:$D$263="Via Cavour"))</f>
        <v>1</v>
      </c>
      <c r="H62" s="67"/>
    </row>
    <row r="63" spans="1:8" ht="20" customHeight="1" x14ac:dyDescent="0.2">
      <c r="A63" s="67"/>
      <c r="B63" s="68" t="s">
        <v>93</v>
      </c>
      <c r="C63" s="69">
        <f>SUMPRODUCT((MONTH(PRENOTAZIONI!$A$3:$A$263)=4)*(YEAR(PRENOTAZIONI!$A$3:$A$263)=2026)*(PRENOTAZIONI!$D$3:$D$263="Casa Letizia")*PRENOTAZIONI!$H$3:$H$263)</f>
        <v>0</v>
      </c>
      <c r="D63" s="70">
        <f t="shared" si="6"/>
        <v>0</v>
      </c>
      <c r="E63" s="71">
        <f t="shared" ref="E63:E71" si="7">C63*0.25</f>
        <v>0</v>
      </c>
      <c r="F63" s="72">
        <f>SUMPRODUCT((PRENOTAZIONI!$A$3:$A$263&lt;DATE(2026,5,1))*(PRENOTAZIONI!$B$3:$B$263&gt;DATE(2026,4,1))*(YEAR(PRENOTAZIONI!$A$3:$A$263)=2026)*(PRENOTAZIONI!$D$3:$D$263="Casa Letizia")*((PRENOTAZIONI!$B$3:$B$263*(PRENOTAZIONI!$B$3:$B$263&lt;DATE(2026,5,1))+DATE(2026,5,1)*(PRENOTAZIONI!$B$3:$B$263&gt;=DATE(2026,5,1)))-(PRENOTAZIONI!$A$3:$A$263*(PRENOTAZIONI!$A$3:$A$263&gt;DATE(2026,4,1))+DATE(2026,4,1)*(PRENOTAZIONI!$A$3:$A$263&lt;=DATE(2026,4,1)))))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3" s="72">
        <f>SUMPRODUCT((MONTH(PRENOTAZIONI!$A$3:$A$263)=4)*(YEAR(PRENOTAZIONI!$A$3:$A$263)=2026)*(PRENOTAZIONI!$D$3:$D$263="Casa Letizia"))</f>
        <v>0</v>
      </c>
      <c r="H63" s="67"/>
    </row>
    <row r="64" spans="1:8" ht="20" customHeight="1" x14ac:dyDescent="0.2">
      <c r="A64" s="67"/>
      <c r="B64" s="68" t="s">
        <v>96</v>
      </c>
      <c r="C64" s="69">
        <f>SUMPRODUCT((MONTH(PRENOTAZIONI!$A$3:$A$263)=4)*(YEAR(PRENOTAZIONI!$A$3:$A$263)=2026)*(PRENOTAZIONI!$D$3:$D$263="Miramare")*PRENOTAZIONI!$H$3:$H$263)</f>
        <v>0</v>
      </c>
      <c r="D64" s="70">
        <f t="shared" si="6"/>
        <v>0</v>
      </c>
      <c r="E64" s="71">
        <f t="shared" si="7"/>
        <v>0</v>
      </c>
      <c r="F64" s="72">
        <f>SUMPRODUCT((PRENOTAZIONI!$A$3:$A$263&lt;DATE(2026,5,1))*(PRENOTAZIONI!$B$3:$B$263&gt;DATE(2026,4,1))*(YEAR(PRENOTAZIONI!$A$3:$A$263)=2026)*(PRENOTAZIONI!$D$3:$D$263="Miramare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4" s="72">
        <f>SUMPRODUCT((MONTH(PRENOTAZIONI!$A$3:$A$263)=4)*(YEAR(PRENOTAZIONI!$A$3:$A$263)=2026)*(PRENOTAZIONI!$D$3:$D$263="Miramare"))</f>
        <v>0</v>
      </c>
      <c r="H64" s="67"/>
    </row>
    <row r="65" spans="1:8" ht="20" customHeight="1" x14ac:dyDescent="0.2">
      <c r="A65" s="67"/>
      <c r="B65" s="68" t="s">
        <v>69</v>
      </c>
      <c r="C65" s="69">
        <f>SUMPRODUCT((MONTH(PRENOTAZIONI!$A$3:$A$263)=4)*(YEAR(PRENOTAZIONI!$A$3:$A$263)=2026)*(PRENOTAZIONI!$D$3:$D$263="Agantonio")*PRENOTAZIONI!$H$3:$H$263)</f>
        <v>428.71000000000004</v>
      </c>
      <c r="D65" s="70">
        <f t="shared" si="6"/>
        <v>321.53250000000003</v>
      </c>
      <c r="E65" s="71">
        <f t="shared" si="7"/>
        <v>107.17750000000001</v>
      </c>
      <c r="F65" s="72">
        <f>SUMPRODUCT((PRENOTAZIONI!$A$3:$A$263&lt;DATE(2026,5,1))*(PRENOTAZIONI!$B$3:$B$263&gt;DATE(2026,4,1))*(YEAR(PRENOTAZIONI!$A$3:$A$263)=2026)*(PRENOTAZIONI!$D$3:$D$263="Agantonio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4</v>
      </c>
      <c r="G65" s="72">
        <f>SUMPRODUCT((MONTH(PRENOTAZIONI!$A$3:$A$263)=4)*(YEAR(PRENOTAZIONI!$A$3:$A$263)=2026)*(PRENOTAZIONI!$D$3:$D$263="Agantonio"))</f>
        <v>2</v>
      </c>
      <c r="H65" s="67"/>
    </row>
    <row r="66" spans="1:8" ht="20" customHeight="1" x14ac:dyDescent="0.2">
      <c r="A66" s="67"/>
      <c r="B66" s="68" t="s">
        <v>63</v>
      </c>
      <c r="C66" s="69">
        <f>SUMPRODUCT((MONTH(PRENOTAZIONI!$A$3:$A$263)=4)*(YEAR(PRENOTAZIONI!$A$3:$A$263)=2026)*(PRENOTAZIONI!$D$3:$D$263="Casa Bella Gialla")*PRENOTAZIONI!$H$3:$H$263)</f>
        <v>0</v>
      </c>
      <c r="D66" s="70">
        <f t="shared" si="6"/>
        <v>0</v>
      </c>
      <c r="E66" s="71">
        <f t="shared" si="7"/>
        <v>0</v>
      </c>
      <c r="F66" s="72">
        <f>SUMPRODUCT((PRENOTAZIONI!$A$3:$A$263&lt;DATE(2026,5,1))*(PRENOTAZIONI!$B$3:$B$263&gt;DATE(2026,4,1))*(YEAR(PRENOTAZIONI!$A$3:$A$263)=2026)*(PRENOTAZIONI!$D$3:$D$263="Casa Bella Gialla")*((PRENOTAZIONI!$B$3:$B$263*(PRENOTAZIONI!$B$3:$B$263&lt;DATE(2026,5,1))+DATE(2026,5,1)*(PRENOTAZIONI!$B$3:$B$263&gt;=DATE(2026,5,1)))-(PRENOTAZIONI!$A$3:$A$263*(PRENOTAZIONI!$A$3:$A$263&gt;DATE(2026,4,1))+DATE(2026,4,1)*(PRENOTAZIONI!$A$3:$A$263&lt;=DATE(2026,4,1)))))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6" s="72">
        <f>SUMPRODUCT((MONTH(PRENOTAZIONI!$A$3:$A$263)=4)*(YEAR(PRENOTAZIONI!$A$3:$A$263)=2026)*(PRENOTAZIONI!$D$3:$D$263="Casa Bella Gialla"))</f>
        <v>0</v>
      </c>
      <c r="H66" s="67"/>
    </row>
    <row r="67" spans="1:8" ht="20" customHeight="1" x14ac:dyDescent="0.2">
      <c r="A67" s="67"/>
      <c r="B67" s="68" t="s">
        <v>115</v>
      </c>
      <c r="C67" s="69">
        <f>SUMPRODUCT((MONTH(PRENOTAZIONI!$A$3:$A$263)=4)*(YEAR(PRENOTAZIONI!$A$3:$A$263)=2026)*(PRENOTAZIONI!$D$3:$D$263="Casa Verde Oliva")*PRENOTAZIONI!$H$3:$H$263)</f>
        <v>0</v>
      </c>
      <c r="D67" s="70">
        <f t="shared" si="6"/>
        <v>0</v>
      </c>
      <c r="E67" s="71">
        <f t="shared" si="7"/>
        <v>0</v>
      </c>
      <c r="F67" s="72">
        <f>SUMPRODUCT((PRENOTAZIONI!$A$3:$A$263&lt;DATE(2026,5,1))*(PRENOTAZIONI!$B$3:$B$263&gt;DATE(2026,4,1))*(YEAR(PRENOTAZIONI!$A$3:$A$263)=2026)*(PRENOTAZIONI!$D$3:$D$263="Casa Verde Oliva")*((PRENOTAZIONI!$B$3:$B$263*(PRENOTAZIONI!$B$3:$B$263&lt;DATE(2026,5,1))+DATE(2026,5,1)*(PRENOTAZIONI!$B$3:$B$263&gt;=DATE(2026,5,1)))-(PRENOTAZIONI!$A$3:$A$263*(PRENOTAZIONI!$A$3:$A$263&gt;DATE(2026,4,1))+DATE(2026,4,1)*(PRENOTAZIONI!$A$3:$A$263&lt;=DATE(2026,4,1)))))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7" s="72">
        <f>SUMPRODUCT((MONTH(PRENOTAZIONI!$A$3:$A$263)=4)*(YEAR(PRENOTAZIONI!$A$3:$A$263)=2026)*(PRENOTAZIONI!$D$3:$D$263="Casa Verde Oliva"))</f>
        <v>0</v>
      </c>
      <c r="H67" s="67"/>
    </row>
    <row r="68" spans="1:8" ht="20" customHeight="1" x14ac:dyDescent="0.2">
      <c r="A68" s="67"/>
      <c r="B68" s="68" t="s">
        <v>171</v>
      </c>
      <c r="C68" s="69">
        <f>SUMPRODUCT((MONTH(PRENOTAZIONI!$A$3:$A$263)=4)*(YEAR(PRENOTAZIONI!$A$3:$A$263)=2026)*(PRENOTAZIONI!$D$3:$D$263="Casa Nicola")*PRENOTAZIONI!$H$3:$H$263)</f>
        <v>0</v>
      </c>
      <c r="D68" s="70">
        <f t="shared" si="6"/>
        <v>0</v>
      </c>
      <c r="E68" s="71">
        <f t="shared" si="7"/>
        <v>0</v>
      </c>
      <c r="F68" s="72">
        <f>SUMPRODUCT((PRENOTAZIONI!$A$3:$A$263&lt;DATE(2026,5,1))*(PRENOTAZIONI!$B$3:$B$263&gt;DATE(2026,4,1))*(YEAR(PRENOTAZIONI!$A$3:$A$263)=2026)*(PRENOTAZIONI!$D$3:$D$263="Casa Nicola")*((PRENOTAZIONI!$B$3:$B$263*(PRENOTAZIONI!$B$3:$B$263&lt;DATE(2026,5,1))+DATE(2026,5,1)*(PRENOTAZIONI!$B$3:$B$263&gt;=DATE(2026,5,1)))-(PRENOTAZIONI!$A$3:$A$263*(PRENOTAZIONI!$A$3:$A$263&gt;DATE(2026,4,1))+DATE(2026,4,1)*(PRENOTAZIONI!$A$3:$A$263&lt;=DATE(2026,4,1)))))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8" s="72">
        <f>SUMPRODUCT((MONTH(PRENOTAZIONI!$A$3:$A$263)=4)*(YEAR(PRENOTAZIONI!$A$3:$A$263)=2026)*(PRENOTAZIONI!$D$3:$D$263="Casa Nicola"))</f>
        <v>0</v>
      </c>
      <c r="H68" s="67"/>
    </row>
    <row r="69" spans="1:8" ht="20" customHeight="1" x14ac:dyDescent="0.2">
      <c r="A69" s="67"/>
      <c r="B69" s="68" t="s">
        <v>172</v>
      </c>
      <c r="C69" s="69">
        <f>SUMPRODUCT((MONTH(PRENOTAZIONI!$A$3:$A$263)=4)*(YEAR(PRENOTAZIONI!$A$3:$A$263)=2026)*(PRENOTAZIONI!$D$3:$D$263="White Cottage")*PRENOTAZIONI!$H$3:$H$263)</f>
        <v>0</v>
      </c>
      <c r="D69" s="70">
        <f t="shared" si="6"/>
        <v>0</v>
      </c>
      <c r="E69" s="71">
        <f t="shared" si="7"/>
        <v>0</v>
      </c>
      <c r="F69" s="72">
        <f>SUMPRODUCT((PRENOTAZIONI!$A$3:$A$263&lt;DATE(2026,5,1))*(PRENOTAZIONI!$B$3:$B$263&gt;DATE(2026,4,1))*(YEAR(PRENOTAZIONI!$A$3:$A$263)=2026)*(PRENOTAZIONI!$D$3:$D$263="White Cottage")*((PRENOTAZIONI!$B$3:$B$263*(PRENOTAZIONI!$B$3:$B$263&lt;DATE(2026,5,1))+DATE(2026,5,1)*(PRENOTAZIONI!$B$3:$B$263&gt;=DATE(2026,5,1)))-(PRENOTAZIONI!$A$3:$A$263*(PRENOTAZIONI!$A$3:$A$263&gt;DATE(2026,4,1))+DATE(2026,4,1)*(PRENOTAZIONI!$A$3:$A$263&lt;=DATE(2026,4,1)))))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69" s="72">
        <f>SUMPRODUCT((MONTH(PRENOTAZIONI!$A$3:$A$263)=4)*(YEAR(PRENOTAZIONI!$A$3:$A$263)=2026)*(PRENOTAZIONI!$D$3:$D$263="White Cottage"))</f>
        <v>0</v>
      </c>
      <c r="H69" s="67"/>
    </row>
    <row r="70" spans="1:8" ht="20" customHeight="1" x14ac:dyDescent="0.2">
      <c r="A70" s="67"/>
      <c r="B70" s="68" t="s">
        <v>98</v>
      </c>
      <c r="C70" s="69">
        <f>SUMPRODUCT((MONTH(PRENOTAZIONI!$A$3:$A$263)=4)*(YEAR(PRENOTAZIONI!$A$3:$A$263)=2026)*(PRENOTAZIONI!$D$3:$D$263="Villa Nella")*PRENOTAZIONI!$H$3:$H$263)</f>
        <v>0</v>
      </c>
      <c r="D70" s="70">
        <f t="shared" si="6"/>
        <v>0</v>
      </c>
      <c r="E70" s="71">
        <f t="shared" si="7"/>
        <v>0</v>
      </c>
      <c r="F70" s="72">
        <f>SUMPRODUCT((PRENOTAZIONI!$A$3:$A$263&lt;DATE(2026,5,1))*(PRENOTAZIONI!$B$3:$B$263&gt;DATE(2026,4,1))*(YEAR(PRENOTAZIONI!$A$3:$A$263)=2026)*(PRENOTAZIONI!$D$3:$D$263="Villa Nella")*((PRENOTAZIONI!$B$3:$B$263*(PRENOTAZIONI!$B$3:$B$263&lt;DATE(2026,5,1))+DATE(2026,5,1)*(PRENOTAZIONI!$B$3:$B$263&gt;=DATE(2026,5,1)))-(PRENOTAZIONI!$A$3:$A$263*(PRENOTAZIONI!$A$3:$A$263&gt;DATE(2026,4,1))+DATE(2026,4,1)*(PRENOTAZIONI!$A$3:$A$263&lt;=DATE(2026,4,1)))))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70" s="72">
        <f>SUMPRODUCT((MONTH(PRENOTAZIONI!$A$3:$A$263)=4)*(YEAR(PRENOTAZIONI!$A$3:$A$263)=2026)*(PRENOTAZIONI!$D$3:$D$263="Villa Nella"))</f>
        <v>0</v>
      </c>
      <c r="H70" s="67"/>
    </row>
    <row r="71" spans="1:8" ht="20" customHeight="1" x14ac:dyDescent="0.2">
      <c r="A71" s="67"/>
      <c r="B71" s="68" t="s">
        <v>125</v>
      </c>
      <c r="C71" s="69">
        <f>SUMPRODUCT((MONTH(PRENOTAZIONI!$A$3:$A$263)=4)*(YEAR(PRENOTAZIONI!$A$3:$A$263)=2026)*(PRENOTAZIONI!$D$3:$D$263="Nel Cuore di Lanciano")*PRENOTAZIONI!$H$3:$H$263)</f>
        <v>0</v>
      </c>
      <c r="D71" s="70">
        <f t="shared" si="6"/>
        <v>0</v>
      </c>
      <c r="E71" s="71">
        <f t="shared" si="7"/>
        <v>0</v>
      </c>
      <c r="F71" s="72">
        <f>SUMPRODUCT((PRENOTAZIONI!$A$3:$A$263&lt;DATE(2026,5,1))*(PRENOTAZIONI!$B$3:$B$263&gt;DATE(2026,4,1))*(YEAR(PRENOTAZIONI!$A$3:$A$263)=2026)*(PRENOTAZIONI!$D$3:$D$263="Nel Cuore di Lanciano")*((PRENOTAZIONI!$B$3:$B$263*(PRENOTAZIONI!$B$3:$B$263&lt;DATE(2026,5,1))+DATE(2026,5,1)*(PRENOTAZIONI!$B$3:$B$263&gt;=DATE(2026,5,1)))-(PRENOTAZIONI!$A$3:$A$263*(PRENOTAZIONI!$A$3:$A$263&gt;DATE(2026,4,1))+DATE(2026,4,1)*(PRENOTAZIONI!$A$3:$A$263&lt;=DATE(2026,4,1)))))</f>
        <v>0</v>
      </c>
      <c r="G71" s="72">
        <f>SUMPRODUCT((MONTH(PRENOTAZIONI!$A$3:$A$263)=4)*(YEAR(PRENOTAZIONI!$A$3:$A$263)=2026)*(PRENOTAZIONI!$D$3:$D$263="Nel Cuore di Lanciano"))</f>
        <v>0</v>
      </c>
      <c r="H71" s="67"/>
    </row>
    <row r="72" spans="1:8" ht="24" customHeight="1" x14ac:dyDescent="0.2">
      <c r="A72" s="63"/>
      <c r="B72" s="73" t="s">
        <v>147</v>
      </c>
      <c r="C72" s="74">
        <f>SUM(C58:C71)</f>
        <v>4961.53</v>
      </c>
      <c r="D72" s="74">
        <f>SUM(D58:D71)</f>
        <v>3999.1305000000002</v>
      </c>
      <c r="E72" s="74">
        <f>SUM(E58:E71)</f>
        <v>962.39949999999999</v>
      </c>
      <c r="F72" s="75">
        <f>SUM(F58:F71)</f>
        <v>38</v>
      </c>
      <c r="G72" s="75">
        <f>SUM(G58:G71)</f>
        <v>11</v>
      </c>
      <c r="H72" s="63"/>
    </row>
    <row r="74" spans="1:8" ht="24" customHeight="1" x14ac:dyDescent="0.2">
      <c r="A74" s="64" t="s">
        <v>185</v>
      </c>
      <c r="B74" s="65"/>
      <c r="C74" s="65"/>
      <c r="D74" s="65"/>
      <c r="E74" s="65"/>
      <c r="F74" s="65"/>
      <c r="G74" s="65"/>
      <c r="H74" s="65"/>
    </row>
    <row r="75" spans="1:8" ht="34" customHeight="1" x14ac:dyDescent="0.2">
      <c r="A75" s="66" t="s">
        <v>175</v>
      </c>
      <c r="B75" s="66" t="s">
        <v>169</v>
      </c>
      <c r="C75" s="66" t="s">
        <v>176</v>
      </c>
      <c r="D75" s="66" t="s">
        <v>177</v>
      </c>
      <c r="E75" s="66" t="s">
        <v>178</v>
      </c>
      <c r="F75" s="66" t="s">
        <v>179</v>
      </c>
      <c r="G75" s="66" t="s">
        <v>180</v>
      </c>
      <c r="H75" s="66" t="s">
        <v>18</v>
      </c>
    </row>
    <row r="76" spans="1:8" ht="20" customHeight="1" x14ac:dyDescent="0.2">
      <c r="A76" s="67"/>
      <c r="B76" s="68" t="s">
        <v>32</v>
      </c>
      <c r="C76" s="69">
        <f>SUMPRODUCT((MONTH(PRENOTAZIONI!$A$3:$A$263)=5)*(YEAR(PRENOTAZIONI!$A$3:$A$263)=2026)*(PRENOTAZIONI!$D$3:$D$263="Sotto la Quercia")*PRENOTAZIONI!$H$3:$H$263)</f>
        <v>0</v>
      </c>
      <c r="D76" s="70">
        <f t="shared" ref="D76:D89" si="8">C76-E76</f>
        <v>0</v>
      </c>
      <c r="E76" s="71">
        <f>C76*0.25</f>
        <v>0</v>
      </c>
      <c r="F76" s="72">
        <f>SUMPRODUCT((PRENOTAZIONI!$A$3:$A$263&lt;DATE(2026,6,1))*(PRENOTAZIONI!$B$3:$B$263&gt;DATE(2026,5,1))*(YEAR(PRENOTAZIONI!$A$3:$A$263)=2026)*(PRENOTAZIONI!$D$3:$D$263="Sotto la Quercia")*((PRENOTAZIONI!$B$3:$B$263*(PRENOTAZIONI!$B$3:$B$263&lt;DATE(2026,6,1))+DATE(2026,6,1)*(PRENOTAZIONI!$B$3:$B$263&gt;=DATE(2026,6,1)))-(PRENOTAZIONI!$A$3:$A$263*(PRENOTAZIONI!$A$3:$A$263&gt;DATE(2026,5,1))+DATE(2026,5,1)*(PRENOTAZIONI!$A$3:$A$263&lt;=DATE(2026,5,1)))))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5</v>
      </c>
      <c r="G76" s="72">
        <f>SUMPRODUCT((MONTH(PRENOTAZIONI!$A$3:$A$263)=5)*(YEAR(PRENOTAZIONI!$A$3:$A$263)=2026)*(PRENOTAZIONI!$D$3:$D$263="Sotto la Quercia"))</f>
        <v>0</v>
      </c>
      <c r="H76" s="67"/>
    </row>
    <row r="77" spans="1:8" ht="20" customHeight="1" x14ac:dyDescent="0.2">
      <c r="A77" s="67"/>
      <c r="B77" s="68" t="s">
        <v>45</v>
      </c>
      <c r="C77" s="69">
        <f>SUMPRODUCT((MONTH(PRENOTAZIONI!$A$3:$A$263)=5)*(YEAR(PRENOTAZIONI!$A$3:$A$263)=2026)*(PRENOTAZIONI!$D$3:$D$263="Villa Elena")*PRENOTAZIONI!$H$3:$H$263)</f>
        <v>162</v>
      </c>
      <c r="D77" s="70">
        <f t="shared" si="8"/>
        <v>121.5</v>
      </c>
      <c r="E77" s="71">
        <f>C77*0.25</f>
        <v>40.5</v>
      </c>
      <c r="F77" s="72">
        <f>SUMPRODUCT((PRENOTAZIONI!$A$3:$A$263&lt;DATE(2026,6,1))*(PRENOTAZIONI!$B$3:$B$263&gt;DATE(2026,5,1))*(YEAR(PRENOTAZIONI!$A$3:$A$263)=2026)*(PRENOTAZIONI!$D$3:$D$263="Villa Elena")*((PRENOTAZIONI!$B$3:$B$263*(PRENOTAZIONI!$B$3:$B$263&lt;DATE(2026,6,1))+DATE(2026,6,1)*(PRENOTAZIONI!$B$3:$B$263&gt;=DATE(2026,6,1)))-(PRENOTAZIONI!$A$3:$A$263*(PRENOTAZIONI!$A$3:$A$263&gt;DATE(2026,5,1))+DATE(2026,5,1)*(PRENOTAZIONI!$A$3:$A$263&lt;=DATE(2026,5,1)))))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2</v>
      </c>
      <c r="G77" s="72">
        <f>SUMPRODUCT((MONTH(PRENOTAZIONI!$A$3:$A$263)=5)*(YEAR(PRENOTAZIONI!$A$3:$A$263)=2026)*(PRENOTAZIONI!$D$3:$D$263="Villa Elena"))</f>
        <v>1</v>
      </c>
      <c r="H77" s="67"/>
    </row>
    <row r="78" spans="1:8" ht="20" customHeight="1" x14ac:dyDescent="0.2">
      <c r="A78" s="67"/>
      <c r="B78" s="68" t="s">
        <v>39</v>
      </c>
      <c r="C78" s="69">
        <f>SUMPRODUCT((MONTH(PRENOTAZIONI!$A$3:$A$263)=5)*(YEAR(PRENOTAZIONI!$A$3:$A$263)=2026)*(PRENOTAZIONI!$D$3:$D$263="Casa nel Borgo")*PRENOTAZIONI!$H$3:$H$263)</f>
        <v>0</v>
      </c>
      <c r="D78" s="70">
        <f t="shared" si="8"/>
        <v>0</v>
      </c>
      <c r="E78" s="71">
        <f>C78*0.25</f>
        <v>0</v>
      </c>
      <c r="F78" s="72">
        <f>SUMPRODUCT((PRENOTAZIONI!$A$3:$A$263&lt;DATE(2026,6,1))*(PRENOTAZIONI!$B$3:$B$263&gt;DATE(2026,5,1))*(YEAR(PRENOTAZIONI!$A$3:$A$263)=2026)*(PRENOTAZIONI!$D$3:$D$263="Casa nel Borgo")*((PRENOTAZIONI!$B$3:$B$263*(PRENOTAZIONI!$B$3:$B$263&lt;DATE(2026,6,1))+DATE(2026,6,1)*(PRENOTAZIONI!$B$3:$B$263&gt;=DATE(2026,6,1)))-(PRENOTAZIONI!$A$3:$A$263*(PRENOTAZIONI!$A$3:$A$263&gt;DATE(2026,5,1))+DATE(2026,5,1)*(PRENOTAZIONI!$A$3:$A$263&lt;=DATE(2026,5,1)))))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78" s="72">
        <f>SUMPRODUCT((MONTH(PRENOTAZIONI!$A$3:$A$263)=5)*(YEAR(PRENOTAZIONI!$A$3:$A$263)=2026)*(PRENOTAZIONI!$D$3:$D$263="Casa nel Borgo"))</f>
        <v>0</v>
      </c>
      <c r="H78" s="67"/>
    </row>
    <row r="79" spans="1:8" ht="20" customHeight="1" x14ac:dyDescent="0.2">
      <c r="A79" s="67"/>
      <c r="B79" s="68" t="s">
        <v>51</v>
      </c>
      <c r="C79" s="69">
        <f>SUMPRODUCT((MONTH(PRENOTAZIONI!$A$3:$A$263)=5)*(YEAR(PRENOTAZIONI!$A$3:$A$263)=2026)*(PRENOTAZIONI!$D$3:$D$263="Via San Rocco")*PRENOTAZIONI!$H$3:$H$263)</f>
        <v>648.17999999999995</v>
      </c>
      <c r="D79" s="70">
        <f t="shared" si="8"/>
        <v>583.36199999999997</v>
      </c>
      <c r="E79" s="71">
        <f>C79*0.1</f>
        <v>64.817999999999998</v>
      </c>
      <c r="F79" s="72">
        <f>SUMPRODUCT((PRENOTAZIONI!$A$3:$A$263&lt;DATE(2026,6,1))*(PRENOTAZIONI!$B$3:$B$263&gt;DATE(2026,5,1))*(YEAR(PRENOTAZIONI!$A$3:$A$263)=2026)*(PRENOTAZIONI!$D$3:$D$263="Via San Rocco")*((PRENOTAZIONI!$B$3:$B$263*(PRENOTAZIONI!$B$3:$B$263&lt;DATE(2026,6,1))+DATE(2026,6,1)*(PRENOTAZIONI!$B$3:$B$263&gt;=DATE(2026,6,1)))-(PRENOTAZIONI!$A$3:$A$263*(PRENOTAZIONI!$A$3:$A$263&gt;DATE(2026,5,1))+DATE(2026,5,1)*(PRENOTAZIONI!$A$3:$A$263&lt;=DATE(2026,5,1)))))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7</v>
      </c>
      <c r="G79" s="72">
        <f>SUMPRODUCT((MONTH(PRENOTAZIONI!$A$3:$A$263)=5)*(YEAR(PRENOTAZIONI!$A$3:$A$263)=2026)*(PRENOTAZIONI!$D$3:$D$263="Via San Rocco"))</f>
        <v>2</v>
      </c>
      <c r="H79" s="67"/>
    </row>
    <row r="80" spans="1:8" ht="20" customHeight="1" x14ac:dyDescent="0.2">
      <c r="A80" s="67"/>
      <c r="B80" s="68" t="s">
        <v>60</v>
      </c>
      <c r="C80" s="69">
        <f>SUMPRODUCT((MONTH(PRENOTAZIONI!$A$3:$A$263)=5)*(YEAR(PRENOTAZIONI!$A$3:$A$263)=2026)*(PRENOTAZIONI!$D$3:$D$263="Via Cavour")*PRENOTAZIONI!$H$3:$H$263)</f>
        <v>0</v>
      </c>
      <c r="D80" s="70">
        <f t="shared" si="8"/>
        <v>0</v>
      </c>
      <c r="E80" s="71">
        <f>C80*0.1</f>
        <v>0</v>
      </c>
      <c r="F80" s="72">
        <f>SUMPRODUCT((PRENOTAZIONI!$A$3:$A$263&lt;DATE(2026,6,1))*(PRENOTAZIONI!$B$3:$B$263&gt;DATE(2026,5,1))*(YEAR(PRENOTAZIONI!$A$3:$A$263)=2026)*(PRENOTAZIONI!$D$3:$D$263="Via Cavour")*((PRENOTAZIONI!$B$3:$B$263*(PRENOTAZIONI!$B$3:$B$263&lt;DATE(2026,6,1))+DATE(2026,6,1)*(PRENOTAZIONI!$B$3:$B$263&gt;=DATE(2026,6,1)))-(PRENOTAZIONI!$A$3:$A$263*(PRENOTAZIONI!$A$3:$A$263&gt;DATE(2026,5,1))+DATE(2026,5,1)*(PRENOTAZIONI!$A$3:$A$263&lt;=DATE(2026,5,1)))))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0" s="72">
        <f>SUMPRODUCT((MONTH(PRENOTAZIONI!$A$3:$A$263)=5)*(YEAR(PRENOTAZIONI!$A$3:$A$263)=2026)*(PRENOTAZIONI!$D$3:$D$263="Via Cavour"))</f>
        <v>0</v>
      </c>
      <c r="H80" s="67"/>
    </row>
    <row r="81" spans="1:8" ht="20" customHeight="1" x14ac:dyDescent="0.2">
      <c r="A81" s="67"/>
      <c r="B81" s="68" t="s">
        <v>93</v>
      </c>
      <c r="C81" s="69">
        <f>SUMPRODUCT((MONTH(PRENOTAZIONI!$A$3:$A$263)=5)*(YEAR(PRENOTAZIONI!$A$3:$A$263)=2026)*(PRENOTAZIONI!$D$3:$D$263="Casa Letizia")*PRENOTAZIONI!$H$3:$H$263)</f>
        <v>301.31</v>
      </c>
      <c r="D81" s="70">
        <f t="shared" si="8"/>
        <v>225.98250000000002</v>
      </c>
      <c r="E81" s="71">
        <f t="shared" ref="E81:E89" si="9">C81*0.25</f>
        <v>75.327500000000001</v>
      </c>
      <c r="F81" s="72">
        <f>SUMPRODUCT((PRENOTAZIONI!$A$3:$A$263&lt;DATE(2026,6,1))*(PRENOTAZIONI!$B$3:$B$263&gt;DATE(2026,5,1))*(YEAR(PRENOTAZIONI!$A$3:$A$263)=2026)*(PRENOTAZIONI!$D$3:$D$263="Casa Letizia")*((PRENOTAZIONI!$B$3:$B$263*(PRENOTAZIONI!$B$3:$B$263&lt;DATE(2026,6,1))+DATE(2026,6,1)*(PRENOTAZIONI!$B$3:$B$263&gt;=DATE(2026,6,1)))-(PRENOTAZIONI!$A$3:$A$263*(PRENOTAZIONI!$A$3:$A$263&gt;DATE(2026,5,1))+DATE(2026,5,1)*(PRENOTAZIONI!$A$3:$A$263&lt;=DATE(2026,5,1)))))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2</v>
      </c>
      <c r="G81" s="72">
        <f>SUMPRODUCT((MONTH(PRENOTAZIONI!$A$3:$A$263)=5)*(YEAR(PRENOTAZIONI!$A$3:$A$263)=2026)*(PRENOTAZIONI!$D$3:$D$263="Casa Letizia"))</f>
        <v>1</v>
      </c>
      <c r="H81" s="67"/>
    </row>
    <row r="82" spans="1:8" ht="20" customHeight="1" x14ac:dyDescent="0.2">
      <c r="A82" s="67"/>
      <c r="B82" s="68" t="s">
        <v>96</v>
      </c>
      <c r="C82" s="69">
        <f>SUMPRODUCT((MONTH(PRENOTAZIONI!$A$3:$A$263)=5)*(YEAR(PRENOTAZIONI!$A$3:$A$263)=2026)*(PRENOTAZIONI!$D$3:$D$263="Miramare")*PRENOTAZIONI!$H$3:$H$263)</f>
        <v>0</v>
      </c>
      <c r="D82" s="70">
        <f t="shared" si="8"/>
        <v>0</v>
      </c>
      <c r="E82" s="71">
        <f t="shared" si="9"/>
        <v>0</v>
      </c>
      <c r="F82" s="72">
        <f>SUMPRODUCT((PRENOTAZIONI!$A$3:$A$263&lt;DATE(2026,6,1))*(PRENOTAZIONI!$B$3:$B$263&gt;DATE(2026,5,1))*(YEAR(PRENOTAZIONI!$A$3:$A$263)=2026)*(PRENOTAZIONI!$D$3:$D$263="Miramare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2" s="72">
        <f>SUMPRODUCT((MONTH(PRENOTAZIONI!$A$3:$A$263)=5)*(YEAR(PRENOTAZIONI!$A$3:$A$263)=2026)*(PRENOTAZIONI!$D$3:$D$263="Miramare"))</f>
        <v>0</v>
      </c>
      <c r="H82" s="67"/>
    </row>
    <row r="83" spans="1:8" ht="20" customHeight="1" x14ac:dyDescent="0.2">
      <c r="A83" s="67"/>
      <c r="B83" s="68" t="s">
        <v>69</v>
      </c>
      <c r="C83" s="69">
        <f>SUMPRODUCT((MONTH(PRENOTAZIONI!$A$3:$A$263)=5)*(YEAR(PRENOTAZIONI!$A$3:$A$263)=2026)*(PRENOTAZIONI!$D$3:$D$263="Agantonio")*PRENOTAZIONI!$H$3:$H$263)</f>
        <v>474.32</v>
      </c>
      <c r="D83" s="70">
        <f t="shared" si="8"/>
        <v>355.74</v>
      </c>
      <c r="E83" s="71">
        <f t="shared" si="9"/>
        <v>118.58</v>
      </c>
      <c r="F83" s="72">
        <f>SUMPRODUCT((PRENOTAZIONI!$A$3:$A$263&lt;DATE(2026,6,1))*(PRENOTAZIONI!$B$3:$B$263&gt;DATE(2026,5,1))*(YEAR(PRENOTAZIONI!$A$3:$A$263)=2026)*(PRENOTAZIONI!$D$3:$D$263="Agantonio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7</v>
      </c>
      <c r="G83" s="72">
        <f>SUMPRODUCT((MONTH(PRENOTAZIONI!$A$3:$A$263)=5)*(YEAR(PRENOTAZIONI!$A$3:$A$263)=2026)*(PRENOTAZIONI!$D$3:$D$263="Agantonio"))</f>
        <v>2</v>
      </c>
      <c r="H83" s="67"/>
    </row>
    <row r="84" spans="1:8" ht="20" customHeight="1" x14ac:dyDescent="0.2">
      <c r="A84" s="67"/>
      <c r="B84" s="68" t="s">
        <v>63</v>
      </c>
      <c r="C84" s="69">
        <f>SUMPRODUCT((MONTH(PRENOTAZIONI!$A$3:$A$263)=5)*(YEAR(PRENOTAZIONI!$A$3:$A$263)=2026)*(PRENOTAZIONI!$D$3:$D$263="Casa Bella Gialla")*PRENOTAZIONI!$H$3:$H$263)</f>
        <v>0</v>
      </c>
      <c r="D84" s="70">
        <f t="shared" si="8"/>
        <v>0</v>
      </c>
      <c r="E84" s="71">
        <f t="shared" si="9"/>
        <v>0</v>
      </c>
      <c r="F84" s="72">
        <f>SUMPRODUCT((PRENOTAZIONI!$A$3:$A$263&lt;DATE(2026,6,1))*(PRENOTAZIONI!$B$3:$B$263&gt;DATE(2026,5,1))*(YEAR(PRENOTAZIONI!$A$3:$A$263)=2026)*(PRENOTAZIONI!$D$3:$D$263="Casa Bella Gialla")*((PRENOTAZIONI!$B$3:$B$263*(PRENOTAZIONI!$B$3:$B$263&lt;DATE(2026,6,1))+DATE(2026,6,1)*(PRENOTAZIONI!$B$3:$B$263&gt;=DATE(2026,6,1)))-(PRENOTAZIONI!$A$3:$A$263*(PRENOTAZIONI!$A$3:$A$263&gt;DATE(2026,5,1))+DATE(2026,5,1)*(PRENOTAZIONI!$A$3:$A$263&lt;=DATE(2026,5,1)))))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4" s="72">
        <f>SUMPRODUCT((MONTH(PRENOTAZIONI!$A$3:$A$263)=5)*(YEAR(PRENOTAZIONI!$A$3:$A$263)=2026)*(PRENOTAZIONI!$D$3:$D$263="Casa Bella Gialla"))</f>
        <v>0</v>
      </c>
      <c r="H84" s="67"/>
    </row>
    <row r="85" spans="1:8" ht="20" customHeight="1" x14ac:dyDescent="0.2">
      <c r="A85" s="67"/>
      <c r="B85" s="68" t="s">
        <v>115</v>
      </c>
      <c r="C85" s="69">
        <f>SUMPRODUCT((MONTH(PRENOTAZIONI!$A$3:$A$263)=5)*(YEAR(PRENOTAZIONI!$A$3:$A$263)=2026)*(PRENOTAZIONI!$D$3:$D$263="Casa Verde Oliva")*PRENOTAZIONI!$H$3:$H$263)</f>
        <v>0</v>
      </c>
      <c r="D85" s="70">
        <f t="shared" si="8"/>
        <v>0</v>
      </c>
      <c r="E85" s="71">
        <f t="shared" si="9"/>
        <v>0</v>
      </c>
      <c r="F85" s="72">
        <f>SUMPRODUCT((PRENOTAZIONI!$A$3:$A$263&lt;DATE(2026,6,1))*(PRENOTAZIONI!$B$3:$B$263&gt;DATE(2026,5,1))*(YEAR(PRENOTAZIONI!$A$3:$A$263)=2026)*(PRENOTAZIONI!$D$3:$D$263="Casa Verde Oliva")*((PRENOTAZIONI!$B$3:$B$263*(PRENOTAZIONI!$B$3:$B$263&lt;DATE(2026,6,1))+DATE(2026,6,1)*(PRENOTAZIONI!$B$3:$B$263&gt;=DATE(2026,6,1)))-(PRENOTAZIONI!$A$3:$A$263*(PRENOTAZIONI!$A$3:$A$263&gt;DATE(2026,5,1))+DATE(2026,5,1)*(PRENOTAZIONI!$A$3:$A$263&lt;=DATE(2026,5,1)))))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5" s="72">
        <f>SUMPRODUCT((MONTH(PRENOTAZIONI!$A$3:$A$263)=5)*(YEAR(PRENOTAZIONI!$A$3:$A$263)=2026)*(PRENOTAZIONI!$D$3:$D$263="Casa Verde Oliva"))</f>
        <v>0</v>
      </c>
      <c r="H85" s="67"/>
    </row>
    <row r="86" spans="1:8" ht="20" customHeight="1" x14ac:dyDescent="0.2">
      <c r="A86" s="67"/>
      <c r="B86" s="68" t="s">
        <v>171</v>
      </c>
      <c r="C86" s="69">
        <f>SUMPRODUCT((MONTH(PRENOTAZIONI!$A$3:$A$263)=5)*(YEAR(PRENOTAZIONI!$A$3:$A$263)=2026)*(PRENOTAZIONI!$D$3:$D$263="Casa Nicola")*PRENOTAZIONI!$H$3:$H$263)</f>
        <v>0</v>
      </c>
      <c r="D86" s="70">
        <f t="shared" si="8"/>
        <v>0</v>
      </c>
      <c r="E86" s="71">
        <f t="shared" si="9"/>
        <v>0</v>
      </c>
      <c r="F86" s="72">
        <f>SUMPRODUCT((PRENOTAZIONI!$A$3:$A$263&lt;DATE(2026,6,1))*(PRENOTAZIONI!$B$3:$B$263&gt;DATE(2026,5,1))*(YEAR(PRENOTAZIONI!$A$3:$A$263)=2026)*(PRENOTAZIONI!$D$3:$D$263="Casa Nicola")*((PRENOTAZIONI!$B$3:$B$263*(PRENOTAZIONI!$B$3:$B$263&lt;DATE(2026,6,1))+DATE(2026,6,1)*(PRENOTAZIONI!$B$3:$B$263&gt;=DATE(2026,6,1)))-(PRENOTAZIONI!$A$3:$A$263*(PRENOTAZIONI!$A$3:$A$263&gt;DATE(2026,5,1))+DATE(2026,5,1)*(PRENOTAZIONI!$A$3:$A$263&lt;=DATE(2026,5,1)))))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6" s="72">
        <f>SUMPRODUCT((MONTH(PRENOTAZIONI!$A$3:$A$263)=5)*(YEAR(PRENOTAZIONI!$A$3:$A$263)=2026)*(PRENOTAZIONI!$D$3:$D$263="Casa Nicola"))</f>
        <v>0</v>
      </c>
      <c r="H86" s="67"/>
    </row>
    <row r="87" spans="1:8" ht="20" customHeight="1" x14ac:dyDescent="0.2">
      <c r="A87" s="67"/>
      <c r="B87" s="68" t="s">
        <v>172</v>
      </c>
      <c r="C87" s="69">
        <f>SUMPRODUCT((MONTH(PRENOTAZIONI!$A$3:$A$263)=5)*(YEAR(PRENOTAZIONI!$A$3:$A$263)=2026)*(PRENOTAZIONI!$D$3:$D$263="White Cottage")*PRENOTAZIONI!$H$3:$H$263)</f>
        <v>0</v>
      </c>
      <c r="D87" s="70">
        <f t="shared" si="8"/>
        <v>0</v>
      </c>
      <c r="E87" s="71">
        <f t="shared" si="9"/>
        <v>0</v>
      </c>
      <c r="F87" s="72">
        <f>SUMPRODUCT((PRENOTAZIONI!$A$3:$A$263&lt;DATE(2026,6,1))*(PRENOTAZIONI!$B$3:$B$263&gt;DATE(2026,5,1))*(YEAR(PRENOTAZIONI!$A$3:$A$263)=2026)*(PRENOTAZIONI!$D$3:$D$263="White Cottage")*((PRENOTAZIONI!$B$3:$B$263*(PRENOTAZIONI!$B$3:$B$263&lt;DATE(2026,6,1))+DATE(2026,6,1)*(PRENOTAZIONI!$B$3:$B$263&gt;=DATE(2026,6,1)))-(PRENOTAZIONI!$A$3:$A$263*(PRENOTAZIONI!$A$3:$A$263&gt;DATE(2026,5,1))+DATE(2026,5,1)*(PRENOTAZIONI!$A$3:$A$263&lt;=DATE(2026,5,1)))))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7" s="72">
        <f>SUMPRODUCT((MONTH(PRENOTAZIONI!$A$3:$A$263)=5)*(YEAR(PRENOTAZIONI!$A$3:$A$263)=2026)*(PRENOTAZIONI!$D$3:$D$263="White Cottage"))</f>
        <v>0</v>
      </c>
      <c r="H87" s="67"/>
    </row>
    <row r="88" spans="1:8" ht="20" customHeight="1" x14ac:dyDescent="0.2">
      <c r="A88" s="67"/>
      <c r="B88" s="68" t="s">
        <v>98</v>
      </c>
      <c r="C88" s="69">
        <f>SUMPRODUCT((MONTH(PRENOTAZIONI!$A$3:$A$263)=5)*(YEAR(PRENOTAZIONI!$A$3:$A$263)=2026)*(PRENOTAZIONI!$D$3:$D$263="Villa Nella")*PRENOTAZIONI!$H$3:$H$263)</f>
        <v>0</v>
      </c>
      <c r="D88" s="70">
        <f t="shared" si="8"/>
        <v>0</v>
      </c>
      <c r="E88" s="71">
        <f t="shared" si="9"/>
        <v>0</v>
      </c>
      <c r="F88" s="72">
        <f>SUMPRODUCT((PRENOTAZIONI!$A$3:$A$263&lt;DATE(2026,6,1))*(PRENOTAZIONI!$B$3:$B$263&gt;DATE(2026,5,1))*(YEAR(PRENOTAZIONI!$A$3:$A$263)=2026)*(PRENOTAZIONI!$D$3:$D$263="Villa Nella")*((PRENOTAZIONI!$B$3:$B$263*(PRENOTAZIONI!$B$3:$B$263&lt;DATE(2026,6,1))+DATE(2026,6,1)*(PRENOTAZIONI!$B$3:$B$263&gt;=DATE(2026,6,1)))-(PRENOTAZIONI!$A$3:$A$263*(PRENOTAZIONI!$A$3:$A$263&gt;DATE(2026,5,1))+DATE(2026,5,1)*(PRENOTAZIONI!$A$3:$A$263&lt;=DATE(2026,5,1)))))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8" s="72">
        <f>SUMPRODUCT((MONTH(PRENOTAZIONI!$A$3:$A$263)=5)*(YEAR(PRENOTAZIONI!$A$3:$A$263)=2026)*(PRENOTAZIONI!$D$3:$D$263="Villa Nella"))</f>
        <v>0</v>
      </c>
      <c r="H88" s="67"/>
    </row>
    <row r="89" spans="1:8" ht="20" customHeight="1" x14ac:dyDescent="0.2">
      <c r="A89" s="67"/>
      <c r="B89" s="68" t="s">
        <v>125</v>
      </c>
      <c r="C89" s="69">
        <f>SUMPRODUCT((MONTH(PRENOTAZIONI!$A$3:$A$263)=5)*(YEAR(PRENOTAZIONI!$A$3:$A$263)=2026)*(PRENOTAZIONI!$D$3:$D$263="Nel Cuore di Lanciano")*PRENOTAZIONI!$H$3:$H$263)</f>
        <v>0</v>
      </c>
      <c r="D89" s="70">
        <f t="shared" si="8"/>
        <v>0</v>
      </c>
      <c r="E89" s="71">
        <f t="shared" si="9"/>
        <v>0</v>
      </c>
      <c r="F89" s="72">
        <f>SUMPRODUCT((PRENOTAZIONI!$A$3:$A$263&lt;DATE(2026,6,1))*(PRENOTAZIONI!$B$3:$B$263&gt;DATE(2026,5,1))*(YEAR(PRENOTAZIONI!$A$3:$A$263)=2026)*(PRENOTAZIONI!$D$3:$D$263="Nel Cuore di Lanciano")*((PRENOTAZIONI!$B$3:$B$263*(PRENOTAZIONI!$B$3:$B$263&lt;DATE(2026,6,1))+DATE(2026,6,1)*(PRENOTAZIONI!$B$3:$B$263&gt;=DATE(2026,6,1)))-(PRENOTAZIONI!$A$3:$A$263*(PRENOTAZIONI!$A$3:$A$263&gt;DATE(2026,5,1))+DATE(2026,5,1)*(PRENOTAZIONI!$A$3:$A$263&lt;=DATE(2026,5,1)))))</f>
        <v>0</v>
      </c>
      <c r="G89" s="72">
        <f>SUMPRODUCT((MONTH(PRENOTAZIONI!$A$3:$A$263)=5)*(YEAR(PRENOTAZIONI!$A$3:$A$263)=2026)*(PRENOTAZIONI!$D$3:$D$263="Nel Cuore di Lanciano"))</f>
        <v>0</v>
      </c>
      <c r="H89" s="67"/>
    </row>
    <row r="90" spans="1:8" ht="24" customHeight="1" x14ac:dyDescent="0.2">
      <c r="A90" s="63"/>
      <c r="B90" s="73" t="s">
        <v>147</v>
      </c>
      <c r="C90" s="74">
        <f>SUM(C76:C89)</f>
        <v>1585.81</v>
      </c>
      <c r="D90" s="74">
        <f>SUM(D76:D89)</f>
        <v>1286.5844999999999</v>
      </c>
      <c r="E90" s="74">
        <f>SUM(E76:E89)</f>
        <v>299.22550000000001</v>
      </c>
      <c r="F90" s="75">
        <f>SUM(F76:F89)</f>
        <v>23</v>
      </c>
      <c r="G90" s="75">
        <f>SUM(G76:G89)</f>
        <v>6</v>
      </c>
      <c r="H90" s="63"/>
    </row>
    <row r="92" spans="1:8" ht="24" customHeight="1" x14ac:dyDescent="0.2">
      <c r="A92" s="64" t="s">
        <v>186</v>
      </c>
      <c r="B92" s="65"/>
      <c r="C92" s="65"/>
      <c r="D92" s="65"/>
      <c r="E92" s="65"/>
      <c r="F92" s="65"/>
      <c r="G92" s="65"/>
      <c r="H92" s="65"/>
    </row>
    <row r="93" spans="1:8" ht="34" customHeight="1" x14ac:dyDescent="0.2">
      <c r="A93" s="66" t="s">
        <v>175</v>
      </c>
      <c r="B93" s="66" t="s">
        <v>169</v>
      </c>
      <c r="C93" s="66" t="s">
        <v>176</v>
      </c>
      <c r="D93" s="66" t="s">
        <v>177</v>
      </c>
      <c r="E93" s="66" t="s">
        <v>178</v>
      </c>
      <c r="F93" s="66" t="s">
        <v>179</v>
      </c>
      <c r="G93" s="66" t="s">
        <v>180</v>
      </c>
      <c r="H93" s="66" t="s">
        <v>18</v>
      </c>
    </row>
    <row r="94" spans="1:8" ht="20" customHeight="1" x14ac:dyDescent="0.2">
      <c r="A94" s="67"/>
      <c r="B94" s="68" t="s">
        <v>32</v>
      </c>
      <c r="C94" s="69">
        <f>SUMPRODUCT((MONTH(PRENOTAZIONI!$A$3:$A$263)=6)*(YEAR(PRENOTAZIONI!$A$3:$A$263)=2026)*(PRENOTAZIONI!$D$3:$D$263="Sotto la Quercia")*PRENOTAZIONI!$H$3:$H$263)</f>
        <v>520</v>
      </c>
      <c r="D94" s="70">
        <f t="shared" ref="D94:D107" si="10">C94-E94</f>
        <v>390</v>
      </c>
      <c r="E94" s="71">
        <f>C94*0.25</f>
        <v>130</v>
      </c>
      <c r="F94" s="72">
        <f>SUMPRODUCT((PRENOTAZIONI!$A$3:$A$263&lt;DATE(2026,7,1))*(PRENOTAZIONI!$B$3:$B$263&gt;DATE(2026,6,1))*(YEAR(PRENOTAZIONI!$A$3:$A$263)=2026)*(PRENOTAZIONI!$D$3:$D$263="Sotto la Quercia")*((PRENOTAZIONI!$B$3:$B$263*(PRENOTAZIONI!$B$3:$B$263&lt;DATE(2026,7,1))+DATE(2026,7,1)*(PRENOTAZIONI!$B$3:$B$263&gt;=DATE(2026,7,1)))-(PRENOTAZIONI!$A$3:$A$263*(PRENOTAZIONI!$A$3:$A$263&gt;DATE(2026,6,1))+DATE(2026,6,1)*(PRENOTAZIONI!$A$3:$A$263&lt;=DATE(2026,6,1)))))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7</v>
      </c>
      <c r="G94" s="72">
        <f>SUMPRODUCT((MONTH(PRENOTAZIONI!$A$3:$A$263)=6)*(YEAR(PRENOTAZIONI!$A$3:$A$263)=2026)*(PRENOTAZIONI!$D$3:$D$263="Sotto la Quercia"))</f>
        <v>1</v>
      </c>
      <c r="H94" s="67"/>
    </row>
    <row r="95" spans="1:8" ht="20" customHeight="1" x14ac:dyDescent="0.2">
      <c r="A95" s="67"/>
      <c r="B95" s="68" t="s">
        <v>45</v>
      </c>
      <c r="C95" s="69">
        <f>SUMPRODUCT((MONTH(PRENOTAZIONI!$A$3:$A$263)=6)*(YEAR(PRENOTAZIONI!$A$3:$A$263)=2026)*(PRENOTAZIONI!$D$3:$D$263="Villa Elena")*PRENOTAZIONI!$H$3:$H$263)</f>
        <v>369.3</v>
      </c>
      <c r="D95" s="70">
        <f t="shared" si="10"/>
        <v>276.97500000000002</v>
      </c>
      <c r="E95" s="71">
        <f>C95*0.25</f>
        <v>92.325000000000003</v>
      </c>
      <c r="F95" s="72">
        <f>SUMPRODUCT((PRENOTAZIONI!$A$3:$A$263&lt;DATE(2026,7,1))*(PRENOTAZIONI!$B$3:$B$263&gt;DATE(2026,6,1))*(YEAR(PRENOTAZIONI!$A$3:$A$263)=2026)*(PRENOTAZIONI!$D$3:$D$263="Villa Elena")*((PRENOTAZIONI!$B$3:$B$263*(PRENOTAZIONI!$B$3:$B$263&lt;DATE(2026,7,1))+DATE(2026,7,1)*(PRENOTAZIONI!$B$3:$B$263&gt;=DATE(2026,7,1)))-(PRENOTAZIONI!$A$3:$A$263*(PRENOTAZIONI!$A$3:$A$263&gt;DATE(2026,6,1))+DATE(2026,6,1)*(PRENOTAZIONI!$A$3:$A$263&lt;=DATE(2026,6,1)))))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3</v>
      </c>
      <c r="G95" s="72">
        <f>SUMPRODUCT((MONTH(PRENOTAZIONI!$A$3:$A$263)=6)*(YEAR(PRENOTAZIONI!$A$3:$A$263)=2026)*(PRENOTAZIONI!$D$3:$D$263="Villa Elena"))</f>
        <v>1</v>
      </c>
      <c r="H95" s="67"/>
    </row>
    <row r="96" spans="1:8" ht="20" customHeight="1" x14ac:dyDescent="0.2">
      <c r="A96" s="67"/>
      <c r="B96" s="68" t="s">
        <v>39</v>
      </c>
      <c r="C96" s="69">
        <f>SUMPRODUCT((MONTH(PRENOTAZIONI!$A$3:$A$263)=6)*(YEAR(PRENOTAZIONI!$A$3:$A$263)=2026)*(PRENOTAZIONI!$D$3:$D$263="Casa nel Borgo")*PRENOTAZIONI!$H$3:$H$263)</f>
        <v>0</v>
      </c>
      <c r="D96" s="70">
        <f t="shared" si="10"/>
        <v>0</v>
      </c>
      <c r="E96" s="71">
        <f>C96*0.25</f>
        <v>0</v>
      </c>
      <c r="F96" s="72">
        <f>SUMPRODUCT((PRENOTAZIONI!$A$3:$A$263&lt;DATE(2026,7,1))*(PRENOTAZIONI!$B$3:$B$263&gt;DATE(2026,6,1))*(YEAR(PRENOTAZIONI!$A$3:$A$263)=2026)*(PRENOTAZIONI!$D$3:$D$263="Casa nel Borgo")*((PRENOTAZIONI!$B$3:$B$263*(PRENOTAZIONI!$B$3:$B$263&lt;DATE(2026,7,1))+DATE(2026,7,1)*(PRENOTAZIONI!$B$3:$B$263&gt;=DATE(2026,7,1)))-(PRENOTAZIONI!$A$3:$A$263*(PRENOTAZIONI!$A$3:$A$263&gt;DATE(2026,6,1))+DATE(2026,6,1)*(PRENOTAZIONI!$A$3:$A$263&lt;=DATE(2026,6,1)))))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96" s="72">
        <f>SUMPRODUCT((MONTH(PRENOTAZIONI!$A$3:$A$263)=6)*(YEAR(PRENOTAZIONI!$A$3:$A$263)=2026)*(PRENOTAZIONI!$D$3:$D$263="Casa nel Borgo"))</f>
        <v>0</v>
      </c>
      <c r="H96" s="67"/>
    </row>
    <row r="97" spans="1:8" ht="20" customHeight="1" x14ac:dyDescent="0.2">
      <c r="A97" s="67"/>
      <c r="B97" s="68" t="s">
        <v>51</v>
      </c>
      <c r="C97" s="69">
        <f>SUMPRODUCT((MONTH(PRENOTAZIONI!$A$3:$A$263)=6)*(YEAR(PRENOTAZIONI!$A$3:$A$263)=2026)*(PRENOTAZIONI!$D$3:$D$263="Via San Rocco")*PRENOTAZIONI!$H$3:$H$263)</f>
        <v>331.17</v>
      </c>
      <c r="D97" s="70">
        <f t="shared" si="10"/>
        <v>298.053</v>
      </c>
      <c r="E97" s="71">
        <f>C97*0.1</f>
        <v>33.117000000000004</v>
      </c>
      <c r="F97" s="72">
        <f>SUMPRODUCT((PRENOTAZIONI!$A$3:$A$263&lt;DATE(2026,7,1))*(PRENOTAZIONI!$B$3:$B$263&gt;DATE(2026,6,1))*(YEAR(PRENOTAZIONI!$A$3:$A$263)=2026)*(PRENOTAZIONI!$D$3:$D$263="Via San Rocco")*((PRENOTAZIONI!$B$3:$B$263*(PRENOTAZIONI!$B$3:$B$263&lt;DATE(2026,7,1))+DATE(2026,7,1)*(PRENOTAZIONI!$B$3:$B$263&gt;=DATE(2026,7,1)))-(PRENOTAZIONI!$A$3:$A$263*(PRENOTAZIONI!$A$3:$A$263&gt;DATE(2026,6,1))+DATE(2026,6,1)*(PRENOTAZIONI!$A$3:$A$263&lt;=DATE(2026,6,1)))))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3</v>
      </c>
      <c r="G97" s="72">
        <f>SUMPRODUCT((MONTH(PRENOTAZIONI!$A$3:$A$263)=6)*(YEAR(PRENOTAZIONI!$A$3:$A$263)=2026)*(PRENOTAZIONI!$D$3:$D$263="Via San Rocco"))</f>
        <v>1</v>
      </c>
      <c r="H97" s="67"/>
    </row>
    <row r="98" spans="1:8" ht="20" customHeight="1" x14ac:dyDescent="0.2">
      <c r="A98" s="67"/>
      <c r="B98" s="68" t="s">
        <v>60</v>
      </c>
      <c r="C98" s="69">
        <f>SUMPRODUCT((MONTH(PRENOTAZIONI!$A$3:$A$263)=6)*(YEAR(PRENOTAZIONI!$A$3:$A$263)=2026)*(PRENOTAZIONI!$D$3:$D$263="Via Cavour")*PRENOTAZIONI!$H$3:$H$263)</f>
        <v>350</v>
      </c>
      <c r="D98" s="70">
        <f t="shared" si="10"/>
        <v>315</v>
      </c>
      <c r="E98" s="71">
        <f>C98*0.1</f>
        <v>35</v>
      </c>
      <c r="F98" s="72">
        <f>SUMPRODUCT((PRENOTAZIONI!$A$3:$A$263&lt;DATE(2026,7,1))*(PRENOTAZIONI!$B$3:$B$263&gt;DATE(2026,6,1))*(YEAR(PRENOTAZIONI!$A$3:$A$263)=2026)*(PRENOTAZIONI!$D$3:$D$263="Via Cavour")*((PRENOTAZIONI!$B$3:$B$263*(PRENOTAZIONI!$B$3:$B$263&lt;DATE(2026,7,1))+DATE(2026,7,1)*(PRENOTAZIONI!$B$3:$B$263&gt;=DATE(2026,7,1)))-(PRENOTAZIONI!$A$3:$A$263*(PRENOTAZIONI!$A$3:$A$263&gt;DATE(2026,6,1))+DATE(2026,6,1)*(PRENOTAZIONI!$A$3:$A$263&lt;=DATE(2026,6,1)))))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3</v>
      </c>
      <c r="G98" s="72">
        <f>SUMPRODUCT((MONTH(PRENOTAZIONI!$A$3:$A$263)=6)*(YEAR(PRENOTAZIONI!$A$3:$A$263)=2026)*(PRENOTAZIONI!$D$3:$D$263="Via Cavour"))</f>
        <v>1</v>
      </c>
      <c r="H98" s="67"/>
    </row>
    <row r="99" spans="1:8" ht="20" customHeight="1" x14ac:dyDescent="0.2">
      <c r="A99" s="67"/>
      <c r="B99" s="68" t="s">
        <v>93</v>
      </c>
      <c r="C99" s="69">
        <f>SUMPRODUCT((MONTH(PRENOTAZIONI!$A$3:$A$263)=6)*(YEAR(PRENOTAZIONI!$A$3:$A$263)=2026)*(PRENOTAZIONI!$D$3:$D$263="Casa Letizia")*PRENOTAZIONI!$H$3:$H$263)</f>
        <v>1056.78</v>
      </c>
      <c r="D99" s="70">
        <f t="shared" si="10"/>
        <v>792.58500000000004</v>
      </c>
      <c r="E99" s="71">
        <f t="shared" ref="E99:E107" si="11">C99*0.25</f>
        <v>264.19499999999999</v>
      </c>
      <c r="F99" s="72">
        <f>SUMPRODUCT((PRENOTAZIONI!$A$3:$A$263&lt;DATE(2026,7,1))*(PRENOTAZIONI!$B$3:$B$263&gt;DATE(2026,6,1))*(YEAR(PRENOTAZIONI!$A$3:$A$263)=2026)*(PRENOTAZIONI!$D$3:$D$263="Casa Letizia")*((PRENOTAZIONI!$B$3:$B$263*(PRENOTAZIONI!$B$3:$B$263&lt;DATE(2026,7,1))+DATE(2026,7,1)*(PRENOTAZIONI!$B$3:$B$263&gt;=DATE(2026,7,1)))-(PRENOTAZIONI!$A$3:$A$263*(PRENOTAZIONI!$A$3:$A$263&gt;DATE(2026,6,1))+DATE(2026,6,1)*(PRENOTAZIONI!$A$3:$A$263&lt;=DATE(2026,6,1)))))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4</v>
      </c>
      <c r="G99" s="72">
        <f>SUMPRODUCT((MONTH(PRENOTAZIONI!$A$3:$A$263)=6)*(YEAR(PRENOTAZIONI!$A$3:$A$263)=2026)*(PRENOTAZIONI!$D$3:$D$263="Casa Letizia"))</f>
        <v>1</v>
      </c>
      <c r="H99" s="67"/>
    </row>
    <row r="100" spans="1:8" ht="20" customHeight="1" x14ac:dyDescent="0.2">
      <c r="A100" s="67"/>
      <c r="B100" s="68" t="s">
        <v>96</v>
      </c>
      <c r="C100" s="69">
        <f>SUMPRODUCT((MONTH(PRENOTAZIONI!$A$3:$A$263)=6)*(YEAR(PRENOTAZIONI!$A$3:$A$263)=2026)*(PRENOTAZIONI!$D$3:$D$263="Miramare")*PRENOTAZIONI!$H$3:$H$263)</f>
        <v>704.01</v>
      </c>
      <c r="D100" s="70">
        <f t="shared" si="10"/>
        <v>528.00749999999994</v>
      </c>
      <c r="E100" s="71">
        <f t="shared" si="11"/>
        <v>176.0025</v>
      </c>
      <c r="F100" s="72">
        <f>SUMPRODUCT((PRENOTAZIONI!$A$3:$A$263&lt;DATE(2026,7,1))*(PRENOTAZIONI!$B$3:$B$263&gt;DATE(2026,6,1))*(YEAR(PRENOTAZIONI!$A$3:$A$263)=2026)*(PRENOTAZIONI!$D$3:$D$263="Miramare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8</v>
      </c>
      <c r="G100" s="72">
        <f>SUMPRODUCT((MONTH(PRENOTAZIONI!$A$3:$A$263)=6)*(YEAR(PRENOTAZIONI!$A$3:$A$263)=2026)*(PRENOTAZIONI!$D$3:$D$263="Miramare"))</f>
        <v>1</v>
      </c>
      <c r="H100" s="67"/>
    </row>
    <row r="101" spans="1:8" ht="20" customHeight="1" x14ac:dyDescent="0.2">
      <c r="A101" s="67"/>
      <c r="B101" s="68" t="s">
        <v>69</v>
      </c>
      <c r="C101" s="69">
        <f>SUMPRODUCT((MONTH(PRENOTAZIONI!$A$3:$A$263)=6)*(YEAR(PRENOTAZIONI!$A$3:$A$263)=2026)*(PRENOTAZIONI!$D$3:$D$263="Agantonio")*PRENOTAZIONI!$H$3:$H$263)</f>
        <v>1303.53</v>
      </c>
      <c r="D101" s="70">
        <f t="shared" si="10"/>
        <v>977.64750000000004</v>
      </c>
      <c r="E101" s="71">
        <f t="shared" si="11"/>
        <v>325.88249999999999</v>
      </c>
      <c r="F101" s="72">
        <f>SUMPRODUCT((PRENOTAZIONI!$A$3:$A$263&lt;DATE(2026,7,1))*(PRENOTAZIONI!$B$3:$B$263&gt;DATE(2026,6,1))*(YEAR(PRENOTAZIONI!$A$3:$A$263)=2026)*(PRENOTAZIONI!$D$3:$D$263="Agantonio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14</v>
      </c>
      <c r="G101" s="72">
        <f>SUMPRODUCT((MONTH(PRENOTAZIONI!$A$3:$A$263)=6)*(YEAR(PRENOTAZIONI!$A$3:$A$263)=2026)*(PRENOTAZIONI!$D$3:$D$263="Agantonio"))</f>
        <v>2</v>
      </c>
      <c r="H101" s="67"/>
    </row>
    <row r="102" spans="1:8" ht="20" customHeight="1" x14ac:dyDescent="0.2">
      <c r="A102" s="67"/>
      <c r="B102" s="68" t="s">
        <v>63</v>
      </c>
      <c r="C102" s="69">
        <f>SUMPRODUCT((MONTH(PRENOTAZIONI!$A$3:$A$263)=6)*(YEAR(PRENOTAZIONI!$A$3:$A$263)=2026)*(PRENOTAZIONI!$D$3:$D$263="Casa Bella Gialla")*PRENOTAZIONI!$H$3:$H$263)</f>
        <v>0</v>
      </c>
      <c r="D102" s="70">
        <f t="shared" si="10"/>
        <v>0</v>
      </c>
      <c r="E102" s="71">
        <f t="shared" si="11"/>
        <v>0</v>
      </c>
      <c r="F102" s="72">
        <f>SUMPRODUCT((PRENOTAZIONI!$A$3:$A$263&lt;DATE(2026,7,1))*(PRENOTAZIONI!$B$3:$B$263&gt;DATE(2026,6,1))*(YEAR(PRENOTAZIONI!$A$3:$A$263)=2026)*(PRENOTAZIONI!$D$3:$D$263="Casa Bella Gialla")*((PRENOTAZIONI!$B$3:$B$263*(PRENOTAZIONI!$B$3:$B$263&lt;DATE(2026,7,1))+DATE(2026,7,1)*(PRENOTAZIONI!$B$3:$B$263&gt;=DATE(2026,7,1)))-(PRENOTAZIONI!$A$3:$A$263*(PRENOTAZIONI!$A$3:$A$263&gt;DATE(2026,6,1))+DATE(2026,6,1)*(PRENOTAZIONI!$A$3:$A$263&lt;=DATE(2026,6,1)))))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102" s="72">
        <f>SUMPRODUCT((MONTH(PRENOTAZIONI!$A$3:$A$263)=6)*(YEAR(PRENOTAZIONI!$A$3:$A$263)=2026)*(PRENOTAZIONI!$D$3:$D$263="Casa Bella Gialla"))</f>
        <v>0</v>
      </c>
      <c r="H102" s="67"/>
    </row>
    <row r="103" spans="1:8" ht="20" customHeight="1" x14ac:dyDescent="0.2">
      <c r="A103" s="67"/>
      <c r="B103" s="68" t="s">
        <v>115</v>
      </c>
      <c r="C103" s="69">
        <f>SUMPRODUCT((MONTH(PRENOTAZIONI!$A$3:$A$263)=6)*(YEAR(PRENOTAZIONI!$A$3:$A$263)=2026)*(PRENOTAZIONI!$D$3:$D$263="Casa Verde Oliva")*PRENOTAZIONI!$H$3:$H$263)</f>
        <v>0</v>
      </c>
      <c r="D103" s="70">
        <f t="shared" si="10"/>
        <v>0</v>
      </c>
      <c r="E103" s="71">
        <f t="shared" si="11"/>
        <v>0</v>
      </c>
      <c r="F103" s="72">
        <f>SUMPRODUCT((PRENOTAZIONI!$A$3:$A$263&lt;DATE(2026,7,1))*(PRENOTAZIONI!$B$3:$B$263&gt;DATE(2026,6,1))*(YEAR(PRENOTAZIONI!$A$3:$A$263)=2026)*(PRENOTAZIONI!$D$3:$D$263="Casa Verde Oliva")*((PRENOTAZIONI!$B$3:$B$263*(PRENOTAZIONI!$B$3:$B$263&lt;DATE(2026,7,1))+DATE(2026,7,1)*(PRENOTAZIONI!$B$3:$B$263&gt;=DATE(2026,7,1)))-(PRENOTAZIONI!$A$3:$A$263*(PRENOTAZIONI!$A$3:$A$263&gt;DATE(2026,6,1))+DATE(2026,6,1)*(PRENOTAZIONI!$A$3:$A$263&lt;=DATE(2026,6,1)))))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103" s="72">
        <f>SUMPRODUCT((MONTH(PRENOTAZIONI!$A$3:$A$263)=6)*(YEAR(PRENOTAZIONI!$A$3:$A$263)=2026)*(PRENOTAZIONI!$D$3:$D$263="Casa Verde Oliva"))</f>
        <v>0</v>
      </c>
      <c r="H103" s="67"/>
    </row>
    <row r="104" spans="1:8" ht="20" customHeight="1" x14ac:dyDescent="0.2">
      <c r="A104" s="67"/>
      <c r="B104" s="68" t="s">
        <v>171</v>
      </c>
      <c r="C104" s="69">
        <f>SUMPRODUCT((MONTH(PRENOTAZIONI!$A$3:$A$263)=6)*(YEAR(PRENOTAZIONI!$A$3:$A$263)=2026)*(PRENOTAZIONI!$D$3:$D$263="Casa Nicola")*PRENOTAZIONI!$H$3:$H$263)</f>
        <v>0</v>
      </c>
      <c r="D104" s="70">
        <f t="shared" si="10"/>
        <v>0</v>
      </c>
      <c r="E104" s="71">
        <f t="shared" si="11"/>
        <v>0</v>
      </c>
      <c r="F104" s="72">
        <f>SUMPRODUCT((PRENOTAZIONI!$A$3:$A$263&lt;DATE(2026,7,1))*(PRENOTAZIONI!$B$3:$B$263&gt;DATE(2026,6,1))*(YEAR(PRENOTAZIONI!$A$3:$A$263)=2026)*(PRENOTAZIONI!$D$3:$D$263="Casa Nicola")*((PRENOTAZIONI!$B$3:$B$263*(PRENOTAZIONI!$B$3:$B$263&lt;DATE(2026,7,1))+DATE(2026,7,1)*(PRENOTAZIONI!$B$3:$B$263&gt;=DATE(2026,7,1)))-(PRENOTAZIONI!$A$3:$A$263*(PRENOTAZIONI!$A$3:$A$263&gt;DATE(2026,6,1))+DATE(2026,6,1)*(PRENOTAZIONI!$A$3:$A$263&lt;=DATE(2026,6,1)))))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104" s="72">
        <f>SUMPRODUCT((MONTH(PRENOTAZIONI!$A$3:$A$263)=6)*(YEAR(PRENOTAZIONI!$A$3:$A$263)=2026)*(PRENOTAZIONI!$D$3:$D$263="Casa Nicola"))</f>
        <v>0</v>
      </c>
      <c r="H104" s="67"/>
    </row>
    <row r="105" spans="1:8" ht="20" customHeight="1" x14ac:dyDescent="0.2">
      <c r="A105" s="67"/>
      <c r="B105" s="68" t="s">
        <v>172</v>
      </c>
      <c r="C105" s="69">
        <f>SUMPRODUCT((MONTH(PRENOTAZIONI!$A$3:$A$263)=6)*(YEAR(PRENOTAZIONI!$A$3:$A$263)=2026)*(PRENOTAZIONI!$D$3:$D$263="White Cottage")*PRENOTAZIONI!$H$3:$H$263)</f>
        <v>0</v>
      </c>
      <c r="D105" s="70">
        <f t="shared" si="10"/>
        <v>0</v>
      </c>
      <c r="E105" s="71">
        <f t="shared" si="11"/>
        <v>0</v>
      </c>
      <c r="F105" s="72">
        <f>SUMPRODUCT((PRENOTAZIONI!$A$3:$A$263&lt;DATE(2026,7,1))*(PRENOTAZIONI!$B$3:$B$263&gt;DATE(2026,6,1))*(YEAR(PRENOTAZIONI!$A$3:$A$263)=2026)*(PRENOTAZIONI!$D$3:$D$263="White Cottage")*((PRENOTAZIONI!$B$3:$B$263*(PRENOTAZIONI!$B$3:$B$263&lt;DATE(2026,7,1))+DATE(2026,7,1)*(PRENOTAZIONI!$B$3:$B$263&gt;=DATE(2026,7,1)))-(PRENOTAZIONI!$A$3:$A$263*(PRENOTAZIONI!$A$3:$A$263&gt;DATE(2026,6,1))+DATE(2026,6,1)*(PRENOTAZIONI!$A$3:$A$263&lt;=DATE(2026,6,1)))))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105" s="72">
        <f>SUMPRODUCT((MONTH(PRENOTAZIONI!$A$3:$A$263)=6)*(YEAR(PRENOTAZIONI!$A$3:$A$263)=2026)*(PRENOTAZIONI!$D$3:$D$263="White Cottage"))</f>
        <v>0</v>
      </c>
      <c r="H105" s="67"/>
    </row>
    <row r="106" spans="1:8" ht="20" customHeight="1" x14ac:dyDescent="0.2">
      <c r="A106" s="67"/>
      <c r="B106" s="68" t="s">
        <v>98</v>
      </c>
      <c r="C106" s="69">
        <f>SUMPRODUCT((MONTH(PRENOTAZIONI!$A$3:$A$263)=6)*(YEAR(PRENOTAZIONI!$A$3:$A$263)=2026)*(PRENOTAZIONI!$D$3:$D$263="Villa Nella")*PRENOTAZIONI!$H$3:$H$263)</f>
        <v>3231.36</v>
      </c>
      <c r="D106" s="70">
        <f t="shared" si="10"/>
        <v>2423.52</v>
      </c>
      <c r="E106" s="71">
        <f t="shared" si="11"/>
        <v>807.84</v>
      </c>
      <c r="F106" s="72">
        <f>SUMPRODUCT((PRENOTAZIONI!$A$3:$A$263&lt;DATE(2026,7,1))*(PRENOTAZIONI!$B$3:$B$263&gt;DATE(2026,6,1))*(YEAR(PRENOTAZIONI!$A$3:$A$263)=2026)*(PRENOTAZIONI!$D$3:$D$263="Villa Nella")*((PRENOTAZIONI!$B$3:$B$263*(PRENOTAZIONI!$B$3:$B$263&lt;DATE(2026,7,1))+DATE(2026,7,1)*(PRENOTAZIONI!$B$3:$B$263&gt;=DATE(2026,7,1)))-(PRENOTAZIONI!$A$3:$A$263*(PRENOTAZIONI!$A$3:$A$263&gt;DATE(2026,6,1))+DATE(2026,6,1)*(PRENOTAZIONI!$A$3:$A$263&lt;=DATE(2026,6,1)))))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12</v>
      </c>
      <c r="G106" s="72">
        <f>SUMPRODUCT((MONTH(PRENOTAZIONI!$A$3:$A$263)=6)*(YEAR(PRENOTAZIONI!$A$3:$A$263)=2026)*(PRENOTAZIONI!$D$3:$D$263="Villa Nella"))</f>
        <v>1</v>
      </c>
      <c r="H106" s="67"/>
    </row>
    <row r="107" spans="1:8" ht="20" customHeight="1" x14ac:dyDescent="0.2">
      <c r="A107" s="67"/>
      <c r="B107" s="68" t="s">
        <v>125</v>
      </c>
      <c r="C107" s="69">
        <f>SUMPRODUCT((MONTH(PRENOTAZIONI!$A$3:$A$263)=6)*(YEAR(PRENOTAZIONI!$A$3:$A$263)=2026)*(PRENOTAZIONI!$D$3:$D$263="Nel Cuore di Lanciano")*PRENOTAZIONI!$H$3:$H$263)</f>
        <v>0</v>
      </c>
      <c r="D107" s="70">
        <f t="shared" si="10"/>
        <v>0</v>
      </c>
      <c r="E107" s="71">
        <f t="shared" si="11"/>
        <v>0</v>
      </c>
      <c r="F107" s="72">
        <f>SUMPRODUCT((PRENOTAZIONI!$A$3:$A$263&lt;DATE(2026,7,1))*(PRENOTAZIONI!$B$3:$B$263&gt;DATE(2026,6,1))*(YEAR(PRENOTAZIONI!$A$3:$A$263)=2026)*(PRENOTAZIONI!$D$3:$D$263="Nel Cuore di Lanciano")*((PRENOTAZIONI!$B$3:$B$263*(PRENOTAZIONI!$B$3:$B$263&lt;DATE(2026,7,1))+DATE(2026,7,1)*(PRENOTAZIONI!$B$3:$B$263&gt;=DATE(2026,7,1)))-(PRENOTAZIONI!$A$3:$A$263*(PRENOTAZIONI!$A$3:$A$263&gt;DATE(2026,6,1))+DATE(2026,6,1)*(PRENOTAZIONI!$A$3:$A$263&lt;=DATE(2026,6,1)))))</f>
        <v>0</v>
      </c>
      <c r="G107" s="72">
        <f>SUMPRODUCT((MONTH(PRENOTAZIONI!$A$3:$A$263)=6)*(YEAR(PRENOTAZIONI!$A$3:$A$263)=2026)*(PRENOTAZIONI!$D$3:$D$263="Nel Cuore di Lanciano"))</f>
        <v>0</v>
      </c>
      <c r="H107" s="67"/>
    </row>
    <row r="108" spans="1:8" ht="24" customHeight="1" x14ac:dyDescent="0.2">
      <c r="A108" s="63"/>
      <c r="B108" s="73" t="s">
        <v>147</v>
      </c>
      <c r="C108" s="74">
        <f>SUM(C94:C107)</f>
        <v>7866.15</v>
      </c>
      <c r="D108" s="74">
        <f>SUM(D94:D107)</f>
        <v>6001.7880000000005</v>
      </c>
      <c r="E108" s="74">
        <f>SUM(E94:E107)</f>
        <v>1864.3620000000001</v>
      </c>
      <c r="F108" s="75">
        <f>SUM(F94:F107)</f>
        <v>54</v>
      </c>
      <c r="G108" s="75">
        <f>SUM(G94:G107)</f>
        <v>9</v>
      </c>
      <c r="H108" s="63"/>
    </row>
    <row r="110" spans="1:8" ht="24" customHeight="1" x14ac:dyDescent="0.2">
      <c r="A110" s="64" t="s">
        <v>187</v>
      </c>
      <c r="B110" s="65"/>
      <c r="C110" s="65"/>
      <c r="D110" s="65"/>
      <c r="E110" s="65"/>
      <c r="F110" s="65"/>
      <c r="G110" s="65"/>
      <c r="H110" s="65"/>
    </row>
    <row r="111" spans="1:8" ht="34" customHeight="1" x14ac:dyDescent="0.2">
      <c r="A111" s="66" t="s">
        <v>175</v>
      </c>
      <c r="B111" s="66" t="s">
        <v>169</v>
      </c>
      <c r="C111" s="66" t="s">
        <v>176</v>
      </c>
      <c r="D111" s="66" t="s">
        <v>177</v>
      </c>
      <c r="E111" s="66" t="s">
        <v>178</v>
      </c>
      <c r="F111" s="66" t="s">
        <v>179</v>
      </c>
      <c r="G111" s="66" t="s">
        <v>180</v>
      </c>
      <c r="H111" s="66" t="s">
        <v>18</v>
      </c>
    </row>
    <row r="112" spans="1:8" ht="20" customHeight="1" x14ac:dyDescent="0.2">
      <c r="A112" s="67"/>
      <c r="B112" s="68" t="s">
        <v>32</v>
      </c>
      <c r="C112" s="69">
        <f>SUMPRODUCT((MONTH(PRENOTAZIONI!$A$3:$A$263)=7)*(YEAR(PRENOTAZIONI!$A$3:$A$263)=2026)*(PRENOTAZIONI!$D$3:$D$263="Sotto la Quercia")*PRENOTAZIONI!$H$3:$H$263)</f>
        <v>4965.83</v>
      </c>
      <c r="D112" s="70">
        <f t="shared" ref="D112:D125" si="12">C112-E112</f>
        <v>3724.3724999999999</v>
      </c>
      <c r="E112" s="71">
        <f>C112*0.25</f>
        <v>1241.4575</v>
      </c>
      <c r="F112" s="72">
        <f>SUMPRODUCT((PRENOTAZIONI!$A$3:$A$263&lt;DATE(2026,8,1))*(PRENOTAZIONI!$B$3:$B$263&gt;DATE(2026,7,1))*(YEAR(PRENOTAZIONI!$A$3:$A$263)=2026)*(PRENOTAZIONI!$D$3:$D$263="Sotto la Quercia")*((PRENOTAZIONI!$B$3:$B$263*(PRENOTAZIONI!$B$3:$B$263&lt;DATE(2026,8,1))+DATE(2026,8,1)*(PRENOTAZIONI!$B$3:$B$263&gt;=DATE(2026,8,1)))-(PRENOTAZIONI!$A$3:$A$263*(PRENOTAZIONI!$A$3:$A$263&gt;DATE(2026,7,1))+DATE(2026,7,1)*(PRENOTAZIONI!$A$3:$A$263&lt;=DATE(2026,7,1)))))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26</v>
      </c>
      <c r="G112" s="72">
        <f>SUMPRODUCT((MONTH(PRENOTAZIONI!$A$3:$A$263)=7)*(YEAR(PRENOTAZIONI!$A$3:$A$263)=2026)*(PRENOTAZIONI!$D$3:$D$263="Sotto la Quercia"))</f>
        <v>2</v>
      </c>
      <c r="H112" s="67"/>
    </row>
    <row r="113" spans="1:8" ht="20" customHeight="1" x14ac:dyDescent="0.2">
      <c r="A113" s="67"/>
      <c r="B113" s="68" t="s">
        <v>45</v>
      </c>
      <c r="C113" s="69">
        <f>SUMPRODUCT((MONTH(PRENOTAZIONI!$A$3:$A$263)=7)*(YEAR(PRENOTAZIONI!$A$3:$A$263)=2026)*(PRENOTAZIONI!$D$3:$D$263="Villa Elena")*PRENOTAZIONI!$H$3:$H$263)</f>
        <v>0</v>
      </c>
      <c r="D113" s="70">
        <f t="shared" si="12"/>
        <v>0</v>
      </c>
      <c r="E113" s="71">
        <f>C113*0.25</f>
        <v>0</v>
      </c>
      <c r="F113" s="72">
        <f>SUMPRODUCT((PRENOTAZIONI!$A$3:$A$263&lt;DATE(2026,8,1))*(PRENOTAZIONI!$B$3:$B$263&gt;DATE(2026,7,1))*(YEAR(PRENOTAZIONI!$A$3:$A$263)=2026)*(PRENOTAZIONI!$D$3:$D$263="Villa Elena")*((PRENOTAZIONI!$B$3:$B$263*(PRENOTAZIONI!$B$3:$B$263&lt;DATE(2026,8,1))+DATE(2026,8,1)*(PRENOTAZIONI!$B$3:$B$263&gt;=DATE(2026,8,1)))-(PRENOTAZIONI!$A$3:$A$263*(PRENOTAZIONI!$A$3:$A$263&gt;DATE(2026,7,1))+DATE(2026,7,1)*(PRENOTAZIONI!$A$3:$A$263&lt;=DATE(2026,7,1)))))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0</v>
      </c>
      <c r="G113" s="72">
        <f>SUMPRODUCT((MONTH(PRENOTAZIONI!$A$3:$A$263)=7)*(YEAR(PRENOTAZIONI!$A$3:$A$263)=2026)*(PRENOTAZIONI!$D$3:$D$263="Villa Elena"))</f>
        <v>0</v>
      </c>
      <c r="H113" s="67"/>
    </row>
    <row r="114" spans="1:8" ht="20" customHeight="1" x14ac:dyDescent="0.2">
      <c r="A114" s="67"/>
      <c r="B114" s="68" t="s">
        <v>39</v>
      </c>
      <c r="C114" s="69">
        <f>SUMPRODUCT((MONTH(PRENOTAZIONI!$A$3:$A$263)=7)*(YEAR(PRENOTAZIONI!$A$3:$A$263)=2026)*(PRENOTAZIONI!$D$3:$D$263="Casa nel Borgo")*PRENOTAZIONI!$H$3:$H$263)</f>
        <v>940</v>
      </c>
      <c r="D114" s="70">
        <f t="shared" si="12"/>
        <v>705</v>
      </c>
      <c r="E114" s="71">
        <f>C114*0.25</f>
        <v>235</v>
      </c>
      <c r="F114" s="72">
        <f>SUMPRODUCT((PRENOTAZIONI!$A$3:$A$263&lt;DATE(2026,8,1))*(PRENOTAZIONI!$B$3:$B$263&gt;DATE(2026,7,1))*(YEAR(PRENOTAZIONI!$A$3:$A$263)=2026)*(PRENOTAZIONI!$D$3:$D$263="Casa nel Borgo")*((PRENOTAZIONI!$B$3:$B$263*(PRENOTAZIONI!$B$3:$B$263&lt;DATE(2026,8,1))+DATE(2026,8,1)*(PRENOTAZIONI!$B$3:$B$263&gt;=DATE(2026,8,1)))-(PRENOTAZIONI!$A$3:$A$263*(PRENOTAZIONI!$A$3:$A$263&gt;DATE(2026,7,1))+DATE(2026,7,1)*(PRENOTAZIONI!$A$3:$A$263&lt;=DATE(2026,7,1)))))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12</v>
      </c>
      <c r="G114" s="72">
        <f>SUMPRODUCT((MONTH(PRENOTAZIONI!$A$3:$A$263)=7)*(YEAR(PRENOTAZIONI!$A$3:$A$263)=2026)*(PRENOTAZIONI!$D$3:$D$263="Casa nel Borgo"))</f>
        <v>2</v>
      </c>
      <c r="H114" s="67"/>
    </row>
    <row r="115" spans="1:8" ht="20" customHeight="1" x14ac:dyDescent="0.2">
      <c r="A115" s="67"/>
      <c r="B115" s="68" t="s">
        <v>51</v>
      </c>
      <c r="C115" s="69">
        <f>SUMPRODUCT((MONTH(PRENOTAZIONI!$A$3:$A$263)=7)*(YEAR(PRENOTAZIONI!$A$3:$A$263)=2026)*(PRENOTAZIONI!$D$3:$D$263="Via San Rocco")*PRENOTAZIONI!$H$3:$H$263)</f>
        <v>1573.12</v>
      </c>
      <c r="D115" s="70">
        <f t="shared" si="12"/>
        <v>1415.808</v>
      </c>
      <c r="E115" s="71">
        <f>C115*0.1</f>
        <v>157.31200000000001</v>
      </c>
      <c r="F115" s="72">
        <f>SUMPRODUCT((PRENOTAZIONI!$A$3:$A$263&lt;DATE(2026,8,1))*(PRENOTAZIONI!$B$3:$B$263&gt;DATE(2026,7,1))*(YEAR(PRENOTAZIONI!$A$3:$A$263)=2026)*(PRENOTAZIONI!$D$3:$D$263="Via San Rocco")*((PRENOTAZIONI!$B$3:$B$263*(PRENOTAZIONI!$B$3:$B$263&lt;DATE(2026,8,1))+DATE(2026,8,1)*(PRENOTAZIONI!$B$3:$B$263&gt;=DATE(2026,8,1)))-(PRENOTAZIONI!$A$3:$A$263*(PRENOTAZIONI!$A$3:$A$263&gt;DATE(2026,7,1))+DATE(2026,7,1)*(PRENOTAZIONI!$A$3:$A$263&lt;=DATE(2026,7,1)))))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14</v>
      </c>
      <c r="G115" s="72">
        <f>SUMPRODUCT((MONTH(PRENOTAZIONI!$A$3:$A$263)=7)*(YEAR(PRENOTAZIONI!$A$3:$A$263)=2026)*(PRENOTAZIONI!$D$3:$D$263="Via San Rocco"))</f>
        <v>4</v>
      </c>
      <c r="H115" s="67"/>
    </row>
    <row r="116" spans="1:8" ht="20" customHeight="1" x14ac:dyDescent="0.2">
      <c r="A116" s="67"/>
      <c r="B116" s="68" t="s">
        <v>60</v>
      </c>
      <c r="C116" s="69">
        <f>SUMPRODUCT((MONTH(PRENOTAZIONI!$A$3:$A$263)=7)*(YEAR(PRENOTAZIONI!$A$3:$A$263)=2026)*(PRENOTAZIONI!$D$3:$D$263="Via Cavour")*PRENOTAZIONI!$H$3:$H$263)</f>
        <v>935.41</v>
      </c>
      <c r="D116" s="70">
        <f t="shared" si="12"/>
        <v>841.86899999999991</v>
      </c>
      <c r="E116" s="71">
        <f>C116*0.1</f>
        <v>93.540999999999997</v>
      </c>
      <c r="F116" s="72">
        <f>SUMPRODUCT((PRENOTAZIONI!$A$3:$A$263&lt;DATE(2026,8,1))*(PRENOTAZIONI!$B$3:$B$263&gt;DATE(2026,7,1))*(YEAR(PRENOTAZIONI!$A$3:$A$263)=2026)*(PRENOTAZIONI!$D$3:$D$263="Via Cavour")*((PRENOTAZIONI!$B$3:$B$263*(PRENOTAZIONI!$B$3:$B$263&lt;DATE(2026,8,1))+DATE(2026,8,1)*(PRENOTAZIONI!$B$3:$B$263&gt;=DATE(2026,8,1)))-(PRENOTAZIONI!$A$3:$A$263*(PRENOTAZIONI!$A$3:$A$263&gt;DATE(2026,7,1))+DATE(2026,7,1)*(PRENOTAZIONI!$A$3:$A$263&lt;=DATE(2026,7,1)))))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7</v>
      </c>
      <c r="G116" s="72">
        <f>SUMPRODUCT((MONTH(PRENOTAZIONI!$A$3:$A$263)=7)*(YEAR(PRENOTAZIONI!$A$3:$A$263)=2026)*(PRENOTAZIONI!$D$3:$D$263="Via Cavour"))</f>
        <v>1</v>
      </c>
      <c r="H116" s="67"/>
    </row>
    <row r="117" spans="1:8" ht="20" customHeight="1" x14ac:dyDescent="0.2">
      <c r="A117" s="67"/>
      <c r="B117" s="68" t="s">
        <v>93</v>
      </c>
      <c r="C117" s="69">
        <f>SUMPRODUCT((MONTH(PRENOTAZIONI!$A$3:$A$263)=7)*(YEAR(PRENOTAZIONI!$A$3:$A$263)=2026)*(PRENOTAZIONI!$D$3:$D$263="Casa Letizia")*PRENOTAZIONI!$H$3:$H$263)</f>
        <v>2187.31</v>
      </c>
      <c r="D117" s="70">
        <f t="shared" si="12"/>
        <v>1640.4825000000001</v>
      </c>
      <c r="E117" s="71">
        <f t="shared" ref="E117:E125" si="13">C117*0.25</f>
        <v>546.82749999999999</v>
      </c>
      <c r="F117" s="72">
        <f>SUMPRODUCT((PRENOTAZIONI!$A$3:$A$263&lt;DATE(2026,8,1))*(PRENOTAZIONI!$B$3:$B$263&gt;DATE(2026,7,1))*(YEAR(PRENOTAZIONI!$A$3:$A$263)=2026)*(PRENOTAZIONI!$D$3:$D$263="Casa Letizia")*((PRENOTAZIONI!$B$3:$B$263*(PRENOTAZIONI!$B$3:$B$263&lt;DATE(2026,8,1))+DATE(2026,8,1)*(PRENOTAZIONI!$B$3:$B$263&gt;=DATE(2026,8,1)))-(PRENOTAZIONI!$A$3:$A$263*(PRENOTAZIONI!$A$3:$A$263&gt;DATE(2026,7,1))+DATE(2026,7,1)*(PRENOTAZIONI!$A$3:$A$263&lt;=DATE(2026,7,1)))))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26</v>
      </c>
      <c r="G117" s="72">
        <f>SUMPRODUCT((MONTH(PRENOTAZIONI!$A$3:$A$263)=7)*(YEAR(PRENOTAZIONI!$A$3:$A$263)=2026)*(PRENOTAZIONI!$D$3:$D$263="Casa Letizia"))</f>
        <v>3</v>
      </c>
      <c r="H117" s="67"/>
    </row>
    <row r="118" spans="1:8" ht="20" customHeight="1" x14ac:dyDescent="0.2">
      <c r="A118" s="67"/>
      <c r="B118" s="68" t="s">
        <v>96</v>
      </c>
      <c r="C118" s="69">
        <f>SUMPRODUCT((MONTH(PRENOTAZIONI!$A$3:$A$263)=7)*(YEAR(PRENOTAZIONI!$A$3:$A$263)=2026)*(PRENOTAZIONI!$D$3:$D$263="Miramare")*PRENOTAZIONI!$H$3:$H$263)</f>
        <v>3631.76</v>
      </c>
      <c r="D118" s="70">
        <f t="shared" si="12"/>
        <v>2723.82</v>
      </c>
      <c r="E118" s="71">
        <f t="shared" si="13"/>
        <v>907.94</v>
      </c>
      <c r="F118" s="72">
        <f>SUMPRODUCT((PRENOTAZIONI!$A$3:$A$263&lt;DATE(2026,8,1))*(PRENOTAZIONI!$B$3:$B$263&gt;DATE(2026,7,1))*(YEAR(PRENOTAZIONI!$A$3:$A$263)=2026)*(PRENOTAZIONI!$D$3:$D$263="Miramare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31</v>
      </c>
      <c r="G118" s="72">
        <f>SUMPRODUCT((MONTH(PRENOTAZIONI!$A$3:$A$263)=7)*(YEAR(PRENOTAZIONI!$A$3:$A$263)=2026)*(PRENOTAZIONI!$D$3:$D$263="Miramare"))</f>
        <v>5</v>
      </c>
      <c r="H118" s="67"/>
    </row>
    <row r="119" spans="1:8" ht="20" customHeight="1" x14ac:dyDescent="0.2">
      <c r="A119" s="67"/>
      <c r="B119" s="68" t="s">
        <v>69</v>
      </c>
      <c r="C119" s="69">
        <f>SUMPRODUCT((MONTH(PRENOTAZIONI!$A$3:$A$263)=7)*(YEAR(PRENOTAZIONI!$A$3:$A$263)=2026)*(PRENOTAZIONI!$D$3:$D$263="Agantonio")*PRENOTAZIONI!$H$3:$H$263)</f>
        <v>530.67999999999995</v>
      </c>
      <c r="D119" s="70">
        <f t="shared" si="12"/>
        <v>398.01</v>
      </c>
      <c r="E119" s="71">
        <f t="shared" si="13"/>
        <v>132.66999999999999</v>
      </c>
      <c r="F119" s="72">
        <f>SUMPRODUCT((PRENOTAZIONI!$A$3:$A$263&lt;DATE(2026,8,1))*(PRENOTAZIONI!$B$3:$B$263&gt;DATE(2026,7,1))*(YEAR(PRENOTAZIONI!$A$3:$A$263)=2026)*(PRENOTAZIONI!$D$3:$D$263="Agantonio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6</v>
      </c>
      <c r="G119" s="72">
        <f>SUMPRODUCT((MONTH(PRENOTAZIONI!$A$3:$A$263)=7)*(YEAR(PRENOTAZIONI!$A$3:$A$263)=2026)*(PRENOTAZIONI!$D$3:$D$263="Agantonio"))</f>
        <v>1</v>
      </c>
      <c r="H119" s="67"/>
    </row>
    <row r="120" spans="1:8" ht="20" customHeight="1" x14ac:dyDescent="0.2">
      <c r="A120" s="67"/>
      <c r="B120" s="68" t="s">
        <v>63</v>
      </c>
      <c r="C120" s="69">
        <f>SUMPRODUCT((MONTH(PRENOTAZIONI!$A$3:$A$263)=7)*(YEAR(PRENOTAZIONI!$A$3:$A$263)=2026)*(PRENOTAZIONI!$D$3:$D$263="Casa Bella Gialla")*PRENOTAZIONI!$H$3:$H$263)</f>
        <v>0</v>
      </c>
      <c r="D120" s="70">
        <f t="shared" si="12"/>
        <v>0</v>
      </c>
      <c r="E120" s="71">
        <f t="shared" si="13"/>
        <v>0</v>
      </c>
      <c r="F120" s="72">
        <f>SUMPRODUCT((PRENOTAZIONI!$A$3:$A$263&lt;DATE(2026,8,1))*(PRENOTAZIONI!$B$3:$B$263&gt;DATE(2026,7,1))*(YEAR(PRENOTAZIONI!$A$3:$A$263)=2026)*(PRENOTAZIONI!$D$3:$D$263="Casa Bella Gialla")*((PRENOTAZIONI!$B$3:$B$263*(PRENOTAZIONI!$B$3:$B$263&lt;DATE(2026,8,1))+DATE(2026,8,1)*(PRENOTAZIONI!$B$3:$B$263&gt;=DATE(2026,8,1)))-(PRENOTAZIONI!$A$3:$A$263*(PRENOTAZIONI!$A$3:$A$263&gt;DATE(2026,7,1))+DATE(2026,7,1)*(PRENOTAZIONI!$A$3:$A$263&lt;=DATE(2026,7,1)))))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0</v>
      </c>
      <c r="G120" s="72">
        <f>SUMPRODUCT((MONTH(PRENOTAZIONI!$A$3:$A$263)=7)*(YEAR(PRENOTAZIONI!$A$3:$A$263)=2026)*(PRENOTAZIONI!$D$3:$D$263="Casa Bella Gialla"))</f>
        <v>0</v>
      </c>
      <c r="H120" s="67"/>
    </row>
    <row r="121" spans="1:8" ht="20" customHeight="1" x14ac:dyDescent="0.2">
      <c r="A121" s="67"/>
      <c r="B121" s="68" t="s">
        <v>115</v>
      </c>
      <c r="C121" s="69">
        <f>SUMPRODUCT((MONTH(PRENOTAZIONI!$A$3:$A$263)=7)*(YEAR(PRENOTAZIONI!$A$3:$A$263)=2026)*(PRENOTAZIONI!$D$3:$D$263="Casa Verde Oliva")*PRENOTAZIONI!$H$3:$H$263)</f>
        <v>1867.93</v>
      </c>
      <c r="D121" s="70">
        <f t="shared" si="12"/>
        <v>1400.9475</v>
      </c>
      <c r="E121" s="71">
        <f t="shared" si="13"/>
        <v>466.98250000000002</v>
      </c>
      <c r="F121" s="72">
        <f>SUMPRODUCT((PRENOTAZIONI!$A$3:$A$263&lt;DATE(2026,8,1))*(PRENOTAZIONI!$B$3:$B$263&gt;DATE(2026,7,1))*(YEAR(PRENOTAZIONI!$A$3:$A$263)=2026)*(PRENOTAZIONI!$D$3:$D$263="Casa Verde Oliva")*((PRENOTAZIONI!$B$3:$B$263*(PRENOTAZIONI!$B$3:$B$263&lt;DATE(2026,8,1))+DATE(2026,8,1)*(PRENOTAZIONI!$B$3:$B$263&gt;=DATE(2026,8,1)))-(PRENOTAZIONI!$A$3:$A$263*(PRENOTAZIONI!$A$3:$A$263&gt;DATE(2026,7,1))+DATE(2026,7,1)*(PRENOTAZIONI!$A$3:$A$263&lt;=DATE(2026,7,1)))))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12</v>
      </c>
      <c r="G121" s="72">
        <f>SUMPRODUCT((MONTH(PRENOTAZIONI!$A$3:$A$263)=7)*(YEAR(PRENOTAZIONI!$A$3:$A$263)=2026)*(PRENOTAZIONI!$D$3:$D$263="Casa Verde Oliva"))</f>
        <v>2</v>
      </c>
      <c r="H121" s="67"/>
    </row>
    <row r="122" spans="1:8" ht="20" customHeight="1" x14ac:dyDescent="0.2">
      <c r="A122" s="67"/>
      <c r="B122" s="68" t="s">
        <v>171</v>
      </c>
      <c r="C122" s="69">
        <f>SUMPRODUCT((MONTH(PRENOTAZIONI!$A$3:$A$263)=7)*(YEAR(PRENOTAZIONI!$A$3:$A$263)=2026)*(PRENOTAZIONI!$D$3:$D$263="Casa Nicola")*PRENOTAZIONI!$H$3:$H$263)</f>
        <v>933.72</v>
      </c>
      <c r="D122" s="70">
        <f t="shared" si="12"/>
        <v>700.29</v>
      </c>
      <c r="E122" s="71">
        <f t="shared" si="13"/>
        <v>233.43</v>
      </c>
      <c r="F122" s="72">
        <f>SUMPRODUCT((PRENOTAZIONI!$A$3:$A$263&lt;DATE(2026,8,1))*(PRENOTAZIONI!$B$3:$B$263&gt;DATE(2026,7,1))*(YEAR(PRENOTAZIONI!$A$3:$A$263)=2026)*(PRENOTAZIONI!$D$3:$D$263="Casa Nicola")*((PRENOTAZIONI!$B$3:$B$263*(PRENOTAZIONI!$B$3:$B$263&lt;DATE(2026,8,1))+DATE(2026,8,1)*(PRENOTAZIONI!$B$3:$B$263&gt;=DATE(2026,8,1)))-(PRENOTAZIONI!$A$3:$A$263*(PRENOTAZIONI!$A$3:$A$263&gt;DATE(2026,7,1))+DATE(2026,7,1)*(PRENOTAZIONI!$A$3:$A$263&lt;=DATE(2026,7,1)))))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7</v>
      </c>
      <c r="G122" s="72">
        <f>SUMPRODUCT((MONTH(PRENOTAZIONI!$A$3:$A$263)=7)*(YEAR(PRENOTAZIONI!$A$3:$A$263)=2026)*(PRENOTAZIONI!$D$3:$D$263="Casa Nicola"))</f>
        <v>1</v>
      </c>
      <c r="H122" s="67"/>
    </row>
    <row r="123" spans="1:8" ht="20" customHeight="1" x14ac:dyDescent="0.2">
      <c r="A123" s="67"/>
      <c r="B123" s="68" t="s">
        <v>172</v>
      </c>
      <c r="C123" s="69">
        <f>SUMPRODUCT((MONTH(PRENOTAZIONI!$A$3:$A$263)=7)*(YEAR(PRENOTAZIONI!$A$3:$A$263)=2026)*(PRENOTAZIONI!$D$3:$D$263="White Cottage")*PRENOTAZIONI!$H$3:$H$263)</f>
        <v>0</v>
      </c>
      <c r="D123" s="70">
        <f t="shared" si="12"/>
        <v>0</v>
      </c>
      <c r="E123" s="71">
        <f t="shared" si="13"/>
        <v>0</v>
      </c>
      <c r="F123" s="72">
        <f>SUMPRODUCT((PRENOTAZIONI!$A$3:$A$263&lt;DATE(2026,8,1))*(PRENOTAZIONI!$B$3:$B$263&gt;DATE(2026,7,1))*(YEAR(PRENOTAZIONI!$A$3:$A$263)=2026)*(PRENOTAZIONI!$D$3:$D$263="White Cottage")*((PRENOTAZIONI!$B$3:$B$263*(PRENOTAZIONI!$B$3:$B$263&lt;DATE(2026,8,1))+DATE(2026,8,1)*(PRENOTAZIONI!$B$3:$B$263&gt;=DATE(2026,8,1)))-(PRENOTAZIONI!$A$3:$A$263*(PRENOTAZIONI!$A$3:$A$263&gt;DATE(2026,7,1))+DATE(2026,7,1)*(PRENOTAZIONI!$A$3:$A$263&lt;=DATE(2026,7,1)))))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0</v>
      </c>
      <c r="G123" s="72">
        <f>SUMPRODUCT((MONTH(PRENOTAZIONI!$A$3:$A$263)=7)*(YEAR(PRENOTAZIONI!$A$3:$A$263)=2026)*(PRENOTAZIONI!$D$3:$D$263="White Cottage"))</f>
        <v>0</v>
      </c>
      <c r="H123" s="67"/>
    </row>
    <row r="124" spans="1:8" ht="20" customHeight="1" x14ac:dyDescent="0.2">
      <c r="A124" s="67"/>
      <c r="B124" s="68" t="s">
        <v>98</v>
      </c>
      <c r="C124" s="69">
        <f>SUMPRODUCT((MONTH(PRENOTAZIONI!$A$3:$A$263)=7)*(YEAR(PRENOTAZIONI!$A$3:$A$263)=2026)*(PRENOTAZIONI!$D$3:$D$263="Villa Nella")*PRENOTAZIONI!$H$3:$H$263)</f>
        <v>8048.91</v>
      </c>
      <c r="D124" s="70">
        <f t="shared" si="12"/>
        <v>6036.6824999999999</v>
      </c>
      <c r="E124" s="71">
        <f t="shared" si="13"/>
        <v>2012.2275</v>
      </c>
      <c r="F124" s="72">
        <f>SUMPRODUCT((PRENOTAZIONI!$A$3:$A$263&lt;DATE(2026,8,1))*(PRENOTAZIONI!$B$3:$B$263&gt;DATE(2026,7,1))*(YEAR(PRENOTAZIONI!$A$3:$A$263)=2026)*(PRENOTAZIONI!$D$3:$D$263="Villa Nella")*((PRENOTAZIONI!$B$3:$B$263*(PRENOTAZIONI!$B$3:$B$263&lt;DATE(2026,8,1))+DATE(2026,8,1)*(PRENOTAZIONI!$B$3:$B$263&gt;=DATE(2026,8,1)))-(PRENOTAZIONI!$A$3:$A$263*(PRENOTAZIONI!$A$3:$A$263&gt;DATE(2026,7,1))+DATE(2026,7,1)*(PRENOTAZIONI!$A$3:$A$263&lt;=DATE(2026,7,1)))))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17</v>
      </c>
      <c r="G124" s="72">
        <f>SUMPRODUCT((MONTH(PRENOTAZIONI!$A$3:$A$263)=7)*(YEAR(PRENOTAZIONI!$A$3:$A$263)=2026)*(PRENOTAZIONI!$D$3:$D$263="Villa Nella"))</f>
        <v>2</v>
      </c>
      <c r="H124" s="67"/>
    </row>
    <row r="125" spans="1:8" ht="20" customHeight="1" x14ac:dyDescent="0.2">
      <c r="A125" s="67"/>
      <c r="B125" s="68" t="s">
        <v>125</v>
      </c>
      <c r="C125" s="69">
        <f>SUMPRODUCT((MONTH(PRENOTAZIONI!$A$3:$A$263)=7)*(YEAR(PRENOTAZIONI!$A$3:$A$263)=2026)*(PRENOTAZIONI!$D$3:$D$263="Nel Cuore di Lanciano")*PRENOTAZIONI!$H$3:$H$263)</f>
        <v>554.4</v>
      </c>
      <c r="D125" s="70">
        <f t="shared" si="12"/>
        <v>415.79999999999995</v>
      </c>
      <c r="E125" s="71">
        <f t="shared" si="13"/>
        <v>138.6</v>
      </c>
      <c r="F125" s="72">
        <f>SUMPRODUCT((PRENOTAZIONI!$A$3:$A$263&lt;DATE(2026,8,1))*(PRENOTAZIONI!$B$3:$B$263&gt;DATE(2026,7,1))*(YEAR(PRENOTAZIONI!$A$3:$A$263)=2026)*(PRENOTAZIONI!$D$3:$D$263="Nel Cuore di Lanciano")*((PRENOTAZIONI!$B$3:$B$263*(PRENOTAZIONI!$B$3:$B$263&lt;DATE(2026,8,1))+DATE(2026,8,1)*(PRENOTAZIONI!$B$3:$B$263&gt;=DATE(2026,8,1)))-(PRENOTAZIONI!$A$3:$A$263*(PRENOTAZIONI!$A$3:$A$263&gt;DATE(2026,7,1))+DATE(2026,7,1)*(PRENOTAZIONI!$A$3:$A$263&lt;=DATE(2026,7,1)))))</f>
        <v>5</v>
      </c>
      <c r="G125" s="72">
        <f>SUMPRODUCT((MONTH(PRENOTAZIONI!$A$3:$A$263)=7)*(YEAR(PRENOTAZIONI!$A$3:$A$263)=2026)*(PRENOTAZIONI!$D$3:$D$263="Nel Cuore di Lanciano"))</f>
        <v>1</v>
      </c>
      <c r="H125" s="67"/>
    </row>
    <row r="126" spans="1:8" ht="24" customHeight="1" x14ac:dyDescent="0.2">
      <c r="A126" s="63"/>
      <c r="B126" s="73" t="s">
        <v>147</v>
      </c>
      <c r="C126" s="74">
        <f>SUM(C112:C125)</f>
        <v>26169.070000000003</v>
      </c>
      <c r="D126" s="74">
        <f>SUM(D112:D125)</f>
        <v>20003.081999999999</v>
      </c>
      <c r="E126" s="74">
        <f>SUM(E112:E125)</f>
        <v>6165.9880000000003</v>
      </c>
      <c r="F126" s="75">
        <f>SUM(F112:F125)</f>
        <v>163</v>
      </c>
      <c r="G126" s="75">
        <f>SUM(G112:G125)</f>
        <v>24</v>
      </c>
      <c r="H126" s="63"/>
    </row>
    <row r="128" spans="1:8" ht="24" customHeight="1" x14ac:dyDescent="0.2">
      <c r="A128" s="64" t="s">
        <v>188</v>
      </c>
      <c r="B128" s="65"/>
      <c r="C128" s="65"/>
      <c r="D128" s="65"/>
      <c r="E128" s="65"/>
      <c r="F128" s="65"/>
      <c r="G128" s="65"/>
      <c r="H128" s="65"/>
    </row>
    <row r="129" spans="1:8" ht="34" customHeight="1" x14ac:dyDescent="0.2">
      <c r="A129" s="66" t="s">
        <v>175</v>
      </c>
      <c r="B129" s="66" t="s">
        <v>169</v>
      </c>
      <c r="C129" s="66" t="s">
        <v>176</v>
      </c>
      <c r="D129" s="66" t="s">
        <v>177</v>
      </c>
      <c r="E129" s="66" t="s">
        <v>178</v>
      </c>
      <c r="F129" s="66" t="s">
        <v>179</v>
      </c>
      <c r="G129" s="66" t="s">
        <v>180</v>
      </c>
      <c r="H129" s="66" t="s">
        <v>18</v>
      </c>
    </row>
    <row r="130" spans="1:8" ht="20" customHeight="1" x14ac:dyDescent="0.2">
      <c r="A130" s="67"/>
      <c r="B130" s="68" t="s">
        <v>32</v>
      </c>
      <c r="C130" s="69">
        <f>SUMPRODUCT((MONTH(PRENOTAZIONI!$A$3:$A$263)=8)*(YEAR(PRENOTAZIONI!$A$3:$A$263)=2026)*(PRENOTAZIONI!$D$3:$D$263="Sotto la Quercia")*PRENOTAZIONI!$H$3:$H$263)</f>
        <v>4339.5</v>
      </c>
      <c r="D130" s="70">
        <f t="shared" ref="D130:D143" si="14">C130-E130</f>
        <v>3254.625</v>
      </c>
      <c r="E130" s="71">
        <f>C130*0.25</f>
        <v>1084.875</v>
      </c>
      <c r="F130" s="72">
        <f>SUMPRODUCT((PRENOTAZIONI!$A$3:$A$263&lt;DATE(2026,9,1))*(PRENOTAZIONI!$B$3:$B$263&gt;DATE(2026,8,1))*(YEAR(PRENOTAZIONI!$A$3:$A$263)=2026)*(PRENOTAZIONI!$D$3:$D$263="Sotto la Quercia")*((PRENOTAZIONI!$B$3:$B$263*(PRENOTAZIONI!$B$3:$B$263&lt;DATE(2026,9,1))+DATE(2026,9,1)*(PRENOTAZIONI!$B$3:$B$263&gt;=DATE(2026,9,1)))-(PRENOTAZIONI!$A$3:$A$263*(PRENOTAZIONI!$A$3:$A$263&gt;DATE(2026,8,1))+DATE(2026,8,1)*(PRENOTAZIONI!$A$3:$A$263&lt;=DATE(2026,8,1)))))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27</v>
      </c>
      <c r="G130" s="72">
        <f>SUMPRODUCT((MONTH(PRENOTAZIONI!$A$3:$A$263)=8)*(YEAR(PRENOTAZIONI!$A$3:$A$263)=2026)*(PRENOTAZIONI!$D$3:$D$263="Sotto la Quercia"))</f>
        <v>3</v>
      </c>
      <c r="H130" s="67"/>
    </row>
    <row r="131" spans="1:8" ht="20" customHeight="1" x14ac:dyDescent="0.2">
      <c r="A131" s="67"/>
      <c r="B131" s="68" t="s">
        <v>45</v>
      </c>
      <c r="C131" s="69">
        <f>SUMPRODUCT((MONTH(PRENOTAZIONI!$A$3:$A$263)=8)*(YEAR(PRENOTAZIONI!$A$3:$A$263)=2026)*(PRENOTAZIONI!$D$3:$D$263="Villa Elena")*PRENOTAZIONI!$H$3:$H$263)</f>
        <v>1375.58</v>
      </c>
      <c r="D131" s="70">
        <f t="shared" si="14"/>
        <v>1031.6849999999999</v>
      </c>
      <c r="E131" s="71">
        <f>C131*0.25</f>
        <v>343.89499999999998</v>
      </c>
      <c r="F131" s="72">
        <f>SUMPRODUCT((PRENOTAZIONI!$A$3:$A$263&lt;DATE(2026,9,1))*(PRENOTAZIONI!$B$3:$B$263&gt;DATE(2026,8,1))*(YEAR(PRENOTAZIONI!$A$3:$A$263)=2026)*(PRENOTAZIONI!$D$3:$D$263="Villa Elena")*((PRENOTAZIONI!$B$3:$B$263*(PRENOTAZIONI!$B$3:$B$263&lt;DATE(2026,9,1))+DATE(2026,9,1)*(PRENOTAZIONI!$B$3:$B$263&gt;=DATE(2026,9,1)))-(PRENOTAZIONI!$A$3:$A$263*(PRENOTAZIONI!$A$3:$A$263&gt;DATE(2026,8,1))+DATE(2026,8,1)*(PRENOTAZIONI!$A$3:$A$263&lt;=DATE(2026,8,1)))))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11</v>
      </c>
      <c r="G131" s="72">
        <f>SUMPRODUCT((MONTH(PRENOTAZIONI!$A$3:$A$263)=8)*(YEAR(PRENOTAZIONI!$A$3:$A$263)=2026)*(PRENOTAZIONI!$D$3:$D$263="Villa Elena"))</f>
        <v>2</v>
      </c>
      <c r="H131" s="67"/>
    </row>
    <row r="132" spans="1:8" ht="20" customHeight="1" x14ac:dyDescent="0.2">
      <c r="A132" s="67"/>
      <c r="B132" s="68" t="s">
        <v>39</v>
      </c>
      <c r="C132" s="69">
        <f>SUMPRODUCT((MONTH(PRENOTAZIONI!$A$3:$A$263)=8)*(YEAR(PRENOTAZIONI!$A$3:$A$263)=2026)*(PRENOTAZIONI!$D$3:$D$263="Casa nel Borgo")*PRENOTAZIONI!$H$3:$H$263)</f>
        <v>2205.9499999999998</v>
      </c>
      <c r="D132" s="70">
        <f t="shared" si="14"/>
        <v>1654.4624999999999</v>
      </c>
      <c r="E132" s="71">
        <f>C132*0.25</f>
        <v>551.48749999999995</v>
      </c>
      <c r="F132" s="72">
        <f>SUMPRODUCT((PRENOTAZIONI!$A$3:$A$263&lt;DATE(2026,9,1))*(PRENOTAZIONI!$B$3:$B$263&gt;DATE(2026,8,1))*(YEAR(PRENOTAZIONI!$A$3:$A$263)=2026)*(PRENOTAZIONI!$D$3:$D$263="Casa nel Borgo")*((PRENOTAZIONI!$B$3:$B$263*(PRENOTAZIONI!$B$3:$B$263&lt;DATE(2026,9,1))+DATE(2026,9,1)*(PRENOTAZIONI!$B$3:$B$263&gt;=DATE(2026,9,1)))-(PRENOTAZIONI!$A$3:$A$263*(PRENOTAZIONI!$A$3:$A$263&gt;DATE(2026,8,1))+DATE(2026,8,1)*(PRENOTAZIONI!$A$3:$A$263&lt;=DATE(2026,8,1)))))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22</v>
      </c>
      <c r="G132" s="72">
        <f>SUMPRODUCT((MONTH(PRENOTAZIONI!$A$3:$A$263)=8)*(YEAR(PRENOTAZIONI!$A$3:$A$263)=2026)*(PRENOTAZIONI!$D$3:$D$263="Casa nel Borgo"))</f>
        <v>4</v>
      </c>
      <c r="H132" s="67"/>
    </row>
    <row r="133" spans="1:8" ht="20" customHeight="1" x14ac:dyDescent="0.2">
      <c r="A133" s="67"/>
      <c r="B133" s="68" t="s">
        <v>51</v>
      </c>
      <c r="C133" s="69">
        <f>SUMPRODUCT((MONTH(PRENOTAZIONI!$A$3:$A$263)=8)*(YEAR(PRENOTAZIONI!$A$3:$A$263)=2026)*(PRENOTAZIONI!$D$3:$D$263="Via San Rocco")*PRENOTAZIONI!$H$3:$H$263)</f>
        <v>1996.99</v>
      </c>
      <c r="D133" s="70">
        <f t="shared" si="14"/>
        <v>1797.2909999999999</v>
      </c>
      <c r="E133" s="71">
        <f>C133*0.1</f>
        <v>199.69900000000001</v>
      </c>
      <c r="F133" s="72">
        <f>SUMPRODUCT((PRENOTAZIONI!$A$3:$A$263&lt;DATE(2026,9,1))*(PRENOTAZIONI!$B$3:$B$263&gt;DATE(2026,8,1))*(YEAR(PRENOTAZIONI!$A$3:$A$263)=2026)*(PRENOTAZIONI!$D$3:$D$263="Via San Rocco")*((PRENOTAZIONI!$B$3:$B$263*(PRENOTAZIONI!$B$3:$B$263&lt;DATE(2026,9,1))+DATE(2026,9,1)*(PRENOTAZIONI!$B$3:$B$263&gt;=DATE(2026,9,1)))-(PRENOTAZIONI!$A$3:$A$263*(PRENOTAZIONI!$A$3:$A$263&gt;DATE(2026,8,1))+DATE(2026,8,1)*(PRENOTAZIONI!$A$3:$A$263&lt;=DATE(2026,8,1)))))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20</v>
      </c>
      <c r="G133" s="72">
        <f>SUMPRODUCT((MONTH(PRENOTAZIONI!$A$3:$A$263)=8)*(YEAR(PRENOTAZIONI!$A$3:$A$263)=2026)*(PRENOTAZIONI!$D$3:$D$263="Via San Rocco"))</f>
        <v>3</v>
      </c>
      <c r="H133" s="67"/>
    </row>
    <row r="134" spans="1:8" ht="20" customHeight="1" x14ac:dyDescent="0.2">
      <c r="A134" s="67"/>
      <c r="B134" s="68" t="s">
        <v>60</v>
      </c>
      <c r="C134" s="69">
        <f>SUMPRODUCT((MONTH(PRENOTAZIONI!$A$3:$A$263)=8)*(YEAR(PRENOTAZIONI!$A$3:$A$263)=2026)*(PRENOTAZIONI!$D$3:$D$263="Via Cavour")*PRENOTAZIONI!$H$3:$H$263)</f>
        <v>1762.57</v>
      </c>
      <c r="D134" s="70">
        <f t="shared" si="14"/>
        <v>1586.3129999999999</v>
      </c>
      <c r="E134" s="71">
        <f>C134*0.1</f>
        <v>176.25700000000001</v>
      </c>
      <c r="F134" s="72">
        <f>SUMPRODUCT((PRENOTAZIONI!$A$3:$A$263&lt;DATE(2026,9,1))*(PRENOTAZIONI!$B$3:$B$263&gt;DATE(2026,8,1))*(YEAR(PRENOTAZIONI!$A$3:$A$263)=2026)*(PRENOTAZIONI!$D$3:$D$263="Via Cavour")*((PRENOTAZIONI!$B$3:$B$263*(PRENOTAZIONI!$B$3:$B$263&lt;DATE(2026,9,1))+DATE(2026,9,1)*(PRENOTAZIONI!$B$3:$B$263&gt;=DATE(2026,9,1)))-(PRENOTAZIONI!$A$3:$A$263*(PRENOTAZIONI!$A$3:$A$263&gt;DATE(2026,8,1))+DATE(2026,8,1)*(PRENOTAZIONI!$A$3:$A$263&lt;=DATE(2026,8,1)))))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14</v>
      </c>
      <c r="G134" s="72">
        <f>SUMPRODUCT((MONTH(PRENOTAZIONI!$A$3:$A$263)=8)*(YEAR(PRENOTAZIONI!$A$3:$A$263)=2026)*(PRENOTAZIONI!$D$3:$D$263="Via Cavour"))</f>
        <v>3</v>
      </c>
      <c r="H134" s="67"/>
    </row>
    <row r="135" spans="1:8" ht="20" customHeight="1" x14ac:dyDescent="0.2">
      <c r="A135" s="67"/>
      <c r="B135" s="68" t="s">
        <v>93</v>
      </c>
      <c r="C135" s="69">
        <f>SUMPRODUCT((MONTH(PRENOTAZIONI!$A$3:$A$263)=8)*(YEAR(PRENOTAZIONI!$A$3:$A$263)=2026)*(PRENOTAZIONI!$D$3:$D$263="Casa Letizia")*PRENOTAZIONI!$H$3:$H$263)</f>
        <v>3823.32</v>
      </c>
      <c r="D135" s="70">
        <f t="shared" si="14"/>
        <v>2867.4900000000002</v>
      </c>
      <c r="E135" s="71">
        <f t="shared" ref="E135:E143" si="15">C135*0.25</f>
        <v>955.83</v>
      </c>
      <c r="F135" s="72">
        <f>SUMPRODUCT((PRENOTAZIONI!$A$3:$A$263&lt;DATE(2026,9,1))*(PRENOTAZIONI!$B$3:$B$263&gt;DATE(2026,8,1))*(YEAR(PRENOTAZIONI!$A$3:$A$263)=2026)*(PRENOTAZIONI!$D$3:$D$263="Casa Letizia")*((PRENOTAZIONI!$B$3:$B$263*(PRENOTAZIONI!$B$3:$B$263&lt;DATE(2026,9,1))+DATE(2026,9,1)*(PRENOTAZIONI!$B$3:$B$263&gt;=DATE(2026,9,1)))-(PRENOTAZIONI!$A$3:$A$263*(PRENOTAZIONI!$A$3:$A$263&gt;DATE(2026,8,1))+DATE(2026,8,1)*(PRENOTAZIONI!$A$3:$A$263&lt;=DATE(2026,8,1)))))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27</v>
      </c>
      <c r="G135" s="72">
        <f>SUMPRODUCT((MONTH(PRENOTAZIONI!$A$3:$A$263)=8)*(YEAR(PRENOTAZIONI!$A$3:$A$263)=2026)*(PRENOTAZIONI!$D$3:$D$263="Casa Letizia"))</f>
        <v>3</v>
      </c>
      <c r="H135" s="67"/>
    </row>
    <row r="136" spans="1:8" ht="20" customHeight="1" x14ac:dyDescent="0.2">
      <c r="A136" s="67"/>
      <c r="B136" s="68" t="s">
        <v>96</v>
      </c>
      <c r="C136" s="69">
        <f>SUMPRODUCT((MONTH(PRENOTAZIONI!$A$3:$A$263)=8)*(YEAR(PRENOTAZIONI!$A$3:$A$263)=2026)*(PRENOTAZIONI!$D$3:$D$263="Miramare")*PRENOTAZIONI!$H$3:$H$263)</f>
        <v>2834.36</v>
      </c>
      <c r="D136" s="70">
        <f t="shared" si="14"/>
        <v>2125.77</v>
      </c>
      <c r="E136" s="71">
        <f t="shared" si="15"/>
        <v>708.59</v>
      </c>
      <c r="F136" s="72">
        <f>SUMPRODUCT((PRENOTAZIONI!$A$3:$A$263&lt;DATE(2026,9,1))*(PRENOTAZIONI!$B$3:$B$263&gt;DATE(2026,8,1))*(YEAR(PRENOTAZIONI!$A$3:$A$263)=2026)*(PRENOTAZIONI!$D$3:$D$263="Miramare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24</v>
      </c>
      <c r="G136" s="72">
        <f>SUMPRODUCT((MONTH(PRENOTAZIONI!$A$3:$A$263)=8)*(YEAR(PRENOTAZIONI!$A$3:$A$263)=2026)*(PRENOTAZIONI!$D$3:$D$263="Miramare"))</f>
        <v>3</v>
      </c>
      <c r="H136" s="67"/>
    </row>
    <row r="137" spans="1:8" ht="20" customHeight="1" x14ac:dyDescent="0.2">
      <c r="A137" s="67"/>
      <c r="B137" s="68" t="s">
        <v>69</v>
      </c>
      <c r="C137" s="69">
        <f>SUMPRODUCT((MONTH(PRENOTAZIONI!$A$3:$A$263)=8)*(YEAR(PRENOTAZIONI!$A$3:$A$263)=2026)*(PRENOTAZIONI!$D$3:$D$263="Agantonio")*PRENOTAZIONI!$H$3:$H$263)</f>
        <v>2370.15</v>
      </c>
      <c r="D137" s="70">
        <f t="shared" si="14"/>
        <v>1777.6125000000002</v>
      </c>
      <c r="E137" s="71">
        <f t="shared" si="15"/>
        <v>592.53750000000002</v>
      </c>
      <c r="F137" s="72">
        <f>SUMPRODUCT((PRENOTAZIONI!$A$3:$A$263&lt;DATE(2026,9,1))*(PRENOTAZIONI!$B$3:$B$263&gt;DATE(2026,8,1))*(YEAR(PRENOTAZIONI!$A$3:$A$263)=2026)*(PRENOTAZIONI!$D$3:$D$263="Agantonio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19</v>
      </c>
      <c r="G137" s="72">
        <f>SUMPRODUCT((MONTH(PRENOTAZIONI!$A$3:$A$263)=8)*(YEAR(PRENOTAZIONI!$A$3:$A$263)=2026)*(PRENOTAZIONI!$D$3:$D$263="Agantonio"))</f>
        <v>2</v>
      </c>
      <c r="H137" s="67"/>
    </row>
    <row r="138" spans="1:8" ht="20" customHeight="1" x14ac:dyDescent="0.2">
      <c r="A138" s="67"/>
      <c r="B138" s="68" t="s">
        <v>63</v>
      </c>
      <c r="C138" s="69">
        <f>SUMPRODUCT((MONTH(PRENOTAZIONI!$A$3:$A$263)=8)*(YEAR(PRENOTAZIONI!$A$3:$A$263)=2026)*(PRENOTAZIONI!$D$3:$D$263="Casa Bella Gialla")*PRENOTAZIONI!$H$3:$H$263)</f>
        <v>1365</v>
      </c>
      <c r="D138" s="70">
        <f t="shared" si="14"/>
        <v>1023.75</v>
      </c>
      <c r="E138" s="71">
        <f t="shared" si="15"/>
        <v>341.25</v>
      </c>
      <c r="F138" s="72">
        <f>SUMPRODUCT((PRENOTAZIONI!$A$3:$A$263&lt;DATE(2026,9,1))*(PRENOTAZIONI!$B$3:$B$263&gt;DATE(2026,8,1))*(YEAR(PRENOTAZIONI!$A$3:$A$263)=2026)*(PRENOTAZIONI!$D$3:$D$263="Casa Bella Gialla")*((PRENOTAZIONI!$B$3:$B$263*(PRENOTAZIONI!$B$3:$B$263&lt;DATE(2026,9,1))+DATE(2026,9,1)*(PRENOTAZIONI!$B$3:$B$263&gt;=DATE(2026,9,1)))-(PRENOTAZIONI!$A$3:$A$263*(PRENOTAZIONI!$A$3:$A$263&gt;DATE(2026,8,1))+DATE(2026,8,1)*(PRENOTAZIONI!$A$3:$A$263&lt;=DATE(2026,8,1)))))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13</v>
      </c>
      <c r="G138" s="72">
        <f>SUMPRODUCT((MONTH(PRENOTAZIONI!$A$3:$A$263)=8)*(YEAR(PRENOTAZIONI!$A$3:$A$263)=2026)*(PRENOTAZIONI!$D$3:$D$263="Casa Bella Gialla"))</f>
        <v>1</v>
      </c>
      <c r="H138" s="67"/>
    </row>
    <row r="139" spans="1:8" ht="20" customHeight="1" x14ac:dyDescent="0.2">
      <c r="A139" s="67"/>
      <c r="B139" s="68" t="s">
        <v>115</v>
      </c>
      <c r="C139" s="69">
        <f>SUMPRODUCT((MONTH(PRENOTAZIONI!$A$3:$A$263)=8)*(YEAR(PRENOTAZIONI!$A$3:$A$263)=2026)*(PRENOTAZIONI!$D$3:$D$263="Casa Verde Oliva")*PRENOTAZIONI!$H$3:$H$263)</f>
        <v>1823.96</v>
      </c>
      <c r="D139" s="70">
        <f t="shared" si="14"/>
        <v>1367.97</v>
      </c>
      <c r="E139" s="71">
        <f t="shared" si="15"/>
        <v>455.99</v>
      </c>
      <c r="F139" s="72">
        <f>SUMPRODUCT((PRENOTAZIONI!$A$3:$A$263&lt;DATE(2026,9,1))*(PRENOTAZIONI!$B$3:$B$263&gt;DATE(2026,8,1))*(YEAR(PRENOTAZIONI!$A$3:$A$263)=2026)*(PRENOTAZIONI!$D$3:$D$263="Casa Verde Oliva")*((PRENOTAZIONI!$B$3:$B$263*(PRENOTAZIONI!$B$3:$B$263&lt;DATE(2026,9,1))+DATE(2026,9,1)*(PRENOTAZIONI!$B$3:$B$263&gt;=DATE(2026,9,1)))-(PRENOTAZIONI!$A$3:$A$263*(PRENOTAZIONI!$A$3:$A$263&gt;DATE(2026,8,1))+DATE(2026,8,1)*(PRENOTAZIONI!$A$3:$A$263&lt;=DATE(2026,8,1)))))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16</v>
      </c>
      <c r="G139" s="72">
        <f>SUMPRODUCT((MONTH(PRENOTAZIONI!$A$3:$A$263)=8)*(YEAR(PRENOTAZIONI!$A$3:$A$263)=2026)*(PRENOTAZIONI!$D$3:$D$263="Casa Verde Oliva"))</f>
        <v>3</v>
      </c>
      <c r="H139" s="67"/>
    </row>
    <row r="140" spans="1:8" ht="20" customHeight="1" x14ac:dyDescent="0.2">
      <c r="A140" s="67"/>
      <c r="B140" s="68" t="s">
        <v>171</v>
      </c>
      <c r="C140" s="69">
        <f>SUMPRODUCT((MONTH(PRENOTAZIONI!$A$3:$A$263)=8)*(YEAR(PRENOTAZIONI!$A$3:$A$263)=2026)*(PRENOTAZIONI!$D$3:$D$263="Casa Nicola")*PRENOTAZIONI!$H$3:$H$263)</f>
        <v>1953</v>
      </c>
      <c r="D140" s="70">
        <f t="shared" si="14"/>
        <v>1464.75</v>
      </c>
      <c r="E140" s="71">
        <f t="shared" si="15"/>
        <v>488.25</v>
      </c>
      <c r="F140" s="72">
        <f>SUMPRODUCT((PRENOTAZIONI!$A$3:$A$263&lt;DATE(2026,9,1))*(PRENOTAZIONI!$B$3:$B$263&gt;DATE(2026,8,1))*(YEAR(PRENOTAZIONI!$A$3:$A$263)=2026)*(PRENOTAZIONI!$D$3:$D$263="Casa Nicola")*((PRENOTAZIONI!$B$3:$B$263*(PRENOTAZIONI!$B$3:$B$263&lt;DATE(2026,9,1))+DATE(2026,9,1)*(PRENOTAZIONI!$B$3:$B$263&gt;=DATE(2026,9,1)))-(PRENOTAZIONI!$A$3:$A$263*(PRENOTAZIONI!$A$3:$A$263&gt;DATE(2026,8,1))+DATE(2026,8,1)*(PRENOTAZIONI!$A$3:$A$263&lt;=DATE(2026,8,1)))))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17</v>
      </c>
      <c r="G140" s="72">
        <f>SUMPRODUCT((MONTH(PRENOTAZIONI!$A$3:$A$263)=8)*(YEAR(PRENOTAZIONI!$A$3:$A$263)=2026)*(PRENOTAZIONI!$D$3:$D$263="Casa Nicola"))</f>
        <v>2</v>
      </c>
      <c r="H140" s="67"/>
    </row>
    <row r="141" spans="1:8" ht="20" customHeight="1" x14ac:dyDescent="0.2">
      <c r="A141" s="67"/>
      <c r="B141" s="68" t="s">
        <v>172</v>
      </c>
      <c r="C141" s="69">
        <f>SUMPRODUCT((MONTH(PRENOTAZIONI!$A$3:$A$263)=8)*(YEAR(PRENOTAZIONI!$A$3:$A$263)=2026)*(PRENOTAZIONI!$D$3:$D$263="White Cottage")*PRENOTAZIONI!$H$3:$H$263)</f>
        <v>0</v>
      </c>
      <c r="D141" s="70">
        <f t="shared" si="14"/>
        <v>0</v>
      </c>
      <c r="E141" s="71">
        <f t="shared" si="15"/>
        <v>0</v>
      </c>
      <c r="F141" s="72">
        <f>SUMPRODUCT((PRENOTAZIONI!$A$3:$A$263&lt;DATE(2026,9,1))*(PRENOTAZIONI!$B$3:$B$263&gt;DATE(2026,8,1))*(YEAR(PRENOTAZIONI!$A$3:$A$263)=2026)*(PRENOTAZIONI!$D$3:$D$263="White Cottage")*((PRENOTAZIONI!$B$3:$B$263*(PRENOTAZIONI!$B$3:$B$263&lt;DATE(2026,9,1))+DATE(2026,9,1)*(PRENOTAZIONI!$B$3:$B$263&gt;=DATE(2026,9,1)))-(PRENOTAZIONI!$A$3:$A$263*(PRENOTAZIONI!$A$3:$A$263&gt;DATE(2026,8,1))+DATE(2026,8,1)*(PRENOTAZIONI!$A$3:$A$263&lt;=DATE(2026,8,1)))))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0</v>
      </c>
      <c r="G141" s="72">
        <f>SUMPRODUCT((MONTH(PRENOTAZIONI!$A$3:$A$263)=8)*(YEAR(PRENOTAZIONI!$A$3:$A$263)=2026)*(PRENOTAZIONI!$D$3:$D$263="White Cottage"))</f>
        <v>0</v>
      </c>
      <c r="H141" s="67"/>
    </row>
    <row r="142" spans="1:8" ht="20" customHeight="1" x14ac:dyDescent="0.2">
      <c r="A142" s="67"/>
      <c r="B142" s="68" t="s">
        <v>98</v>
      </c>
      <c r="C142" s="69">
        <f>SUMPRODUCT((MONTH(PRENOTAZIONI!$A$3:$A$263)=8)*(YEAR(PRENOTAZIONI!$A$3:$A$263)=2026)*(PRENOTAZIONI!$D$3:$D$263="Villa Nella")*PRENOTAZIONI!$H$3:$H$263)</f>
        <v>9544.2799999999988</v>
      </c>
      <c r="D142" s="70">
        <f t="shared" si="14"/>
        <v>7158.2099999999991</v>
      </c>
      <c r="E142" s="71">
        <f t="shared" si="15"/>
        <v>2386.0699999999997</v>
      </c>
      <c r="F142" s="72">
        <f>SUMPRODUCT((PRENOTAZIONI!$A$3:$A$263&lt;DATE(2026,9,1))*(PRENOTAZIONI!$B$3:$B$263&gt;DATE(2026,8,1))*(YEAR(PRENOTAZIONI!$A$3:$A$263)=2026)*(PRENOTAZIONI!$D$3:$D$263="Villa Nella")*((PRENOTAZIONI!$B$3:$B$263*(PRENOTAZIONI!$B$3:$B$263&lt;DATE(2026,9,1))+DATE(2026,9,1)*(PRENOTAZIONI!$B$3:$B$263&gt;=DATE(2026,9,1)))-(PRENOTAZIONI!$A$3:$A$263*(PRENOTAZIONI!$A$3:$A$263&gt;DATE(2026,8,1))+DATE(2026,8,1)*(PRENOTAZIONI!$A$3:$A$263&lt;=DATE(2026,8,1)))))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23</v>
      </c>
      <c r="G142" s="72">
        <f>SUMPRODUCT((MONTH(PRENOTAZIONI!$A$3:$A$263)=8)*(YEAR(PRENOTAZIONI!$A$3:$A$263)=2026)*(PRENOTAZIONI!$D$3:$D$263="Villa Nella"))</f>
        <v>3</v>
      </c>
      <c r="H142" s="67"/>
    </row>
    <row r="143" spans="1:8" ht="20" customHeight="1" x14ac:dyDescent="0.2">
      <c r="A143" s="67"/>
      <c r="B143" s="68" t="s">
        <v>125</v>
      </c>
      <c r="C143" s="69">
        <f>SUMPRODUCT((MONTH(PRENOTAZIONI!$A$3:$A$263)=8)*(YEAR(PRENOTAZIONI!$A$3:$A$263)=2026)*(PRENOTAZIONI!$D$3:$D$263="Nel Cuore di Lanciano")*PRENOTAZIONI!$H$3:$H$263)</f>
        <v>1908</v>
      </c>
      <c r="D143" s="70">
        <f t="shared" si="14"/>
        <v>1431</v>
      </c>
      <c r="E143" s="71">
        <f t="shared" si="15"/>
        <v>477</v>
      </c>
      <c r="F143" s="72">
        <f>SUMPRODUCT((PRENOTAZIONI!$A$3:$A$263&lt;DATE(2026,9,1))*(PRENOTAZIONI!$B$3:$B$263&gt;DATE(2026,8,1))*(YEAR(PRENOTAZIONI!$A$3:$A$263)=2026)*(PRENOTAZIONI!$D$3:$D$263="Nel Cuore di Lanciano")*((PRENOTAZIONI!$B$3:$B$263*(PRENOTAZIONI!$B$3:$B$263&lt;DATE(2026,9,1))+DATE(2026,9,1)*(PRENOTAZIONI!$B$3:$B$263&gt;=DATE(2026,9,1)))-(PRENOTAZIONI!$A$3:$A$263*(PRENOTAZIONI!$A$3:$A$263&gt;DATE(2026,8,1))+DATE(2026,8,1)*(PRENOTAZIONI!$A$3:$A$263&lt;=DATE(2026,8,1)))))</f>
        <v>22</v>
      </c>
      <c r="G143" s="72">
        <f>SUMPRODUCT((MONTH(PRENOTAZIONI!$A$3:$A$263)=8)*(YEAR(PRENOTAZIONI!$A$3:$A$263)=2026)*(PRENOTAZIONI!$D$3:$D$263="Nel Cuore di Lanciano"))</f>
        <v>3</v>
      </c>
      <c r="H143" s="67"/>
    </row>
    <row r="144" spans="1:8" ht="24" customHeight="1" x14ac:dyDescent="0.2">
      <c r="A144" s="63"/>
      <c r="B144" s="73" t="s">
        <v>147</v>
      </c>
      <c r="C144" s="74">
        <f>SUM(C130:C143)</f>
        <v>37302.660000000003</v>
      </c>
      <c r="D144" s="74">
        <f>SUM(D130:D143)</f>
        <v>28540.929</v>
      </c>
      <c r="E144" s="74">
        <f>SUM(E130:E143)</f>
        <v>8761.7309999999998</v>
      </c>
      <c r="F144" s="75">
        <f>SUM(F130:F143)</f>
        <v>255</v>
      </c>
      <c r="G144" s="75">
        <f>SUM(G130:G143)</f>
        <v>35</v>
      </c>
      <c r="H144" s="63"/>
    </row>
    <row r="146" spans="1:8" ht="24" customHeight="1" x14ac:dyDescent="0.2">
      <c r="A146" s="64" t="s">
        <v>189</v>
      </c>
      <c r="B146" s="65"/>
      <c r="C146" s="65"/>
      <c r="D146" s="65"/>
      <c r="E146" s="65"/>
      <c r="F146" s="65"/>
      <c r="G146" s="65"/>
      <c r="H146" s="65"/>
    </row>
    <row r="147" spans="1:8" ht="34" customHeight="1" x14ac:dyDescent="0.2">
      <c r="A147" s="66" t="s">
        <v>175</v>
      </c>
      <c r="B147" s="66" t="s">
        <v>169</v>
      </c>
      <c r="C147" s="66" t="s">
        <v>176</v>
      </c>
      <c r="D147" s="66" t="s">
        <v>177</v>
      </c>
      <c r="E147" s="66" t="s">
        <v>178</v>
      </c>
      <c r="F147" s="66" t="s">
        <v>179</v>
      </c>
      <c r="G147" s="66" t="s">
        <v>180</v>
      </c>
      <c r="H147" s="66" t="s">
        <v>18</v>
      </c>
    </row>
    <row r="148" spans="1:8" ht="20" customHeight="1" x14ac:dyDescent="0.2">
      <c r="A148" s="67"/>
      <c r="B148" s="68" t="s">
        <v>32</v>
      </c>
      <c r="C148" s="69">
        <f>SUMPRODUCT((MONTH(PRENOTAZIONI!$A$3:$A$263)=9)*(YEAR(PRENOTAZIONI!$A$3:$A$263)=2026)*(PRENOTAZIONI!$D$3:$D$263="Sotto la Quercia")*PRENOTAZIONI!$H$3:$H$263)</f>
        <v>1404</v>
      </c>
      <c r="D148" s="70">
        <f t="shared" ref="D148:D161" si="16">C148-E148</f>
        <v>1053</v>
      </c>
      <c r="E148" s="71">
        <f>C148*0.25</f>
        <v>351</v>
      </c>
      <c r="F148" s="72">
        <f>SUMPRODUCT((PRENOTAZIONI!$A$3:$A$263&lt;DATE(2026,10,1))*(PRENOTAZIONI!$B$3:$B$263&gt;DATE(2026,9,1))*(YEAR(PRENOTAZIONI!$A$3:$A$263)=2026)*(PRENOTAZIONI!$D$3:$D$263="Sotto la Querci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16</v>
      </c>
      <c r="G148" s="72">
        <f>SUMPRODUCT((MONTH(PRENOTAZIONI!$A$3:$A$263)=9)*(YEAR(PRENOTAZIONI!$A$3:$A$263)=2026)*(PRENOTAZIONI!$D$3:$D$263="Sotto la Quercia"))</f>
        <v>2</v>
      </c>
      <c r="H148" s="67"/>
    </row>
    <row r="149" spans="1:8" ht="20" customHeight="1" x14ac:dyDescent="0.2">
      <c r="A149" s="67"/>
      <c r="B149" s="68" t="s">
        <v>45</v>
      </c>
      <c r="C149" s="69">
        <f>SUMPRODUCT((MONTH(PRENOTAZIONI!$A$3:$A$263)=9)*(YEAR(PRENOTAZIONI!$A$3:$A$263)=2026)*(PRENOTAZIONI!$D$3:$D$263="Villa Elena")*PRENOTAZIONI!$H$3:$H$263)</f>
        <v>0</v>
      </c>
      <c r="D149" s="70">
        <f t="shared" si="16"/>
        <v>0</v>
      </c>
      <c r="E149" s="71">
        <f>C149*0.25</f>
        <v>0</v>
      </c>
      <c r="F149" s="72">
        <f>SUMPRODUCT((PRENOTAZIONI!$A$3:$A$263&lt;DATE(2026,10,1))*(PRENOTAZIONI!$B$3:$B$263&gt;DATE(2026,9,1))*(YEAR(PRENOTAZIONI!$A$3:$A$263)=2026)*(PRENOTAZIONI!$D$3:$D$263="Villa Elena")*((PRENOTAZIONI!$B$3:$B$263*(PRENOTAZIONI!$B$3:$B$263&lt;DATE(2026,10,1))+DATE(2026,10,1)*(PRENOTAZIONI!$B$3:$B$263&gt;=DATE(2026,10,1)))-(PRENOTAZIONI!$A$3:$A$263*(PRENOTAZIONI!$A$3:$A$263&gt;DATE(2026,9,1))+DATE(2026,9,1)*(PRENOTAZIONI!$A$3:$A$263&lt;=DATE(2026,9,1)))))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49" s="72">
        <f>SUMPRODUCT((MONTH(PRENOTAZIONI!$A$3:$A$263)=9)*(YEAR(PRENOTAZIONI!$A$3:$A$263)=2026)*(PRENOTAZIONI!$D$3:$D$263="Villa Elena"))</f>
        <v>0</v>
      </c>
      <c r="H149" s="67"/>
    </row>
    <row r="150" spans="1:8" ht="20" customHeight="1" x14ac:dyDescent="0.2">
      <c r="A150" s="67"/>
      <c r="B150" s="68" t="s">
        <v>39</v>
      </c>
      <c r="C150" s="69">
        <f>SUMPRODUCT((MONTH(PRENOTAZIONI!$A$3:$A$263)=9)*(YEAR(PRENOTAZIONI!$A$3:$A$263)=2026)*(PRENOTAZIONI!$D$3:$D$263="Casa nel Borgo")*PRENOTAZIONI!$H$3:$H$263)</f>
        <v>0</v>
      </c>
      <c r="D150" s="70">
        <f t="shared" si="16"/>
        <v>0</v>
      </c>
      <c r="E150" s="71">
        <f>C150*0.25</f>
        <v>0</v>
      </c>
      <c r="F150" s="72">
        <f>SUMPRODUCT((PRENOTAZIONI!$A$3:$A$263&lt;DATE(2026,10,1))*(PRENOTAZIONI!$B$3:$B$263&gt;DATE(2026,9,1))*(YEAR(PRENOTAZIONI!$A$3:$A$263)=2026)*(PRENOTAZIONI!$D$3:$D$263="Casa nel Borgo")*((PRENOTAZIONI!$B$3:$B$263*(PRENOTAZIONI!$B$3:$B$263&lt;DATE(2026,10,1))+DATE(2026,10,1)*(PRENOTAZIONI!$B$3:$B$263&gt;=DATE(2026,10,1)))-(PRENOTAZIONI!$A$3:$A$263*(PRENOTAZIONI!$A$3:$A$263&gt;DATE(2026,9,1))+DATE(2026,9,1)*(PRENOTAZIONI!$A$3:$A$263&lt;=DATE(2026,9,1)))))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0" s="72">
        <f>SUMPRODUCT((MONTH(PRENOTAZIONI!$A$3:$A$263)=9)*(YEAR(PRENOTAZIONI!$A$3:$A$263)=2026)*(PRENOTAZIONI!$D$3:$D$263="Casa nel Borgo"))</f>
        <v>0</v>
      </c>
      <c r="H150" s="67"/>
    </row>
    <row r="151" spans="1:8" ht="20" customHeight="1" x14ac:dyDescent="0.2">
      <c r="A151" s="67"/>
      <c r="B151" s="68" t="s">
        <v>51</v>
      </c>
      <c r="C151" s="69">
        <f>SUMPRODUCT((MONTH(PRENOTAZIONI!$A$3:$A$263)=9)*(YEAR(PRENOTAZIONI!$A$3:$A$263)=2026)*(PRENOTAZIONI!$D$3:$D$263="Via San Rocco")*PRENOTAZIONI!$H$3:$H$263)</f>
        <v>0</v>
      </c>
      <c r="D151" s="70">
        <f t="shared" si="16"/>
        <v>0</v>
      </c>
      <c r="E151" s="71">
        <f>C151*0.1</f>
        <v>0</v>
      </c>
      <c r="F151" s="72">
        <f>SUMPRODUCT((PRENOTAZIONI!$A$3:$A$263&lt;DATE(2026,10,1))*(PRENOTAZIONI!$B$3:$B$263&gt;DATE(2026,9,1))*(YEAR(PRENOTAZIONI!$A$3:$A$263)=2026)*(PRENOTAZIONI!$D$3:$D$263="Via San Rocco")*((PRENOTAZIONI!$B$3:$B$263*(PRENOTAZIONI!$B$3:$B$263&lt;DATE(2026,10,1))+DATE(2026,10,1)*(PRENOTAZIONI!$B$3:$B$263&gt;=DATE(2026,10,1)))-(PRENOTAZIONI!$A$3:$A$263*(PRENOTAZIONI!$A$3:$A$263&gt;DATE(2026,9,1))+DATE(2026,9,1)*(PRENOTAZIONI!$A$3:$A$263&lt;=DATE(2026,9,1)))))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1" s="72">
        <f>SUMPRODUCT((MONTH(PRENOTAZIONI!$A$3:$A$263)=9)*(YEAR(PRENOTAZIONI!$A$3:$A$263)=2026)*(PRENOTAZIONI!$D$3:$D$263="Via San Rocco"))</f>
        <v>0</v>
      </c>
      <c r="H151" s="67"/>
    </row>
    <row r="152" spans="1:8" ht="20" customHeight="1" x14ac:dyDescent="0.2">
      <c r="A152" s="67"/>
      <c r="B152" s="68" t="s">
        <v>60</v>
      </c>
      <c r="C152" s="69">
        <f>SUMPRODUCT((MONTH(PRENOTAZIONI!$A$3:$A$263)=9)*(YEAR(PRENOTAZIONI!$A$3:$A$263)=2026)*(PRENOTAZIONI!$D$3:$D$263="Via Cavour")*PRENOTAZIONI!$H$3:$H$263)</f>
        <v>0</v>
      </c>
      <c r="D152" s="70">
        <f t="shared" si="16"/>
        <v>0</v>
      </c>
      <c r="E152" s="71">
        <f>C152*0.1</f>
        <v>0</v>
      </c>
      <c r="F152" s="72">
        <f>SUMPRODUCT((PRENOTAZIONI!$A$3:$A$263&lt;DATE(2026,10,1))*(PRENOTAZIONI!$B$3:$B$263&gt;DATE(2026,9,1))*(YEAR(PRENOTAZIONI!$A$3:$A$263)=2026)*(PRENOTAZIONI!$D$3:$D$263="Via Cavour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2" s="72">
        <f>SUMPRODUCT((MONTH(PRENOTAZIONI!$A$3:$A$263)=9)*(YEAR(PRENOTAZIONI!$A$3:$A$263)=2026)*(PRENOTAZIONI!$D$3:$D$263="Via Cavour"))</f>
        <v>0</v>
      </c>
      <c r="H152" s="67"/>
    </row>
    <row r="153" spans="1:8" ht="20" customHeight="1" x14ac:dyDescent="0.2">
      <c r="A153" s="67"/>
      <c r="B153" s="68" t="s">
        <v>93</v>
      </c>
      <c r="C153" s="69">
        <f>SUMPRODUCT((MONTH(PRENOTAZIONI!$A$3:$A$263)=9)*(YEAR(PRENOTAZIONI!$A$3:$A$263)=2026)*(PRENOTAZIONI!$D$3:$D$263="Casa Letizia")*PRENOTAZIONI!$H$3:$H$263)</f>
        <v>0</v>
      </c>
      <c r="D153" s="70">
        <f t="shared" si="16"/>
        <v>0</v>
      </c>
      <c r="E153" s="71">
        <f t="shared" ref="E153:E161" si="17">C153*0.25</f>
        <v>0</v>
      </c>
      <c r="F153" s="72">
        <f>SUMPRODUCT((PRENOTAZIONI!$A$3:$A$263&lt;DATE(2026,10,1))*(PRENOTAZIONI!$B$3:$B$263&gt;DATE(2026,9,1))*(YEAR(PRENOTAZIONI!$A$3:$A$263)=2026)*(PRENOTAZIONI!$D$3:$D$263="Casa Letizi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3" s="72">
        <f>SUMPRODUCT((MONTH(PRENOTAZIONI!$A$3:$A$263)=9)*(YEAR(PRENOTAZIONI!$A$3:$A$263)=2026)*(PRENOTAZIONI!$D$3:$D$263="Casa Letizia"))</f>
        <v>0</v>
      </c>
      <c r="H153" s="67"/>
    </row>
    <row r="154" spans="1:8" ht="20" customHeight="1" x14ac:dyDescent="0.2">
      <c r="A154" s="67"/>
      <c r="B154" s="68" t="s">
        <v>96</v>
      </c>
      <c r="C154" s="69">
        <f>SUMPRODUCT((MONTH(PRENOTAZIONI!$A$3:$A$263)=9)*(YEAR(PRENOTAZIONI!$A$3:$A$263)=2026)*(PRENOTAZIONI!$D$3:$D$263="Miramare")*PRENOTAZIONI!$H$3:$H$263)</f>
        <v>0</v>
      </c>
      <c r="D154" s="70">
        <f t="shared" si="16"/>
        <v>0</v>
      </c>
      <c r="E154" s="71">
        <f t="shared" si="17"/>
        <v>0</v>
      </c>
      <c r="F154" s="72">
        <f>SUMPRODUCT((PRENOTAZIONI!$A$3:$A$263&lt;DATE(2026,10,1))*(PRENOTAZIONI!$B$3:$B$263&gt;DATE(2026,9,1))*(YEAR(PRENOTAZIONI!$A$3:$A$263)=2026)*(PRENOTAZIONI!$D$3:$D$263="Miramare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4" s="72">
        <f>SUMPRODUCT((MONTH(PRENOTAZIONI!$A$3:$A$263)=9)*(YEAR(PRENOTAZIONI!$A$3:$A$263)=2026)*(PRENOTAZIONI!$D$3:$D$263="Miramare"))</f>
        <v>0</v>
      </c>
      <c r="H154" s="67"/>
    </row>
    <row r="155" spans="1:8" ht="20" customHeight="1" x14ac:dyDescent="0.2">
      <c r="A155" s="67"/>
      <c r="B155" s="68" t="s">
        <v>69</v>
      </c>
      <c r="C155" s="69">
        <f>SUMPRODUCT((MONTH(PRENOTAZIONI!$A$3:$A$263)=9)*(YEAR(PRENOTAZIONI!$A$3:$A$263)=2026)*(PRENOTAZIONI!$D$3:$D$263="Agantonio")*PRENOTAZIONI!$H$3:$H$263)</f>
        <v>0</v>
      </c>
      <c r="D155" s="70">
        <f t="shared" si="16"/>
        <v>0</v>
      </c>
      <c r="E155" s="71">
        <f t="shared" si="17"/>
        <v>0</v>
      </c>
      <c r="F155" s="72">
        <f>SUMPRODUCT((PRENOTAZIONI!$A$3:$A$263&lt;DATE(2026,10,1))*(PRENOTAZIONI!$B$3:$B$263&gt;DATE(2026,9,1))*(YEAR(PRENOTAZIONI!$A$3:$A$263)=2026)*(PRENOTAZIONI!$D$3:$D$263="Agantonio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5" s="72">
        <f>SUMPRODUCT((MONTH(PRENOTAZIONI!$A$3:$A$263)=9)*(YEAR(PRENOTAZIONI!$A$3:$A$263)=2026)*(PRENOTAZIONI!$D$3:$D$263="Agantonio"))</f>
        <v>0</v>
      </c>
      <c r="H155" s="67"/>
    </row>
    <row r="156" spans="1:8" ht="20" customHeight="1" x14ac:dyDescent="0.2">
      <c r="A156" s="67"/>
      <c r="B156" s="68" t="s">
        <v>63</v>
      </c>
      <c r="C156" s="69">
        <f>SUMPRODUCT((MONTH(PRENOTAZIONI!$A$3:$A$263)=9)*(YEAR(PRENOTAZIONI!$A$3:$A$263)=2026)*(PRENOTAZIONI!$D$3:$D$263="Casa Bella Gialla")*PRENOTAZIONI!$H$3:$H$263)</f>
        <v>0</v>
      </c>
      <c r="D156" s="70">
        <f t="shared" si="16"/>
        <v>0</v>
      </c>
      <c r="E156" s="71">
        <f t="shared" si="17"/>
        <v>0</v>
      </c>
      <c r="F156" s="72">
        <f>SUMPRODUCT((PRENOTAZIONI!$A$3:$A$263&lt;DATE(2026,10,1))*(PRENOTAZIONI!$B$3:$B$263&gt;DATE(2026,9,1))*(YEAR(PRENOTAZIONI!$A$3:$A$263)=2026)*(PRENOTAZIONI!$D$3:$D$263="Casa Bella Giall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6" s="72">
        <f>SUMPRODUCT((MONTH(PRENOTAZIONI!$A$3:$A$263)=9)*(YEAR(PRENOTAZIONI!$A$3:$A$263)=2026)*(PRENOTAZIONI!$D$3:$D$263="Casa Bella Gialla"))</f>
        <v>0</v>
      </c>
      <c r="H156" s="67"/>
    </row>
    <row r="157" spans="1:8" ht="20" customHeight="1" x14ac:dyDescent="0.2">
      <c r="A157" s="67"/>
      <c r="B157" s="68" t="s">
        <v>115</v>
      </c>
      <c r="C157" s="69">
        <f>SUMPRODUCT((MONTH(PRENOTAZIONI!$A$3:$A$263)=9)*(YEAR(PRENOTAZIONI!$A$3:$A$263)=2026)*(PRENOTAZIONI!$D$3:$D$263="Casa Verde Oliva")*PRENOTAZIONI!$H$3:$H$263)</f>
        <v>0</v>
      </c>
      <c r="D157" s="70">
        <f t="shared" si="16"/>
        <v>0</v>
      </c>
      <c r="E157" s="71">
        <f t="shared" si="17"/>
        <v>0</v>
      </c>
      <c r="F157" s="72">
        <f>SUMPRODUCT((PRENOTAZIONI!$A$3:$A$263&lt;DATE(2026,10,1))*(PRENOTAZIONI!$B$3:$B$263&gt;DATE(2026,9,1))*(YEAR(PRENOTAZIONI!$A$3:$A$263)=2026)*(PRENOTAZIONI!$D$3:$D$263="Casa Verde Oliva")*((PRENOTAZIONI!$B$3:$B$263*(PRENOTAZIONI!$B$3:$B$263&lt;DATE(2026,10,1))+DATE(2026,10,1)*(PRENOTAZIONI!$B$3:$B$263&gt;=DATE(2026,10,1)))-(PRENOTAZIONI!$A$3:$A$263*(PRENOTAZIONI!$A$3:$A$263&gt;DATE(2026,9,1))+DATE(2026,9,1)*(PRENOTAZIONI!$A$3:$A$263&lt;=DATE(2026,9,1)))))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7" s="72">
        <f>SUMPRODUCT((MONTH(PRENOTAZIONI!$A$3:$A$263)=9)*(YEAR(PRENOTAZIONI!$A$3:$A$263)=2026)*(PRENOTAZIONI!$D$3:$D$263="Casa Verde Oliva"))</f>
        <v>0</v>
      </c>
      <c r="H157" s="67"/>
    </row>
    <row r="158" spans="1:8" ht="20" customHeight="1" x14ac:dyDescent="0.2">
      <c r="A158" s="67"/>
      <c r="B158" s="68" t="s">
        <v>171</v>
      </c>
      <c r="C158" s="69">
        <f>SUMPRODUCT((MONTH(PRENOTAZIONI!$A$3:$A$263)=9)*(YEAR(PRENOTAZIONI!$A$3:$A$263)=2026)*(PRENOTAZIONI!$D$3:$D$263="Casa Nicola")*PRENOTAZIONI!$H$3:$H$263)</f>
        <v>0</v>
      </c>
      <c r="D158" s="70">
        <f t="shared" si="16"/>
        <v>0</v>
      </c>
      <c r="E158" s="71">
        <f t="shared" si="17"/>
        <v>0</v>
      </c>
      <c r="F158" s="72">
        <f>SUMPRODUCT((PRENOTAZIONI!$A$3:$A$263&lt;DATE(2026,10,1))*(PRENOTAZIONI!$B$3:$B$263&gt;DATE(2026,9,1))*(YEAR(PRENOTAZIONI!$A$3:$A$263)=2026)*(PRENOTAZIONI!$D$3:$D$263="Casa Nicol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8" s="72">
        <f>SUMPRODUCT((MONTH(PRENOTAZIONI!$A$3:$A$263)=9)*(YEAR(PRENOTAZIONI!$A$3:$A$263)=2026)*(PRENOTAZIONI!$D$3:$D$263="Casa Nicola"))</f>
        <v>0</v>
      </c>
      <c r="H158" s="67"/>
    </row>
    <row r="159" spans="1:8" ht="20" customHeight="1" x14ac:dyDescent="0.2">
      <c r="A159" s="67"/>
      <c r="B159" s="68" t="s">
        <v>172</v>
      </c>
      <c r="C159" s="69">
        <f>SUMPRODUCT((MONTH(PRENOTAZIONI!$A$3:$A$263)=9)*(YEAR(PRENOTAZIONI!$A$3:$A$263)=2026)*(PRENOTAZIONI!$D$3:$D$263="White Cottage")*PRENOTAZIONI!$H$3:$H$263)</f>
        <v>0</v>
      </c>
      <c r="D159" s="70">
        <f t="shared" si="16"/>
        <v>0</v>
      </c>
      <c r="E159" s="71">
        <f t="shared" si="17"/>
        <v>0</v>
      </c>
      <c r="F159" s="72">
        <f>SUMPRODUCT((PRENOTAZIONI!$A$3:$A$263&lt;DATE(2026,10,1))*(PRENOTAZIONI!$B$3:$B$263&gt;DATE(2026,9,1))*(YEAR(PRENOTAZIONI!$A$3:$A$263)=2026)*(PRENOTAZIONI!$D$3:$D$263="White Cottage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59" s="72">
        <f>SUMPRODUCT((MONTH(PRENOTAZIONI!$A$3:$A$263)=9)*(YEAR(PRENOTAZIONI!$A$3:$A$263)=2026)*(PRENOTAZIONI!$D$3:$D$263="White Cottage"))</f>
        <v>0</v>
      </c>
      <c r="H159" s="67"/>
    </row>
    <row r="160" spans="1:8" ht="20" customHeight="1" x14ac:dyDescent="0.2">
      <c r="A160" s="67"/>
      <c r="B160" s="68" t="s">
        <v>98</v>
      </c>
      <c r="C160" s="69">
        <f>SUMPRODUCT((MONTH(PRENOTAZIONI!$A$3:$A$263)=9)*(YEAR(PRENOTAZIONI!$A$3:$A$263)=2026)*(PRENOTAZIONI!$D$3:$D$263="Villa Nella")*PRENOTAZIONI!$H$3:$H$263)</f>
        <v>0</v>
      </c>
      <c r="D160" s="70">
        <f t="shared" si="16"/>
        <v>0</v>
      </c>
      <c r="E160" s="71">
        <f t="shared" si="17"/>
        <v>0</v>
      </c>
      <c r="F160" s="72">
        <f>SUMPRODUCT((PRENOTAZIONI!$A$3:$A$263&lt;DATE(2026,10,1))*(PRENOTAZIONI!$B$3:$B$263&gt;DATE(2026,9,1))*(YEAR(PRENOTAZIONI!$A$3:$A$263)=2026)*(PRENOTAZIONI!$D$3:$D$263="Villa Nella")*((PRENOTAZIONI!$B$3:$B$263*(PRENOTAZIONI!$B$3:$B$263&lt;DATE(2026,10,1))+DATE(2026,10,1)*(PRENOTAZIONI!$B$3:$B$263&gt;=DATE(2026,10,1)))-(PRENOTAZIONI!$A$3:$A$263*(PRENOTAZIONI!$A$3:$A$263&gt;DATE(2026,9,1))+DATE(2026,9,1)*(PRENOTAZIONI!$A$3:$A$263&lt;=DATE(2026,9,1)))))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0</v>
      </c>
      <c r="G160" s="72">
        <f>SUMPRODUCT((MONTH(PRENOTAZIONI!$A$3:$A$263)=9)*(YEAR(PRENOTAZIONI!$A$3:$A$263)=2026)*(PRENOTAZIONI!$D$3:$D$263="Villa Nella"))</f>
        <v>0</v>
      </c>
      <c r="H160" s="67"/>
    </row>
    <row r="161" spans="1:8" ht="20" customHeight="1" x14ac:dyDescent="0.2">
      <c r="A161" s="67"/>
      <c r="B161" s="68" t="s">
        <v>125</v>
      </c>
      <c r="C161" s="69">
        <f>SUMPRODUCT((MONTH(PRENOTAZIONI!$A$3:$A$263)=9)*(YEAR(PRENOTAZIONI!$A$3:$A$263)=2026)*(PRENOTAZIONI!$D$3:$D$263="Nel Cuore di Lanciano")*PRENOTAZIONI!$H$3:$H$263)</f>
        <v>243</v>
      </c>
      <c r="D161" s="70">
        <f t="shared" si="16"/>
        <v>182.25</v>
      </c>
      <c r="E161" s="71">
        <f t="shared" si="17"/>
        <v>60.75</v>
      </c>
      <c r="F161" s="72">
        <f>SUMPRODUCT((PRENOTAZIONI!$A$3:$A$263&lt;DATE(2026,10,1))*(PRENOTAZIONI!$B$3:$B$263&gt;DATE(2026,9,1))*(YEAR(PRENOTAZIONI!$A$3:$A$263)=2026)*(PRENOTAZIONI!$D$3:$D$263="Nel Cuore di Lanciano")*((PRENOTAZIONI!$B$3:$B$263*(PRENOTAZIONI!$B$3:$B$263&lt;DATE(2026,10,1))+DATE(2026,10,1)*(PRENOTAZIONI!$B$3:$B$263&gt;=DATE(2026,10,1)))-(PRENOTAZIONI!$A$3:$A$263*(PRENOTAZIONI!$A$3:$A$263&gt;DATE(2026,9,1))+DATE(2026,9,1)*(PRENOTAZIONI!$A$3:$A$263&lt;=DATE(2026,9,1)))))</f>
        <v>3</v>
      </c>
      <c r="G161" s="72">
        <f>SUMPRODUCT((MONTH(PRENOTAZIONI!$A$3:$A$263)=9)*(YEAR(PRENOTAZIONI!$A$3:$A$263)=2026)*(PRENOTAZIONI!$D$3:$D$263="Nel Cuore di Lanciano"))</f>
        <v>1</v>
      </c>
      <c r="H161" s="67"/>
    </row>
    <row r="162" spans="1:8" ht="24" customHeight="1" x14ac:dyDescent="0.2">
      <c r="A162" s="63"/>
      <c r="B162" s="73" t="s">
        <v>147</v>
      </c>
      <c r="C162" s="74">
        <f>SUM(C148:C161)</f>
        <v>1647</v>
      </c>
      <c r="D162" s="74">
        <f>SUM(D148:D161)</f>
        <v>1235.25</v>
      </c>
      <c r="E162" s="74">
        <f>SUM(E148:E161)</f>
        <v>411.75</v>
      </c>
      <c r="F162" s="75">
        <f>SUM(F148:F161)</f>
        <v>19</v>
      </c>
      <c r="G162" s="75">
        <f>SUM(G148:G161)</f>
        <v>3</v>
      </c>
      <c r="H162" s="63"/>
    </row>
    <row r="164" spans="1:8" ht="24" customHeight="1" x14ac:dyDescent="0.2">
      <c r="A164" s="64" t="s">
        <v>190</v>
      </c>
      <c r="B164" s="65"/>
      <c r="C164" s="65"/>
      <c r="D164" s="65"/>
      <c r="E164" s="65"/>
      <c r="F164" s="65"/>
      <c r="G164" s="65"/>
      <c r="H164" s="65"/>
    </row>
    <row r="165" spans="1:8" ht="34" customHeight="1" x14ac:dyDescent="0.2">
      <c r="A165" s="66" t="s">
        <v>175</v>
      </c>
      <c r="B165" s="66" t="s">
        <v>169</v>
      </c>
      <c r="C165" s="66" t="s">
        <v>176</v>
      </c>
      <c r="D165" s="66" t="s">
        <v>177</v>
      </c>
      <c r="E165" s="66" t="s">
        <v>178</v>
      </c>
      <c r="F165" s="66" t="s">
        <v>179</v>
      </c>
      <c r="G165" s="66" t="s">
        <v>180</v>
      </c>
      <c r="H165" s="66" t="s">
        <v>18</v>
      </c>
    </row>
    <row r="166" spans="1:8" ht="20" customHeight="1" x14ac:dyDescent="0.2">
      <c r="A166" s="67"/>
      <c r="B166" s="68" t="s">
        <v>32</v>
      </c>
      <c r="C166" s="69">
        <f>SUMPRODUCT((MONTH(PRENOTAZIONI!$A$3:$A$263)=10)*(YEAR(PRENOTAZIONI!$A$3:$A$263)=2026)*(PRENOTAZIONI!$D$3:$D$263="Sotto la Quercia")*PRENOTAZIONI!$H$3:$H$263)</f>
        <v>0</v>
      </c>
      <c r="D166" s="70">
        <f t="shared" ref="D166:D179" si="18">C166-E166</f>
        <v>0</v>
      </c>
      <c r="E166" s="71">
        <f>C166*0.25</f>
        <v>0</v>
      </c>
      <c r="F166" s="72">
        <f>SUMPRODUCT((PRENOTAZIONI!$A$3:$A$263&lt;DATE(2026,11,1))*(PRENOTAZIONI!$B$3:$B$263&gt;DATE(2026,10,1))*(YEAR(PRENOTAZIONI!$A$3:$A$263)=2026)*(PRENOTAZIONI!$D$3:$D$263="Sotto la Querci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66" s="72">
        <f>SUMPRODUCT((MONTH(PRENOTAZIONI!$A$3:$A$263)=10)*(YEAR(PRENOTAZIONI!$A$3:$A$263)=2026)*(PRENOTAZIONI!$D$3:$D$263="Sotto la Quercia"))</f>
        <v>0</v>
      </c>
      <c r="H166" s="67"/>
    </row>
    <row r="167" spans="1:8" ht="20" customHeight="1" x14ac:dyDescent="0.2">
      <c r="A167" s="67"/>
      <c r="B167" s="68" t="s">
        <v>45</v>
      </c>
      <c r="C167" s="69">
        <f>SUMPRODUCT((MONTH(PRENOTAZIONI!$A$3:$A$263)=10)*(YEAR(PRENOTAZIONI!$A$3:$A$263)=2026)*(PRENOTAZIONI!$D$3:$D$263="Villa Elena")*PRENOTAZIONI!$H$3:$H$263)</f>
        <v>0</v>
      </c>
      <c r="D167" s="70">
        <f t="shared" si="18"/>
        <v>0</v>
      </c>
      <c r="E167" s="71">
        <f>C167*0.25</f>
        <v>0</v>
      </c>
      <c r="F167" s="72">
        <f>SUMPRODUCT((PRENOTAZIONI!$A$3:$A$263&lt;DATE(2026,11,1))*(PRENOTAZIONI!$B$3:$B$263&gt;DATE(2026,10,1))*(YEAR(PRENOTAZIONI!$A$3:$A$263)=2026)*(PRENOTAZIONI!$D$3:$D$263="Villa Elen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67" s="72">
        <f>SUMPRODUCT((MONTH(PRENOTAZIONI!$A$3:$A$263)=10)*(YEAR(PRENOTAZIONI!$A$3:$A$263)=2026)*(PRENOTAZIONI!$D$3:$D$263="Villa Elena"))</f>
        <v>0</v>
      </c>
      <c r="H167" s="67"/>
    </row>
    <row r="168" spans="1:8" ht="20" customHeight="1" x14ac:dyDescent="0.2">
      <c r="A168" s="67"/>
      <c r="B168" s="68" t="s">
        <v>39</v>
      </c>
      <c r="C168" s="69">
        <f>SUMPRODUCT((MONTH(PRENOTAZIONI!$A$3:$A$263)=10)*(YEAR(PRENOTAZIONI!$A$3:$A$263)=2026)*(PRENOTAZIONI!$D$3:$D$263="Casa nel Borgo")*PRENOTAZIONI!$H$3:$H$263)</f>
        <v>0</v>
      </c>
      <c r="D168" s="70">
        <f t="shared" si="18"/>
        <v>0</v>
      </c>
      <c r="E168" s="71">
        <f>C168*0.25</f>
        <v>0</v>
      </c>
      <c r="F168" s="72">
        <f>SUMPRODUCT((PRENOTAZIONI!$A$3:$A$263&lt;DATE(2026,11,1))*(PRENOTAZIONI!$B$3:$B$263&gt;DATE(2026,10,1))*(YEAR(PRENOTAZIONI!$A$3:$A$263)=2026)*(PRENOTAZIONI!$D$3:$D$263="Casa nel Borgo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68" s="72">
        <f>SUMPRODUCT((MONTH(PRENOTAZIONI!$A$3:$A$263)=10)*(YEAR(PRENOTAZIONI!$A$3:$A$263)=2026)*(PRENOTAZIONI!$D$3:$D$263="Casa nel Borgo"))</f>
        <v>0</v>
      </c>
      <c r="H168" s="67"/>
    </row>
    <row r="169" spans="1:8" ht="20" customHeight="1" x14ac:dyDescent="0.2">
      <c r="A169" s="67"/>
      <c r="B169" s="68" t="s">
        <v>51</v>
      </c>
      <c r="C169" s="69">
        <f>SUMPRODUCT((MONTH(PRENOTAZIONI!$A$3:$A$263)=10)*(YEAR(PRENOTAZIONI!$A$3:$A$263)=2026)*(PRENOTAZIONI!$D$3:$D$263="Via San Rocco")*PRENOTAZIONI!$H$3:$H$263)</f>
        <v>170</v>
      </c>
      <c r="D169" s="70">
        <f t="shared" si="18"/>
        <v>153</v>
      </c>
      <c r="E169" s="71">
        <f>C169*0.1</f>
        <v>17</v>
      </c>
      <c r="F169" s="72">
        <f>SUMPRODUCT((PRENOTAZIONI!$A$3:$A$263&lt;DATE(2026,11,1))*(PRENOTAZIONI!$B$3:$B$263&gt;DATE(2026,10,1))*(YEAR(PRENOTAZIONI!$A$3:$A$263)=2026)*(PRENOTAZIONI!$D$3:$D$263="Via San Rocco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2</v>
      </c>
      <c r="G169" s="72">
        <f>SUMPRODUCT((MONTH(PRENOTAZIONI!$A$3:$A$263)=10)*(YEAR(PRENOTAZIONI!$A$3:$A$263)=2026)*(PRENOTAZIONI!$D$3:$D$263="Via San Rocco"))</f>
        <v>1</v>
      </c>
      <c r="H169" s="67"/>
    </row>
    <row r="170" spans="1:8" ht="20" customHeight="1" x14ac:dyDescent="0.2">
      <c r="A170" s="67"/>
      <c r="B170" s="68" t="s">
        <v>60</v>
      </c>
      <c r="C170" s="69">
        <f>SUMPRODUCT((MONTH(PRENOTAZIONI!$A$3:$A$263)=10)*(YEAR(PRENOTAZIONI!$A$3:$A$263)=2026)*(PRENOTAZIONI!$D$3:$D$263="Via Cavour")*PRENOTAZIONI!$H$3:$H$263)</f>
        <v>0</v>
      </c>
      <c r="D170" s="70">
        <f t="shared" si="18"/>
        <v>0</v>
      </c>
      <c r="E170" s="71">
        <f>C170*0.1</f>
        <v>0</v>
      </c>
      <c r="F170" s="72">
        <f>SUMPRODUCT((PRENOTAZIONI!$A$3:$A$263&lt;DATE(2026,11,1))*(PRENOTAZIONI!$B$3:$B$263&gt;DATE(2026,10,1))*(YEAR(PRENOTAZIONI!$A$3:$A$263)=2026)*(PRENOTAZIONI!$D$3:$D$263="Via Cavour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0" s="72">
        <f>SUMPRODUCT((MONTH(PRENOTAZIONI!$A$3:$A$263)=10)*(YEAR(PRENOTAZIONI!$A$3:$A$263)=2026)*(PRENOTAZIONI!$D$3:$D$263="Via Cavour"))</f>
        <v>0</v>
      </c>
      <c r="H170" s="67"/>
    </row>
    <row r="171" spans="1:8" ht="20" customHeight="1" x14ac:dyDescent="0.2">
      <c r="A171" s="67"/>
      <c r="B171" s="68" t="s">
        <v>93</v>
      </c>
      <c r="C171" s="69">
        <f>SUMPRODUCT((MONTH(PRENOTAZIONI!$A$3:$A$263)=10)*(YEAR(PRENOTAZIONI!$A$3:$A$263)=2026)*(PRENOTAZIONI!$D$3:$D$263="Casa Letizia")*PRENOTAZIONI!$H$3:$H$263)</f>
        <v>0</v>
      </c>
      <c r="D171" s="70">
        <f t="shared" si="18"/>
        <v>0</v>
      </c>
      <c r="E171" s="71">
        <f t="shared" ref="E171:E179" si="19">C171*0.25</f>
        <v>0</v>
      </c>
      <c r="F171" s="72">
        <f>SUMPRODUCT((PRENOTAZIONI!$A$3:$A$263&lt;DATE(2026,11,1))*(PRENOTAZIONI!$B$3:$B$263&gt;DATE(2026,10,1))*(YEAR(PRENOTAZIONI!$A$3:$A$263)=2026)*(PRENOTAZIONI!$D$3:$D$263="Casa Letizi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1" s="72">
        <f>SUMPRODUCT((MONTH(PRENOTAZIONI!$A$3:$A$263)=10)*(YEAR(PRENOTAZIONI!$A$3:$A$263)=2026)*(PRENOTAZIONI!$D$3:$D$263="Casa Letizia"))</f>
        <v>0</v>
      </c>
      <c r="H171" s="67"/>
    </row>
    <row r="172" spans="1:8" ht="20" customHeight="1" x14ac:dyDescent="0.2">
      <c r="A172" s="67"/>
      <c r="B172" s="68" t="s">
        <v>96</v>
      </c>
      <c r="C172" s="69">
        <f>SUMPRODUCT((MONTH(PRENOTAZIONI!$A$3:$A$263)=10)*(YEAR(PRENOTAZIONI!$A$3:$A$263)=2026)*(PRENOTAZIONI!$D$3:$D$263="Miramare")*PRENOTAZIONI!$H$3:$H$263)</f>
        <v>0</v>
      </c>
      <c r="D172" s="70">
        <f t="shared" si="18"/>
        <v>0</v>
      </c>
      <c r="E172" s="71">
        <f t="shared" si="19"/>
        <v>0</v>
      </c>
      <c r="F172" s="72">
        <f>SUMPRODUCT((PRENOTAZIONI!$A$3:$A$263&lt;DATE(2026,11,1))*(PRENOTAZIONI!$B$3:$B$263&gt;DATE(2026,10,1))*(YEAR(PRENOTAZIONI!$A$3:$A$263)=2026)*(PRENOTAZIONI!$D$3:$D$263="Miramare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2" s="72">
        <f>SUMPRODUCT((MONTH(PRENOTAZIONI!$A$3:$A$263)=10)*(YEAR(PRENOTAZIONI!$A$3:$A$263)=2026)*(PRENOTAZIONI!$D$3:$D$263="Miramare"))</f>
        <v>0</v>
      </c>
      <c r="H172" s="67"/>
    </row>
    <row r="173" spans="1:8" ht="20" customHeight="1" x14ac:dyDescent="0.2">
      <c r="A173" s="67"/>
      <c r="B173" s="68" t="s">
        <v>69</v>
      </c>
      <c r="C173" s="69">
        <f>SUMPRODUCT((MONTH(PRENOTAZIONI!$A$3:$A$263)=10)*(YEAR(PRENOTAZIONI!$A$3:$A$263)=2026)*(PRENOTAZIONI!$D$3:$D$263="Agantonio")*PRENOTAZIONI!$H$3:$H$263)</f>
        <v>0</v>
      </c>
      <c r="D173" s="70">
        <f t="shared" si="18"/>
        <v>0</v>
      </c>
      <c r="E173" s="71">
        <f t="shared" si="19"/>
        <v>0</v>
      </c>
      <c r="F173" s="72">
        <f>SUMPRODUCT((PRENOTAZIONI!$A$3:$A$263&lt;DATE(2026,11,1))*(PRENOTAZIONI!$B$3:$B$263&gt;DATE(2026,10,1))*(YEAR(PRENOTAZIONI!$A$3:$A$263)=2026)*(PRENOTAZIONI!$D$3:$D$263="Agantonio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3" s="72">
        <f>SUMPRODUCT((MONTH(PRENOTAZIONI!$A$3:$A$263)=10)*(YEAR(PRENOTAZIONI!$A$3:$A$263)=2026)*(PRENOTAZIONI!$D$3:$D$263="Agantonio"))</f>
        <v>0</v>
      </c>
      <c r="H173" s="67"/>
    </row>
    <row r="174" spans="1:8" ht="20" customHeight="1" x14ac:dyDescent="0.2">
      <c r="A174" s="67"/>
      <c r="B174" s="68" t="s">
        <v>63</v>
      </c>
      <c r="C174" s="69">
        <f>SUMPRODUCT((MONTH(PRENOTAZIONI!$A$3:$A$263)=10)*(YEAR(PRENOTAZIONI!$A$3:$A$263)=2026)*(PRENOTAZIONI!$D$3:$D$263="Casa Bella Gialla")*PRENOTAZIONI!$H$3:$H$263)</f>
        <v>0</v>
      </c>
      <c r="D174" s="70">
        <f t="shared" si="18"/>
        <v>0</v>
      </c>
      <c r="E174" s="71">
        <f t="shared" si="19"/>
        <v>0</v>
      </c>
      <c r="F174" s="72">
        <f>SUMPRODUCT((PRENOTAZIONI!$A$3:$A$263&lt;DATE(2026,11,1))*(PRENOTAZIONI!$B$3:$B$263&gt;DATE(2026,10,1))*(YEAR(PRENOTAZIONI!$A$3:$A$263)=2026)*(PRENOTAZIONI!$D$3:$D$263="Casa Bella Giall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4" s="72">
        <f>SUMPRODUCT((MONTH(PRENOTAZIONI!$A$3:$A$263)=10)*(YEAR(PRENOTAZIONI!$A$3:$A$263)=2026)*(PRENOTAZIONI!$D$3:$D$263="Casa Bella Gialla"))</f>
        <v>0</v>
      </c>
      <c r="H174" s="67"/>
    </row>
    <row r="175" spans="1:8" ht="20" customHeight="1" x14ac:dyDescent="0.2">
      <c r="A175" s="67"/>
      <c r="B175" s="68" t="s">
        <v>115</v>
      </c>
      <c r="C175" s="69">
        <f>SUMPRODUCT((MONTH(PRENOTAZIONI!$A$3:$A$263)=10)*(YEAR(PRENOTAZIONI!$A$3:$A$263)=2026)*(PRENOTAZIONI!$D$3:$D$263="Casa Verde Oliva")*PRENOTAZIONI!$H$3:$H$263)</f>
        <v>0</v>
      </c>
      <c r="D175" s="70">
        <f t="shared" si="18"/>
        <v>0</v>
      </c>
      <c r="E175" s="71">
        <f t="shared" si="19"/>
        <v>0</v>
      </c>
      <c r="F175" s="72">
        <f>SUMPRODUCT((PRENOTAZIONI!$A$3:$A$263&lt;DATE(2026,11,1))*(PRENOTAZIONI!$B$3:$B$263&gt;DATE(2026,10,1))*(YEAR(PRENOTAZIONI!$A$3:$A$263)=2026)*(PRENOTAZIONI!$D$3:$D$263="Casa Verde Oliv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5" s="72">
        <f>SUMPRODUCT((MONTH(PRENOTAZIONI!$A$3:$A$263)=10)*(YEAR(PRENOTAZIONI!$A$3:$A$263)=2026)*(PRENOTAZIONI!$D$3:$D$263="Casa Verde Oliva"))</f>
        <v>0</v>
      </c>
      <c r="H175" s="67"/>
    </row>
    <row r="176" spans="1:8" ht="20" customHeight="1" x14ac:dyDescent="0.2">
      <c r="A176" s="67"/>
      <c r="B176" s="68" t="s">
        <v>171</v>
      </c>
      <c r="C176" s="69">
        <f>SUMPRODUCT((MONTH(PRENOTAZIONI!$A$3:$A$263)=10)*(YEAR(PRENOTAZIONI!$A$3:$A$263)=2026)*(PRENOTAZIONI!$D$3:$D$263="Casa Nicola")*PRENOTAZIONI!$H$3:$H$263)</f>
        <v>0</v>
      </c>
      <c r="D176" s="70">
        <f t="shared" si="18"/>
        <v>0</v>
      </c>
      <c r="E176" s="71">
        <f t="shared" si="19"/>
        <v>0</v>
      </c>
      <c r="F176" s="72">
        <f>SUMPRODUCT((PRENOTAZIONI!$A$3:$A$263&lt;DATE(2026,11,1))*(PRENOTAZIONI!$B$3:$B$263&gt;DATE(2026,10,1))*(YEAR(PRENOTAZIONI!$A$3:$A$263)=2026)*(PRENOTAZIONI!$D$3:$D$263="Casa Nicol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6" s="72">
        <f>SUMPRODUCT((MONTH(PRENOTAZIONI!$A$3:$A$263)=10)*(YEAR(PRENOTAZIONI!$A$3:$A$263)=2026)*(PRENOTAZIONI!$D$3:$D$263="Casa Nicola"))</f>
        <v>0</v>
      </c>
      <c r="H176" s="67"/>
    </row>
    <row r="177" spans="1:8" ht="20" customHeight="1" x14ac:dyDescent="0.2">
      <c r="A177" s="67"/>
      <c r="B177" s="68" t="s">
        <v>172</v>
      </c>
      <c r="C177" s="69">
        <f>SUMPRODUCT((MONTH(PRENOTAZIONI!$A$3:$A$263)=10)*(YEAR(PRENOTAZIONI!$A$3:$A$263)=2026)*(PRENOTAZIONI!$D$3:$D$263="White Cottage")*PRENOTAZIONI!$H$3:$H$263)</f>
        <v>0</v>
      </c>
      <c r="D177" s="70">
        <f t="shared" si="18"/>
        <v>0</v>
      </c>
      <c r="E177" s="71">
        <f t="shared" si="19"/>
        <v>0</v>
      </c>
      <c r="F177" s="72">
        <f>SUMPRODUCT((PRENOTAZIONI!$A$3:$A$263&lt;DATE(2026,11,1))*(PRENOTAZIONI!$B$3:$B$263&gt;DATE(2026,10,1))*(YEAR(PRENOTAZIONI!$A$3:$A$263)=2026)*(PRENOTAZIONI!$D$3:$D$263="White Cottage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7" s="72">
        <f>SUMPRODUCT((MONTH(PRENOTAZIONI!$A$3:$A$263)=10)*(YEAR(PRENOTAZIONI!$A$3:$A$263)=2026)*(PRENOTAZIONI!$D$3:$D$263="White Cottage"))</f>
        <v>0</v>
      </c>
      <c r="H177" s="67"/>
    </row>
    <row r="178" spans="1:8" ht="20" customHeight="1" x14ac:dyDescent="0.2">
      <c r="A178" s="67"/>
      <c r="B178" s="68" t="s">
        <v>98</v>
      </c>
      <c r="C178" s="69">
        <f>SUMPRODUCT((MONTH(PRENOTAZIONI!$A$3:$A$263)=10)*(YEAR(PRENOTAZIONI!$A$3:$A$263)=2026)*(PRENOTAZIONI!$D$3:$D$263="Villa Nella")*PRENOTAZIONI!$H$3:$H$263)</f>
        <v>0</v>
      </c>
      <c r="D178" s="70">
        <f t="shared" si="18"/>
        <v>0</v>
      </c>
      <c r="E178" s="71">
        <f t="shared" si="19"/>
        <v>0</v>
      </c>
      <c r="F178" s="72">
        <f>SUMPRODUCT((PRENOTAZIONI!$A$3:$A$263&lt;DATE(2026,11,1))*(PRENOTAZIONI!$B$3:$B$263&gt;DATE(2026,10,1))*(YEAR(PRENOTAZIONI!$A$3:$A$263)=2026)*(PRENOTAZIONI!$D$3:$D$263="Villa Nella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8" s="72">
        <f>SUMPRODUCT((MONTH(PRENOTAZIONI!$A$3:$A$263)=10)*(YEAR(PRENOTAZIONI!$A$3:$A$263)=2026)*(PRENOTAZIONI!$D$3:$D$263="Villa Nella"))</f>
        <v>0</v>
      </c>
      <c r="H178" s="67"/>
    </row>
    <row r="179" spans="1:8" ht="20" customHeight="1" x14ac:dyDescent="0.2">
      <c r="A179" s="67"/>
      <c r="B179" s="68" t="s">
        <v>125</v>
      </c>
      <c r="C179" s="69">
        <f>SUMPRODUCT((MONTH(PRENOTAZIONI!$A$3:$A$263)=10)*(YEAR(PRENOTAZIONI!$A$3:$A$263)=2026)*(PRENOTAZIONI!$D$3:$D$263="Nel Cuore di Lanciano")*PRENOTAZIONI!$H$3:$H$263)</f>
        <v>0</v>
      </c>
      <c r="D179" s="70">
        <f t="shared" si="18"/>
        <v>0</v>
      </c>
      <c r="E179" s="71">
        <f t="shared" si="19"/>
        <v>0</v>
      </c>
      <c r="F179" s="72">
        <f>SUMPRODUCT((PRENOTAZIONI!$A$3:$A$263&lt;DATE(2026,11,1))*(PRENOTAZIONI!$B$3:$B$263&gt;DATE(2026,10,1))*(YEAR(PRENOTAZIONI!$A$3:$A$263)=2026)*(PRENOTAZIONI!$D$3:$D$263="Nel Cuore di Lanciano")*((PRENOTAZIONI!$B$3:$B$263*(PRENOTAZIONI!$B$3:$B$263&lt;DATE(2026,11,1))+DATE(2026,11,1)*(PRENOTAZIONI!$B$3:$B$263&gt;=DATE(2026,11,1)))-(PRENOTAZIONI!$A$3:$A$263*(PRENOTAZIONI!$A$3:$A$263&gt;DATE(2026,10,1))+DATE(2026,10,1)*(PRENOTAZIONI!$A$3:$A$263&lt;=DATE(2026,10,1)))))</f>
        <v>0</v>
      </c>
      <c r="G179" s="72">
        <f>SUMPRODUCT((MONTH(PRENOTAZIONI!$A$3:$A$263)=10)*(YEAR(PRENOTAZIONI!$A$3:$A$263)=2026)*(PRENOTAZIONI!$D$3:$D$263="Nel Cuore di Lanciano"))</f>
        <v>0</v>
      </c>
      <c r="H179" s="67"/>
    </row>
    <row r="180" spans="1:8" ht="24" customHeight="1" x14ac:dyDescent="0.2">
      <c r="A180" s="63"/>
      <c r="B180" s="73" t="s">
        <v>147</v>
      </c>
      <c r="C180" s="74">
        <f>SUM(C166:C179)</f>
        <v>170</v>
      </c>
      <c r="D180" s="74">
        <f>SUM(D166:D179)</f>
        <v>153</v>
      </c>
      <c r="E180" s="74">
        <f>SUM(E166:E179)</f>
        <v>17</v>
      </c>
      <c r="F180" s="75">
        <f>SUM(F166:F179)</f>
        <v>2</v>
      </c>
      <c r="G180" s="75">
        <f>SUM(G166:G179)</f>
        <v>1</v>
      </c>
      <c r="H180" s="63"/>
    </row>
    <row r="182" spans="1:8" ht="24" customHeight="1" x14ac:dyDescent="0.2">
      <c r="A182" s="64" t="s">
        <v>191</v>
      </c>
      <c r="B182" s="65"/>
      <c r="C182" s="65"/>
      <c r="D182" s="65"/>
      <c r="E182" s="65"/>
      <c r="F182" s="65"/>
      <c r="G182" s="65"/>
      <c r="H182" s="65"/>
    </row>
    <row r="183" spans="1:8" ht="34" customHeight="1" x14ac:dyDescent="0.2">
      <c r="A183" s="66" t="s">
        <v>175</v>
      </c>
      <c r="B183" s="66" t="s">
        <v>169</v>
      </c>
      <c r="C183" s="66" t="s">
        <v>176</v>
      </c>
      <c r="D183" s="66" t="s">
        <v>177</v>
      </c>
      <c r="E183" s="66" t="s">
        <v>178</v>
      </c>
      <c r="F183" s="66" t="s">
        <v>179</v>
      </c>
      <c r="G183" s="66" t="s">
        <v>180</v>
      </c>
      <c r="H183" s="66" t="s">
        <v>18</v>
      </c>
    </row>
    <row r="184" spans="1:8" ht="20" customHeight="1" x14ac:dyDescent="0.2">
      <c r="A184" s="67"/>
      <c r="B184" s="68" t="s">
        <v>32</v>
      </c>
      <c r="C184" s="69">
        <f>SUMPRODUCT((MONTH(PRENOTAZIONI!$A$3:$A$263)=11)*(YEAR(PRENOTAZIONI!$A$3:$A$263)=2026)*(PRENOTAZIONI!$D$3:$D$263="Sotto la Quercia")*PRENOTAZIONI!$H$3:$H$263)</f>
        <v>0</v>
      </c>
      <c r="D184" s="70">
        <f t="shared" ref="D184:D197" si="20">C184-E184</f>
        <v>0</v>
      </c>
      <c r="E184" s="71">
        <f>C184*0.25</f>
        <v>0</v>
      </c>
      <c r="F184" s="72">
        <f>SUMPRODUCT((PRENOTAZIONI!$A$3:$A$263&lt;DATE(2026,12,1))*(PRENOTAZIONI!$B$3:$B$263&gt;DATE(2026,11,1))*(YEAR(PRENOTAZIONI!$A$3:$A$263)=2026)*(PRENOTAZIONI!$D$3:$D$263="Sotto la Querci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4" s="72">
        <f>SUMPRODUCT((MONTH(PRENOTAZIONI!$A$3:$A$263)=11)*(YEAR(PRENOTAZIONI!$A$3:$A$263)=2026)*(PRENOTAZIONI!$D$3:$D$263="Sotto la Quercia"))</f>
        <v>0</v>
      </c>
      <c r="H184" s="67"/>
    </row>
    <row r="185" spans="1:8" ht="20" customHeight="1" x14ac:dyDescent="0.2">
      <c r="A185" s="67"/>
      <c r="B185" s="68" t="s">
        <v>45</v>
      </c>
      <c r="C185" s="69">
        <f>SUMPRODUCT((MONTH(PRENOTAZIONI!$A$3:$A$263)=11)*(YEAR(PRENOTAZIONI!$A$3:$A$263)=2026)*(PRENOTAZIONI!$D$3:$D$263="Villa Elena")*PRENOTAZIONI!$H$3:$H$263)</f>
        <v>0</v>
      </c>
      <c r="D185" s="70">
        <f t="shared" si="20"/>
        <v>0</v>
      </c>
      <c r="E185" s="71">
        <f>C185*0.25</f>
        <v>0</v>
      </c>
      <c r="F185" s="72">
        <f>SUMPRODUCT((PRENOTAZIONI!$A$3:$A$263&lt;DATE(2026,12,1))*(PRENOTAZIONI!$B$3:$B$263&gt;DATE(2026,11,1))*(YEAR(PRENOTAZIONI!$A$3:$A$263)=2026)*(PRENOTAZIONI!$D$3:$D$263="Villa Elen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5" s="72">
        <f>SUMPRODUCT((MONTH(PRENOTAZIONI!$A$3:$A$263)=11)*(YEAR(PRENOTAZIONI!$A$3:$A$263)=2026)*(PRENOTAZIONI!$D$3:$D$263="Villa Elena"))</f>
        <v>0</v>
      </c>
      <c r="H185" s="67"/>
    </row>
    <row r="186" spans="1:8" ht="20" customHeight="1" x14ac:dyDescent="0.2">
      <c r="A186" s="67"/>
      <c r="B186" s="68" t="s">
        <v>39</v>
      </c>
      <c r="C186" s="69">
        <f>SUMPRODUCT((MONTH(PRENOTAZIONI!$A$3:$A$263)=11)*(YEAR(PRENOTAZIONI!$A$3:$A$263)=2026)*(PRENOTAZIONI!$D$3:$D$263="Casa nel Borgo")*PRENOTAZIONI!$H$3:$H$263)</f>
        <v>0</v>
      </c>
      <c r="D186" s="70">
        <f t="shared" si="20"/>
        <v>0</v>
      </c>
      <c r="E186" s="71">
        <f>C186*0.25</f>
        <v>0</v>
      </c>
      <c r="F186" s="72">
        <f>SUMPRODUCT((PRENOTAZIONI!$A$3:$A$263&lt;DATE(2026,12,1))*(PRENOTAZIONI!$B$3:$B$263&gt;DATE(2026,11,1))*(YEAR(PRENOTAZIONI!$A$3:$A$263)=2026)*(PRENOTAZIONI!$D$3:$D$263="Casa nel Borgo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6" s="72">
        <f>SUMPRODUCT((MONTH(PRENOTAZIONI!$A$3:$A$263)=11)*(YEAR(PRENOTAZIONI!$A$3:$A$263)=2026)*(PRENOTAZIONI!$D$3:$D$263="Casa nel Borgo"))</f>
        <v>0</v>
      </c>
      <c r="H186" s="67"/>
    </row>
    <row r="187" spans="1:8" ht="20" customHeight="1" x14ac:dyDescent="0.2">
      <c r="A187" s="67"/>
      <c r="B187" s="68" t="s">
        <v>51</v>
      </c>
      <c r="C187" s="69">
        <f>SUMPRODUCT((MONTH(PRENOTAZIONI!$A$3:$A$263)=11)*(YEAR(PRENOTAZIONI!$A$3:$A$263)=2026)*(PRENOTAZIONI!$D$3:$D$263="Via San Rocco")*PRENOTAZIONI!$H$3:$H$263)</f>
        <v>0</v>
      </c>
      <c r="D187" s="70">
        <f t="shared" si="20"/>
        <v>0</v>
      </c>
      <c r="E187" s="71">
        <f>C187*0.1</f>
        <v>0</v>
      </c>
      <c r="F187" s="72">
        <f>SUMPRODUCT((PRENOTAZIONI!$A$3:$A$263&lt;DATE(2026,12,1))*(PRENOTAZIONI!$B$3:$B$263&gt;DATE(2026,11,1))*(YEAR(PRENOTAZIONI!$A$3:$A$263)=2026)*(PRENOTAZIONI!$D$3:$D$263="Via San Rocco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7" s="72">
        <f>SUMPRODUCT((MONTH(PRENOTAZIONI!$A$3:$A$263)=11)*(YEAR(PRENOTAZIONI!$A$3:$A$263)=2026)*(PRENOTAZIONI!$D$3:$D$263="Via San Rocco"))</f>
        <v>0</v>
      </c>
      <c r="H187" s="67"/>
    </row>
    <row r="188" spans="1:8" ht="20" customHeight="1" x14ac:dyDescent="0.2">
      <c r="A188" s="67"/>
      <c r="B188" s="68" t="s">
        <v>60</v>
      </c>
      <c r="C188" s="69">
        <f>SUMPRODUCT((MONTH(PRENOTAZIONI!$A$3:$A$263)=11)*(YEAR(PRENOTAZIONI!$A$3:$A$263)=2026)*(PRENOTAZIONI!$D$3:$D$263="Via Cavour")*PRENOTAZIONI!$H$3:$H$263)</f>
        <v>0</v>
      </c>
      <c r="D188" s="70">
        <f t="shared" si="20"/>
        <v>0</v>
      </c>
      <c r="E188" s="71">
        <f>C188*0.1</f>
        <v>0</v>
      </c>
      <c r="F188" s="72">
        <f>SUMPRODUCT((PRENOTAZIONI!$A$3:$A$263&lt;DATE(2026,12,1))*(PRENOTAZIONI!$B$3:$B$263&gt;DATE(2026,11,1))*(YEAR(PRENOTAZIONI!$A$3:$A$263)=2026)*(PRENOTAZIONI!$D$3:$D$263="Via Cavour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8" s="72">
        <f>SUMPRODUCT((MONTH(PRENOTAZIONI!$A$3:$A$263)=11)*(YEAR(PRENOTAZIONI!$A$3:$A$263)=2026)*(PRENOTAZIONI!$D$3:$D$263="Via Cavour"))</f>
        <v>0</v>
      </c>
      <c r="H188" s="67"/>
    </row>
    <row r="189" spans="1:8" ht="20" customHeight="1" x14ac:dyDescent="0.2">
      <c r="A189" s="67"/>
      <c r="B189" s="68" t="s">
        <v>93</v>
      </c>
      <c r="C189" s="69">
        <f>SUMPRODUCT((MONTH(PRENOTAZIONI!$A$3:$A$263)=11)*(YEAR(PRENOTAZIONI!$A$3:$A$263)=2026)*(PRENOTAZIONI!$D$3:$D$263="Casa Letizia")*PRENOTAZIONI!$H$3:$H$263)</f>
        <v>0</v>
      </c>
      <c r="D189" s="70">
        <f t="shared" si="20"/>
        <v>0</v>
      </c>
      <c r="E189" s="71">
        <f t="shared" ref="E189:E197" si="21">C189*0.25</f>
        <v>0</v>
      </c>
      <c r="F189" s="72">
        <f>SUMPRODUCT((PRENOTAZIONI!$A$3:$A$263&lt;DATE(2026,12,1))*(PRENOTAZIONI!$B$3:$B$263&gt;DATE(2026,11,1))*(YEAR(PRENOTAZIONI!$A$3:$A$263)=2026)*(PRENOTAZIONI!$D$3:$D$263="Casa Letizi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89" s="72">
        <f>SUMPRODUCT((MONTH(PRENOTAZIONI!$A$3:$A$263)=11)*(YEAR(PRENOTAZIONI!$A$3:$A$263)=2026)*(PRENOTAZIONI!$D$3:$D$263="Casa Letizia"))</f>
        <v>0</v>
      </c>
      <c r="H189" s="67"/>
    </row>
    <row r="190" spans="1:8" ht="20" customHeight="1" x14ac:dyDescent="0.2">
      <c r="A190" s="67"/>
      <c r="B190" s="68" t="s">
        <v>96</v>
      </c>
      <c r="C190" s="69">
        <f>SUMPRODUCT((MONTH(PRENOTAZIONI!$A$3:$A$263)=11)*(YEAR(PRENOTAZIONI!$A$3:$A$263)=2026)*(PRENOTAZIONI!$D$3:$D$263="Miramare")*PRENOTAZIONI!$H$3:$H$263)</f>
        <v>0</v>
      </c>
      <c r="D190" s="70">
        <f t="shared" si="20"/>
        <v>0</v>
      </c>
      <c r="E190" s="71">
        <f t="shared" si="21"/>
        <v>0</v>
      </c>
      <c r="F190" s="72">
        <f>SUMPRODUCT((PRENOTAZIONI!$A$3:$A$263&lt;DATE(2026,12,1))*(PRENOTAZIONI!$B$3:$B$263&gt;DATE(2026,11,1))*(YEAR(PRENOTAZIONI!$A$3:$A$263)=2026)*(PRENOTAZIONI!$D$3:$D$263="Miramare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0" s="72">
        <f>SUMPRODUCT((MONTH(PRENOTAZIONI!$A$3:$A$263)=11)*(YEAR(PRENOTAZIONI!$A$3:$A$263)=2026)*(PRENOTAZIONI!$D$3:$D$263="Miramare"))</f>
        <v>0</v>
      </c>
      <c r="H190" s="67"/>
    </row>
    <row r="191" spans="1:8" ht="20" customHeight="1" x14ac:dyDescent="0.2">
      <c r="A191" s="67"/>
      <c r="B191" s="68" t="s">
        <v>69</v>
      </c>
      <c r="C191" s="69">
        <f>SUMPRODUCT((MONTH(PRENOTAZIONI!$A$3:$A$263)=11)*(YEAR(PRENOTAZIONI!$A$3:$A$263)=2026)*(PRENOTAZIONI!$D$3:$D$263="Agantonio")*PRENOTAZIONI!$H$3:$H$263)</f>
        <v>0</v>
      </c>
      <c r="D191" s="70">
        <f t="shared" si="20"/>
        <v>0</v>
      </c>
      <c r="E191" s="71">
        <f t="shared" si="21"/>
        <v>0</v>
      </c>
      <c r="F191" s="72">
        <f>SUMPRODUCT((PRENOTAZIONI!$A$3:$A$263&lt;DATE(2026,12,1))*(PRENOTAZIONI!$B$3:$B$263&gt;DATE(2026,11,1))*(YEAR(PRENOTAZIONI!$A$3:$A$263)=2026)*(PRENOTAZIONI!$D$3:$D$263="Agantonio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1" s="72">
        <f>SUMPRODUCT((MONTH(PRENOTAZIONI!$A$3:$A$263)=11)*(YEAR(PRENOTAZIONI!$A$3:$A$263)=2026)*(PRENOTAZIONI!$D$3:$D$263="Agantonio"))</f>
        <v>0</v>
      </c>
      <c r="H191" s="67"/>
    </row>
    <row r="192" spans="1:8" ht="20" customHeight="1" x14ac:dyDescent="0.2">
      <c r="A192" s="67"/>
      <c r="B192" s="68" t="s">
        <v>63</v>
      </c>
      <c r="C192" s="69">
        <f>SUMPRODUCT((MONTH(PRENOTAZIONI!$A$3:$A$263)=11)*(YEAR(PRENOTAZIONI!$A$3:$A$263)=2026)*(PRENOTAZIONI!$D$3:$D$263="Casa Bella Gialla")*PRENOTAZIONI!$H$3:$H$263)</f>
        <v>0</v>
      </c>
      <c r="D192" s="70">
        <f t="shared" si="20"/>
        <v>0</v>
      </c>
      <c r="E192" s="71">
        <f t="shared" si="21"/>
        <v>0</v>
      </c>
      <c r="F192" s="72">
        <f>SUMPRODUCT((PRENOTAZIONI!$A$3:$A$263&lt;DATE(2026,12,1))*(PRENOTAZIONI!$B$3:$B$263&gt;DATE(2026,11,1))*(YEAR(PRENOTAZIONI!$A$3:$A$263)=2026)*(PRENOTAZIONI!$D$3:$D$263="Casa Bella Giall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2" s="72">
        <f>SUMPRODUCT((MONTH(PRENOTAZIONI!$A$3:$A$263)=11)*(YEAR(PRENOTAZIONI!$A$3:$A$263)=2026)*(PRENOTAZIONI!$D$3:$D$263="Casa Bella Gialla"))</f>
        <v>0</v>
      </c>
      <c r="H192" s="67"/>
    </row>
    <row r="193" spans="1:8" ht="20" customHeight="1" x14ac:dyDescent="0.2">
      <c r="A193" s="67"/>
      <c r="B193" s="68" t="s">
        <v>115</v>
      </c>
      <c r="C193" s="69">
        <f>SUMPRODUCT((MONTH(PRENOTAZIONI!$A$3:$A$263)=11)*(YEAR(PRENOTAZIONI!$A$3:$A$263)=2026)*(PRENOTAZIONI!$D$3:$D$263="Casa Verde Oliva")*PRENOTAZIONI!$H$3:$H$263)</f>
        <v>0</v>
      </c>
      <c r="D193" s="70">
        <f t="shared" si="20"/>
        <v>0</v>
      </c>
      <c r="E193" s="71">
        <f t="shared" si="21"/>
        <v>0</v>
      </c>
      <c r="F193" s="72">
        <f>SUMPRODUCT((PRENOTAZIONI!$A$3:$A$263&lt;DATE(2026,12,1))*(PRENOTAZIONI!$B$3:$B$263&gt;DATE(2026,11,1))*(YEAR(PRENOTAZIONI!$A$3:$A$263)=2026)*(PRENOTAZIONI!$D$3:$D$263="Casa Verde Oliv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3" s="72">
        <f>SUMPRODUCT((MONTH(PRENOTAZIONI!$A$3:$A$263)=11)*(YEAR(PRENOTAZIONI!$A$3:$A$263)=2026)*(PRENOTAZIONI!$D$3:$D$263="Casa Verde Oliva"))</f>
        <v>0</v>
      </c>
      <c r="H193" s="67"/>
    </row>
    <row r="194" spans="1:8" ht="20" customHeight="1" x14ac:dyDescent="0.2">
      <c r="A194" s="67"/>
      <c r="B194" s="68" t="s">
        <v>171</v>
      </c>
      <c r="C194" s="69">
        <f>SUMPRODUCT((MONTH(PRENOTAZIONI!$A$3:$A$263)=11)*(YEAR(PRENOTAZIONI!$A$3:$A$263)=2026)*(PRENOTAZIONI!$D$3:$D$263="Casa Nicola")*PRENOTAZIONI!$H$3:$H$263)</f>
        <v>0</v>
      </c>
      <c r="D194" s="70">
        <f t="shared" si="20"/>
        <v>0</v>
      </c>
      <c r="E194" s="71">
        <f t="shared" si="21"/>
        <v>0</v>
      </c>
      <c r="F194" s="72">
        <f>SUMPRODUCT((PRENOTAZIONI!$A$3:$A$263&lt;DATE(2026,12,1))*(PRENOTAZIONI!$B$3:$B$263&gt;DATE(2026,11,1))*(YEAR(PRENOTAZIONI!$A$3:$A$263)=2026)*(PRENOTAZIONI!$D$3:$D$263="Casa Nicol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4" s="72">
        <f>SUMPRODUCT((MONTH(PRENOTAZIONI!$A$3:$A$263)=11)*(YEAR(PRENOTAZIONI!$A$3:$A$263)=2026)*(PRENOTAZIONI!$D$3:$D$263="Casa Nicola"))</f>
        <v>0</v>
      </c>
      <c r="H194" s="67"/>
    </row>
    <row r="195" spans="1:8" ht="20" customHeight="1" x14ac:dyDescent="0.2">
      <c r="A195" s="67"/>
      <c r="B195" s="68" t="s">
        <v>172</v>
      </c>
      <c r="C195" s="69">
        <f>SUMPRODUCT((MONTH(PRENOTAZIONI!$A$3:$A$263)=11)*(YEAR(PRENOTAZIONI!$A$3:$A$263)=2026)*(PRENOTAZIONI!$D$3:$D$263="White Cottage")*PRENOTAZIONI!$H$3:$H$263)</f>
        <v>0</v>
      </c>
      <c r="D195" s="70">
        <f t="shared" si="20"/>
        <v>0</v>
      </c>
      <c r="E195" s="71">
        <f t="shared" si="21"/>
        <v>0</v>
      </c>
      <c r="F195" s="72">
        <f>SUMPRODUCT((PRENOTAZIONI!$A$3:$A$263&lt;DATE(2026,12,1))*(PRENOTAZIONI!$B$3:$B$263&gt;DATE(2026,11,1))*(YEAR(PRENOTAZIONI!$A$3:$A$263)=2026)*(PRENOTAZIONI!$D$3:$D$263="White Cottage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5" s="72">
        <f>SUMPRODUCT((MONTH(PRENOTAZIONI!$A$3:$A$263)=11)*(YEAR(PRENOTAZIONI!$A$3:$A$263)=2026)*(PRENOTAZIONI!$D$3:$D$263="White Cottage"))</f>
        <v>0</v>
      </c>
      <c r="H195" s="67"/>
    </row>
    <row r="196" spans="1:8" ht="20" customHeight="1" x14ac:dyDescent="0.2">
      <c r="A196" s="67"/>
      <c r="B196" s="68" t="s">
        <v>98</v>
      </c>
      <c r="C196" s="69">
        <f>SUMPRODUCT((MONTH(PRENOTAZIONI!$A$3:$A$263)=11)*(YEAR(PRENOTAZIONI!$A$3:$A$263)=2026)*(PRENOTAZIONI!$D$3:$D$263="Villa Nella")*PRENOTAZIONI!$H$3:$H$263)</f>
        <v>0</v>
      </c>
      <c r="D196" s="70">
        <f t="shared" si="20"/>
        <v>0</v>
      </c>
      <c r="E196" s="71">
        <f t="shared" si="21"/>
        <v>0</v>
      </c>
      <c r="F196" s="72">
        <f>SUMPRODUCT((PRENOTAZIONI!$A$3:$A$263&lt;DATE(2026,12,1))*(PRENOTAZIONI!$B$3:$B$263&gt;DATE(2026,11,1))*(YEAR(PRENOTAZIONI!$A$3:$A$263)=2026)*(PRENOTAZIONI!$D$3:$D$263="Villa Nella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6" s="72">
        <f>SUMPRODUCT((MONTH(PRENOTAZIONI!$A$3:$A$263)=11)*(YEAR(PRENOTAZIONI!$A$3:$A$263)=2026)*(PRENOTAZIONI!$D$3:$D$263="Villa Nella"))</f>
        <v>0</v>
      </c>
      <c r="H196" s="67"/>
    </row>
    <row r="197" spans="1:8" ht="20" customHeight="1" x14ac:dyDescent="0.2">
      <c r="A197" s="67"/>
      <c r="B197" s="68" t="s">
        <v>125</v>
      </c>
      <c r="C197" s="69">
        <f>SUMPRODUCT((MONTH(PRENOTAZIONI!$A$3:$A$263)=11)*(YEAR(PRENOTAZIONI!$A$3:$A$263)=2026)*(PRENOTAZIONI!$D$3:$D$263="Nel Cuore di Lanciano")*PRENOTAZIONI!$H$3:$H$263)</f>
        <v>0</v>
      </c>
      <c r="D197" s="70">
        <f t="shared" si="20"/>
        <v>0</v>
      </c>
      <c r="E197" s="71">
        <f t="shared" si="21"/>
        <v>0</v>
      </c>
      <c r="F197" s="72">
        <f>SUMPRODUCT((PRENOTAZIONI!$A$3:$A$263&lt;DATE(2026,12,1))*(PRENOTAZIONI!$B$3:$B$263&gt;DATE(2026,11,1))*(YEAR(PRENOTAZIONI!$A$3:$A$263)=2026)*(PRENOTAZIONI!$D$3:$D$263="Nel Cuore di Lanciano")*((PRENOTAZIONI!$B$3:$B$263*(PRENOTAZIONI!$B$3:$B$263&lt;DATE(2026,12,1))+DATE(2026,12,1)*(PRENOTAZIONI!$B$3:$B$263&gt;=DATE(2026,12,1)))-(PRENOTAZIONI!$A$3:$A$263*(PRENOTAZIONI!$A$3:$A$263&gt;DATE(2026,11,1))+DATE(2026,11,1)*(PRENOTAZIONI!$A$3:$A$263&lt;=DATE(2026,11,1)))))</f>
        <v>0</v>
      </c>
      <c r="G197" s="72">
        <f>SUMPRODUCT((MONTH(PRENOTAZIONI!$A$3:$A$263)=11)*(YEAR(PRENOTAZIONI!$A$3:$A$263)=2026)*(PRENOTAZIONI!$D$3:$D$263="Nel Cuore di Lanciano"))</f>
        <v>0</v>
      </c>
      <c r="H197" s="67"/>
    </row>
    <row r="198" spans="1:8" ht="24" customHeight="1" x14ac:dyDescent="0.2">
      <c r="A198" s="63"/>
      <c r="B198" s="73" t="s">
        <v>147</v>
      </c>
      <c r="C198" s="74">
        <f>SUM(C184:C197)</f>
        <v>0</v>
      </c>
      <c r="D198" s="74">
        <f>SUM(D184:D197)</f>
        <v>0</v>
      </c>
      <c r="E198" s="74">
        <f>SUM(E184:E197)</f>
        <v>0</v>
      </c>
      <c r="F198" s="75">
        <f>SUM(F184:F197)</f>
        <v>0</v>
      </c>
      <c r="G198" s="75">
        <f>SUM(G184:G197)</f>
        <v>0</v>
      </c>
      <c r="H198" s="63"/>
    </row>
    <row r="200" spans="1:8" ht="24" customHeight="1" x14ac:dyDescent="0.2">
      <c r="A200" s="64" t="s">
        <v>192</v>
      </c>
      <c r="B200" s="65"/>
      <c r="C200" s="65"/>
      <c r="D200" s="65"/>
      <c r="E200" s="65"/>
      <c r="F200" s="65"/>
      <c r="G200" s="65"/>
      <c r="H200" s="65"/>
    </row>
    <row r="201" spans="1:8" ht="34" customHeight="1" x14ac:dyDescent="0.2">
      <c r="A201" s="66" t="s">
        <v>175</v>
      </c>
      <c r="B201" s="66" t="s">
        <v>169</v>
      </c>
      <c r="C201" s="66" t="s">
        <v>176</v>
      </c>
      <c r="D201" s="66" t="s">
        <v>177</v>
      </c>
      <c r="E201" s="66" t="s">
        <v>178</v>
      </c>
      <c r="F201" s="66" t="s">
        <v>179</v>
      </c>
      <c r="G201" s="66" t="s">
        <v>180</v>
      </c>
      <c r="H201" s="66" t="s">
        <v>18</v>
      </c>
    </row>
    <row r="202" spans="1:8" ht="20" customHeight="1" x14ac:dyDescent="0.2">
      <c r="A202" s="67"/>
      <c r="B202" s="68" t="s">
        <v>32</v>
      </c>
      <c r="C202" s="69">
        <f>SUMPRODUCT((MONTH(PRENOTAZIONI!$A$3:$A$263)=12)*(YEAR(PRENOTAZIONI!$A$3:$A$263)=2026)*(PRENOTAZIONI!$D$3:$D$263="Sotto la Quercia")*PRENOTAZIONI!$H$3:$H$263)</f>
        <v>0</v>
      </c>
      <c r="D202" s="70">
        <f t="shared" ref="D202:D215" si="22">C202-E202</f>
        <v>0</v>
      </c>
      <c r="E202" s="71">
        <f>C202*0.25</f>
        <v>0</v>
      </c>
      <c r="F202" s="72">
        <f>SUMPRODUCT((PRENOTAZIONI!$A$3:$A$263&lt;DATE(2027,1,1))*(PRENOTAZIONI!$B$3:$B$263&gt;DATE(2026,12,1))*(YEAR(PRENOTAZIONI!$A$3:$A$263)=2026)*(PRENOTAZIONI!$D$3:$D$263="Sotto la Querci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2" s="72">
        <f>SUMPRODUCT((MONTH(PRENOTAZIONI!$A$3:$A$263)=12)*(YEAR(PRENOTAZIONI!$A$3:$A$263)=2026)*(PRENOTAZIONI!$D$3:$D$263="Sotto la Quercia"))</f>
        <v>0</v>
      </c>
      <c r="H202" s="67"/>
    </row>
    <row r="203" spans="1:8" ht="20" customHeight="1" x14ac:dyDescent="0.2">
      <c r="A203" s="67"/>
      <c r="B203" s="68" t="s">
        <v>45</v>
      </c>
      <c r="C203" s="69">
        <f>SUMPRODUCT((MONTH(PRENOTAZIONI!$A$3:$A$263)=12)*(YEAR(PRENOTAZIONI!$A$3:$A$263)=2026)*(PRENOTAZIONI!$D$3:$D$263="Villa Elena")*PRENOTAZIONI!$H$3:$H$263)</f>
        <v>0</v>
      </c>
      <c r="D203" s="70">
        <f t="shared" si="22"/>
        <v>0</v>
      </c>
      <c r="E203" s="71">
        <f>C203*0.25</f>
        <v>0</v>
      </c>
      <c r="F203" s="72">
        <f>SUMPRODUCT((PRENOTAZIONI!$A$3:$A$263&lt;DATE(2027,1,1))*(PRENOTAZIONI!$B$3:$B$263&gt;DATE(2026,12,1))*(YEAR(PRENOTAZIONI!$A$3:$A$263)=2026)*(PRENOTAZIONI!$D$3:$D$263="Villa Elena")*((PRENOTAZIONI!$B$3:$B$263*(PRENOTAZIONI!$B$3:$B$263&lt;DATE(2027,1,1))+DATE(2027,1,1)*(PRENOTAZIONI!$B$3:$B$263&gt;=DATE(2027,1,1)))-(PRENOTAZIONI!$A$3:$A$263*(PRENOTAZIONI!$A$3:$A$263&gt;DATE(2026,12,1))+DATE(2026,12,1)*(PRENOTAZIONI!$A$3:$A$263&lt;=DATE(2026,12,1)))))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3" s="72">
        <f>SUMPRODUCT((MONTH(PRENOTAZIONI!$A$3:$A$263)=12)*(YEAR(PRENOTAZIONI!$A$3:$A$263)=2026)*(PRENOTAZIONI!$D$3:$D$263="Villa Elena"))</f>
        <v>0</v>
      </c>
      <c r="H203" s="67"/>
    </row>
    <row r="204" spans="1:8" ht="20" customHeight="1" x14ac:dyDescent="0.2">
      <c r="A204" s="67"/>
      <c r="B204" s="68" t="s">
        <v>39</v>
      </c>
      <c r="C204" s="69">
        <f>SUMPRODUCT((MONTH(PRENOTAZIONI!$A$3:$A$263)=12)*(YEAR(PRENOTAZIONI!$A$3:$A$263)=2026)*(PRENOTAZIONI!$D$3:$D$263="Casa nel Borgo")*PRENOTAZIONI!$H$3:$H$263)</f>
        <v>0</v>
      </c>
      <c r="D204" s="70">
        <f t="shared" si="22"/>
        <v>0</v>
      </c>
      <c r="E204" s="71">
        <f>C204*0.25</f>
        <v>0</v>
      </c>
      <c r="F204" s="72">
        <f>SUMPRODUCT((PRENOTAZIONI!$A$3:$A$263&lt;DATE(2027,1,1))*(PRENOTAZIONI!$B$3:$B$263&gt;DATE(2026,12,1))*(YEAR(PRENOTAZIONI!$A$3:$A$263)=2026)*(PRENOTAZIONI!$D$3:$D$263="Casa nel Borgo")*((PRENOTAZIONI!$B$3:$B$263*(PRENOTAZIONI!$B$3:$B$263&lt;DATE(2027,1,1))+DATE(2027,1,1)*(PRENOTAZIONI!$B$3:$B$263&gt;=DATE(2027,1,1)))-(PRENOTAZIONI!$A$3:$A$263*(PRENOTAZIONI!$A$3:$A$263&gt;DATE(2026,12,1))+DATE(2026,12,1)*(PRENOTAZIONI!$A$3:$A$263&lt;=DATE(2026,12,1)))))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4" s="72">
        <f>SUMPRODUCT((MONTH(PRENOTAZIONI!$A$3:$A$263)=12)*(YEAR(PRENOTAZIONI!$A$3:$A$263)=2026)*(PRENOTAZIONI!$D$3:$D$263="Casa nel Borgo"))</f>
        <v>0</v>
      </c>
      <c r="H204" s="67"/>
    </row>
    <row r="205" spans="1:8" ht="20" customHeight="1" x14ac:dyDescent="0.2">
      <c r="A205" s="67"/>
      <c r="B205" s="68" t="s">
        <v>51</v>
      </c>
      <c r="C205" s="69">
        <f>SUMPRODUCT((MONTH(PRENOTAZIONI!$A$3:$A$263)=12)*(YEAR(PRENOTAZIONI!$A$3:$A$263)=2026)*(PRENOTAZIONI!$D$3:$D$263="Via San Rocco")*PRENOTAZIONI!$H$3:$H$263)</f>
        <v>0</v>
      </c>
      <c r="D205" s="70">
        <f t="shared" si="22"/>
        <v>0</v>
      </c>
      <c r="E205" s="71">
        <f>C205*0.1</f>
        <v>0</v>
      </c>
      <c r="F205" s="72">
        <f>SUMPRODUCT((PRENOTAZIONI!$A$3:$A$263&lt;DATE(2027,1,1))*(PRENOTAZIONI!$B$3:$B$263&gt;DATE(2026,12,1))*(YEAR(PRENOTAZIONI!$A$3:$A$263)=2026)*(PRENOTAZIONI!$D$3:$D$263="Via San Rocco")*((PRENOTAZIONI!$B$3:$B$263*(PRENOTAZIONI!$B$3:$B$263&lt;DATE(2027,1,1))+DATE(2027,1,1)*(PRENOTAZIONI!$B$3:$B$263&gt;=DATE(2027,1,1)))-(PRENOTAZIONI!$A$3:$A$263*(PRENOTAZIONI!$A$3:$A$263&gt;DATE(2026,12,1))+DATE(2026,12,1)*(PRENOTAZIONI!$A$3:$A$263&lt;=DATE(2026,12,1)))))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5" s="72">
        <f>SUMPRODUCT((MONTH(PRENOTAZIONI!$A$3:$A$263)=12)*(YEAR(PRENOTAZIONI!$A$3:$A$263)=2026)*(PRENOTAZIONI!$D$3:$D$263="Via San Rocco"))</f>
        <v>0</v>
      </c>
      <c r="H205" s="67"/>
    </row>
    <row r="206" spans="1:8" ht="20" customHeight="1" x14ac:dyDescent="0.2">
      <c r="A206" s="67"/>
      <c r="B206" s="68" t="s">
        <v>60</v>
      </c>
      <c r="C206" s="69">
        <f>SUMPRODUCT((MONTH(PRENOTAZIONI!$A$3:$A$263)=12)*(YEAR(PRENOTAZIONI!$A$3:$A$263)=2026)*(PRENOTAZIONI!$D$3:$D$263="Via Cavour")*PRENOTAZIONI!$H$3:$H$263)</f>
        <v>0</v>
      </c>
      <c r="D206" s="70">
        <f t="shared" si="22"/>
        <v>0</v>
      </c>
      <c r="E206" s="71">
        <f>C206*0.1</f>
        <v>0</v>
      </c>
      <c r="F206" s="72">
        <f>SUMPRODUCT((PRENOTAZIONI!$A$3:$A$263&lt;DATE(2027,1,1))*(PRENOTAZIONI!$B$3:$B$263&gt;DATE(2026,12,1))*(YEAR(PRENOTAZIONI!$A$3:$A$263)=2026)*(PRENOTAZIONI!$D$3:$D$263="Via Cavour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6" s="72">
        <f>SUMPRODUCT((MONTH(PRENOTAZIONI!$A$3:$A$263)=12)*(YEAR(PRENOTAZIONI!$A$3:$A$263)=2026)*(PRENOTAZIONI!$D$3:$D$263="Via Cavour"))</f>
        <v>0</v>
      </c>
      <c r="H206" s="67"/>
    </row>
    <row r="207" spans="1:8" ht="20" customHeight="1" x14ac:dyDescent="0.2">
      <c r="A207" s="67"/>
      <c r="B207" s="68" t="s">
        <v>93</v>
      </c>
      <c r="C207" s="69">
        <f>SUMPRODUCT((MONTH(PRENOTAZIONI!$A$3:$A$263)=12)*(YEAR(PRENOTAZIONI!$A$3:$A$263)=2026)*(PRENOTAZIONI!$D$3:$D$263="Casa Letizia")*PRENOTAZIONI!$H$3:$H$263)</f>
        <v>0</v>
      </c>
      <c r="D207" s="70">
        <f t="shared" si="22"/>
        <v>0</v>
      </c>
      <c r="E207" s="71">
        <f t="shared" ref="E207:E215" si="23">C207*0.25</f>
        <v>0</v>
      </c>
      <c r="F207" s="72">
        <f>SUMPRODUCT((PRENOTAZIONI!$A$3:$A$263&lt;DATE(2027,1,1))*(PRENOTAZIONI!$B$3:$B$263&gt;DATE(2026,12,1))*(YEAR(PRENOTAZIONI!$A$3:$A$263)=2026)*(PRENOTAZIONI!$D$3:$D$263="Casa Letizi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7" s="72">
        <f>SUMPRODUCT((MONTH(PRENOTAZIONI!$A$3:$A$263)=12)*(YEAR(PRENOTAZIONI!$A$3:$A$263)=2026)*(PRENOTAZIONI!$D$3:$D$263="Casa Letizia"))</f>
        <v>0</v>
      </c>
      <c r="H207" s="67"/>
    </row>
    <row r="208" spans="1:8" ht="20" customHeight="1" x14ac:dyDescent="0.2">
      <c r="A208" s="67"/>
      <c r="B208" s="68" t="s">
        <v>96</v>
      </c>
      <c r="C208" s="69">
        <f>SUMPRODUCT((MONTH(PRENOTAZIONI!$A$3:$A$263)=12)*(YEAR(PRENOTAZIONI!$A$3:$A$263)=2026)*(PRENOTAZIONI!$D$3:$D$263="Miramare")*PRENOTAZIONI!$H$3:$H$263)</f>
        <v>0</v>
      </c>
      <c r="D208" s="70">
        <f t="shared" si="22"/>
        <v>0</v>
      </c>
      <c r="E208" s="71">
        <f t="shared" si="23"/>
        <v>0</v>
      </c>
      <c r="F208" s="72">
        <f>SUMPRODUCT((PRENOTAZIONI!$A$3:$A$263&lt;DATE(2027,1,1))*(PRENOTAZIONI!$B$3:$B$263&gt;DATE(2026,12,1))*(YEAR(PRENOTAZIONI!$A$3:$A$263)=2026)*(PRENOTAZIONI!$D$3:$D$263="Miramare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8" s="72">
        <f>SUMPRODUCT((MONTH(PRENOTAZIONI!$A$3:$A$263)=12)*(YEAR(PRENOTAZIONI!$A$3:$A$263)=2026)*(PRENOTAZIONI!$D$3:$D$263="Miramare"))</f>
        <v>0</v>
      </c>
      <c r="H208" s="67"/>
    </row>
    <row r="209" spans="1:8" ht="20" customHeight="1" x14ac:dyDescent="0.2">
      <c r="A209" s="67"/>
      <c r="B209" s="68" t="s">
        <v>69</v>
      </c>
      <c r="C209" s="69">
        <f>SUMPRODUCT((MONTH(PRENOTAZIONI!$A$3:$A$263)=12)*(YEAR(PRENOTAZIONI!$A$3:$A$263)=2026)*(PRENOTAZIONI!$D$3:$D$263="Agantonio")*PRENOTAZIONI!$H$3:$H$263)</f>
        <v>0</v>
      </c>
      <c r="D209" s="70">
        <f t="shared" si="22"/>
        <v>0</v>
      </c>
      <c r="E209" s="71">
        <f t="shared" si="23"/>
        <v>0</v>
      </c>
      <c r="F209" s="72">
        <f>SUMPRODUCT((PRENOTAZIONI!$A$3:$A$263&lt;DATE(2027,1,1))*(PRENOTAZIONI!$B$3:$B$263&gt;DATE(2026,12,1))*(YEAR(PRENOTAZIONI!$A$3:$A$263)=2026)*(PRENOTAZIONI!$D$3:$D$263="Agantonio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09" s="72">
        <f>SUMPRODUCT((MONTH(PRENOTAZIONI!$A$3:$A$263)=12)*(YEAR(PRENOTAZIONI!$A$3:$A$263)=2026)*(PRENOTAZIONI!$D$3:$D$263="Agantonio"))</f>
        <v>0</v>
      </c>
      <c r="H209" s="67"/>
    </row>
    <row r="210" spans="1:8" ht="20" customHeight="1" x14ac:dyDescent="0.2">
      <c r="A210" s="67"/>
      <c r="B210" s="68" t="s">
        <v>63</v>
      </c>
      <c r="C210" s="69">
        <f>SUMPRODUCT((MONTH(PRENOTAZIONI!$A$3:$A$263)=12)*(YEAR(PRENOTAZIONI!$A$3:$A$263)=2026)*(PRENOTAZIONI!$D$3:$D$263="Casa Bella Gialla")*PRENOTAZIONI!$H$3:$H$263)</f>
        <v>0</v>
      </c>
      <c r="D210" s="70">
        <f t="shared" si="22"/>
        <v>0</v>
      </c>
      <c r="E210" s="71">
        <f t="shared" si="23"/>
        <v>0</v>
      </c>
      <c r="F210" s="72">
        <f>SUMPRODUCT((PRENOTAZIONI!$A$3:$A$263&lt;DATE(2027,1,1))*(PRENOTAZIONI!$B$3:$B$263&gt;DATE(2026,12,1))*(YEAR(PRENOTAZIONI!$A$3:$A$263)=2026)*(PRENOTAZIONI!$D$3:$D$263="Casa Bella Giall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0" s="72">
        <f>SUMPRODUCT((MONTH(PRENOTAZIONI!$A$3:$A$263)=12)*(YEAR(PRENOTAZIONI!$A$3:$A$263)=2026)*(PRENOTAZIONI!$D$3:$D$263="Casa Bella Gialla"))</f>
        <v>0</v>
      </c>
      <c r="H210" s="67"/>
    </row>
    <row r="211" spans="1:8" ht="20" customHeight="1" x14ac:dyDescent="0.2">
      <c r="A211" s="67"/>
      <c r="B211" s="68" t="s">
        <v>115</v>
      </c>
      <c r="C211" s="69">
        <f>SUMPRODUCT((MONTH(PRENOTAZIONI!$A$3:$A$263)=12)*(YEAR(PRENOTAZIONI!$A$3:$A$263)=2026)*(PRENOTAZIONI!$D$3:$D$263="Casa Verde Oliva")*PRENOTAZIONI!$H$3:$H$263)</f>
        <v>0</v>
      </c>
      <c r="D211" s="70">
        <f t="shared" si="22"/>
        <v>0</v>
      </c>
      <c r="E211" s="71">
        <f t="shared" si="23"/>
        <v>0</v>
      </c>
      <c r="F211" s="72">
        <f>SUMPRODUCT((PRENOTAZIONI!$A$3:$A$263&lt;DATE(2027,1,1))*(PRENOTAZIONI!$B$3:$B$263&gt;DATE(2026,12,1))*(YEAR(PRENOTAZIONI!$A$3:$A$263)=2026)*(PRENOTAZIONI!$D$3:$D$263="Casa Verde Oliva")*((PRENOTAZIONI!$B$3:$B$263*(PRENOTAZIONI!$B$3:$B$263&lt;DATE(2027,1,1))+DATE(2027,1,1)*(PRENOTAZIONI!$B$3:$B$263&gt;=DATE(2027,1,1)))-(PRENOTAZIONI!$A$3:$A$263*(PRENOTAZIONI!$A$3:$A$263&gt;DATE(2026,12,1))+DATE(2026,12,1)*(PRENOTAZIONI!$A$3:$A$263&lt;=DATE(2026,12,1)))))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1" s="72">
        <f>SUMPRODUCT((MONTH(PRENOTAZIONI!$A$3:$A$263)=12)*(YEAR(PRENOTAZIONI!$A$3:$A$263)=2026)*(PRENOTAZIONI!$D$3:$D$263="Casa Verde Oliva"))</f>
        <v>0</v>
      </c>
      <c r="H211" s="67"/>
    </row>
    <row r="212" spans="1:8" ht="20" customHeight="1" x14ac:dyDescent="0.2">
      <c r="A212" s="67"/>
      <c r="B212" s="68" t="s">
        <v>171</v>
      </c>
      <c r="C212" s="69">
        <f>SUMPRODUCT((MONTH(PRENOTAZIONI!$A$3:$A$263)=12)*(YEAR(PRENOTAZIONI!$A$3:$A$263)=2026)*(PRENOTAZIONI!$D$3:$D$263="Casa Nicola")*PRENOTAZIONI!$H$3:$H$263)</f>
        <v>0</v>
      </c>
      <c r="D212" s="70">
        <f t="shared" si="22"/>
        <v>0</v>
      </c>
      <c r="E212" s="71">
        <f t="shared" si="23"/>
        <v>0</v>
      </c>
      <c r="F212" s="72">
        <f>SUMPRODUCT((PRENOTAZIONI!$A$3:$A$263&lt;DATE(2027,1,1))*(PRENOTAZIONI!$B$3:$B$263&gt;DATE(2026,12,1))*(YEAR(PRENOTAZIONI!$A$3:$A$263)=2026)*(PRENOTAZIONI!$D$3:$D$263="Casa Nicol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2" s="72">
        <f>SUMPRODUCT((MONTH(PRENOTAZIONI!$A$3:$A$263)=12)*(YEAR(PRENOTAZIONI!$A$3:$A$263)=2026)*(PRENOTAZIONI!$D$3:$D$263="Casa Nicola"))</f>
        <v>0</v>
      </c>
      <c r="H212" s="67"/>
    </row>
    <row r="213" spans="1:8" ht="20" customHeight="1" x14ac:dyDescent="0.2">
      <c r="A213" s="67"/>
      <c r="B213" s="68" t="s">
        <v>172</v>
      </c>
      <c r="C213" s="69">
        <f>SUMPRODUCT((MONTH(PRENOTAZIONI!$A$3:$A$263)=12)*(YEAR(PRENOTAZIONI!$A$3:$A$263)=2026)*(PRENOTAZIONI!$D$3:$D$263="White Cottage")*PRENOTAZIONI!$H$3:$H$263)</f>
        <v>0</v>
      </c>
      <c r="D213" s="70">
        <f t="shared" si="22"/>
        <v>0</v>
      </c>
      <c r="E213" s="71">
        <f t="shared" si="23"/>
        <v>0</v>
      </c>
      <c r="F213" s="72">
        <f>SUMPRODUCT((PRENOTAZIONI!$A$3:$A$263&lt;DATE(2027,1,1))*(PRENOTAZIONI!$B$3:$B$263&gt;DATE(2026,12,1))*(YEAR(PRENOTAZIONI!$A$3:$A$263)=2026)*(PRENOTAZIONI!$D$3:$D$263="White Cottage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3" s="72">
        <f>SUMPRODUCT((MONTH(PRENOTAZIONI!$A$3:$A$263)=12)*(YEAR(PRENOTAZIONI!$A$3:$A$263)=2026)*(PRENOTAZIONI!$D$3:$D$263="White Cottage"))</f>
        <v>0</v>
      </c>
      <c r="H213" s="67"/>
    </row>
    <row r="214" spans="1:8" ht="20" customHeight="1" x14ac:dyDescent="0.2">
      <c r="A214" s="67"/>
      <c r="B214" s="68" t="s">
        <v>98</v>
      </c>
      <c r="C214" s="69">
        <f>SUMPRODUCT((MONTH(PRENOTAZIONI!$A$3:$A$263)=12)*(YEAR(PRENOTAZIONI!$A$3:$A$263)=2026)*(PRENOTAZIONI!$D$3:$D$263="Villa Nella")*PRENOTAZIONI!$H$3:$H$263)</f>
        <v>0</v>
      </c>
      <c r="D214" s="70">
        <f t="shared" si="22"/>
        <v>0</v>
      </c>
      <c r="E214" s="71">
        <f t="shared" si="23"/>
        <v>0</v>
      </c>
      <c r="F214" s="72">
        <f>SUMPRODUCT((PRENOTAZIONI!$A$3:$A$263&lt;DATE(2027,1,1))*(PRENOTAZIONI!$B$3:$B$263&gt;DATE(2026,12,1))*(YEAR(PRENOTAZIONI!$A$3:$A$263)=2026)*(PRENOTAZIONI!$D$3:$D$263="Villa Nella")*((PRENOTAZIONI!$B$3:$B$263*(PRENOTAZIONI!$B$3:$B$263&lt;DATE(2027,1,1))+DATE(2027,1,1)*(PRENOTAZIONI!$B$3:$B$263&gt;=DATE(2027,1,1)))-(PRENOTAZIONI!$A$3:$A$263*(PRENOTAZIONI!$A$3:$A$263&gt;DATE(2026,12,1))+DATE(2026,12,1)*(PRENOTAZIONI!$A$3:$A$263&lt;=DATE(2026,12,1)))))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4" s="72">
        <f>SUMPRODUCT((MONTH(PRENOTAZIONI!$A$3:$A$263)=12)*(YEAR(PRENOTAZIONI!$A$3:$A$263)=2026)*(PRENOTAZIONI!$D$3:$D$263="Villa Nella"))</f>
        <v>0</v>
      </c>
      <c r="H214" s="67"/>
    </row>
    <row r="215" spans="1:8" ht="20" customHeight="1" x14ac:dyDescent="0.2">
      <c r="A215" s="67"/>
      <c r="B215" s="68" t="s">
        <v>125</v>
      </c>
      <c r="C215" s="69">
        <f>SUMPRODUCT((MONTH(PRENOTAZIONI!$A$3:$A$263)=12)*(YEAR(PRENOTAZIONI!$A$3:$A$263)=2026)*(PRENOTAZIONI!$D$3:$D$263="Nel Cuore di Lanciano")*PRENOTAZIONI!$H$3:$H$263)</f>
        <v>0</v>
      </c>
      <c r="D215" s="70">
        <f t="shared" si="22"/>
        <v>0</v>
      </c>
      <c r="E215" s="71">
        <f t="shared" si="23"/>
        <v>0</v>
      </c>
      <c r="F215" s="72">
        <f>SUMPRODUCT((PRENOTAZIONI!$A$3:$A$263&lt;DATE(2027,1,1))*(PRENOTAZIONI!$B$3:$B$263&gt;DATE(2026,12,1))*(YEAR(PRENOTAZIONI!$A$3:$A$263)=2026)*(PRENOTAZIONI!$D$3:$D$263="Nel Cuore di Lanciano")*((PRENOTAZIONI!$B$3:$B$263*(PRENOTAZIONI!$B$3:$B$263&lt;DATE(2027,1,1))+DATE(2027,1,1)*(PRENOTAZIONI!$B$3:$B$263&gt;=DATE(2027,1,1)))-(PRENOTAZIONI!$A$3:$A$263*(PRENOTAZIONI!$A$3:$A$263&gt;DATE(2026,12,1))+DATE(2026,12,1)*(PRENOTAZIONI!$A$3:$A$263&lt;=DATE(2026,12,1)))))</f>
        <v>0</v>
      </c>
      <c r="G215" s="72">
        <f>SUMPRODUCT((MONTH(PRENOTAZIONI!$A$3:$A$263)=12)*(YEAR(PRENOTAZIONI!$A$3:$A$263)=2026)*(PRENOTAZIONI!$D$3:$D$263="Nel Cuore di Lanciano"))</f>
        <v>0</v>
      </c>
      <c r="H215" s="67"/>
    </row>
    <row r="216" spans="1:8" ht="24" customHeight="1" x14ac:dyDescent="0.2">
      <c r="A216" s="63"/>
      <c r="B216" s="73" t="s">
        <v>147</v>
      </c>
      <c r="C216" s="74">
        <f>SUM(C202:C215)</f>
        <v>0</v>
      </c>
      <c r="D216" s="74">
        <f>SUM(D202:D215)</f>
        <v>0</v>
      </c>
      <c r="E216" s="74">
        <f>SUM(E202:E215)</f>
        <v>0</v>
      </c>
      <c r="F216" s="75">
        <f>SUM(F202:F215)</f>
        <v>0</v>
      </c>
      <c r="G216" s="75">
        <f>SUM(G202:G215)</f>
        <v>0</v>
      </c>
      <c r="H216" s="63"/>
    </row>
  </sheetData>
  <mergeCells count="1">
    <mergeCell ref="A1:B1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E19"/>
  <sheetViews>
    <sheetView topLeftCell="A7" zoomScale="198" zoomScaleNormal="198" workbookViewId="0">
      <selection activeCell="C4" sqref="C4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5" width="16" customWidth="1"/>
    <col min="6" max="6" width="2" customWidth="1"/>
  </cols>
  <sheetData>
    <row r="1" spans="1:5" ht="36" customHeight="1" x14ac:dyDescent="0.2">
      <c r="A1" s="123"/>
      <c r="B1" s="124" t="s">
        <v>193</v>
      </c>
      <c r="C1" s="123"/>
      <c r="D1" s="123"/>
      <c r="E1" s="123"/>
    </row>
    <row r="2" spans="1:5" ht="8" customHeight="1" x14ac:dyDescent="0.2"/>
    <row r="3" spans="1:5" ht="28" customHeight="1" x14ac:dyDescent="0.2">
      <c r="A3" s="125"/>
      <c r="B3" s="125" t="s">
        <v>175</v>
      </c>
      <c r="C3" s="125" t="s">
        <v>178</v>
      </c>
      <c r="D3" s="125" t="s">
        <v>194</v>
      </c>
      <c r="E3" s="125" t="s">
        <v>195</v>
      </c>
    </row>
    <row r="4" spans="1:5" ht="22" customHeight="1" x14ac:dyDescent="0.2">
      <c r="A4" s="126"/>
      <c r="B4" s="127" t="s">
        <v>174</v>
      </c>
      <c r="C4" s="128">
        <f>RIEPILOGO!E18</f>
        <v>200.14</v>
      </c>
      <c r="D4" s="129">
        <f t="shared" ref="D4:D15" si="0">C4*0.4*0.05</f>
        <v>4.0027999999999997</v>
      </c>
      <c r="E4" s="130">
        <f t="shared" ref="E4:E15" si="1">C4-D4</f>
        <v>196.13719999999998</v>
      </c>
    </row>
    <row r="5" spans="1:5" ht="22" customHeight="1" x14ac:dyDescent="0.2">
      <c r="A5" s="126"/>
      <c r="B5" s="127" t="s">
        <v>182</v>
      </c>
      <c r="C5" s="128">
        <f>RIEPILOGO!E36</f>
        <v>309.28250000000003</v>
      </c>
      <c r="D5" s="129">
        <f t="shared" si="0"/>
        <v>6.1856500000000016</v>
      </c>
      <c r="E5" s="130">
        <f t="shared" si="1"/>
        <v>303.09685000000002</v>
      </c>
    </row>
    <row r="6" spans="1:5" ht="22" customHeight="1" x14ac:dyDescent="0.2">
      <c r="A6" s="126"/>
      <c r="B6" s="127" t="s">
        <v>183</v>
      </c>
      <c r="C6" s="128">
        <f>RIEPILOGO!E54</f>
        <v>220.9265</v>
      </c>
      <c r="D6" s="129">
        <f t="shared" si="0"/>
        <v>4.4185300000000005</v>
      </c>
      <c r="E6" s="130">
        <f t="shared" si="1"/>
        <v>216.50797</v>
      </c>
    </row>
    <row r="7" spans="1:5" ht="22" customHeight="1" x14ac:dyDescent="0.2">
      <c r="A7" s="126"/>
      <c r="B7" s="127" t="s">
        <v>184</v>
      </c>
      <c r="C7" s="128">
        <f>RIEPILOGO!E72</f>
        <v>962.39949999999999</v>
      </c>
      <c r="D7" s="129">
        <f t="shared" si="0"/>
        <v>19.247990000000001</v>
      </c>
      <c r="E7" s="130">
        <f t="shared" si="1"/>
        <v>943.15151000000003</v>
      </c>
    </row>
    <row r="8" spans="1:5" ht="22" customHeight="1" x14ac:dyDescent="0.2">
      <c r="A8" s="126"/>
      <c r="B8" s="127" t="s">
        <v>185</v>
      </c>
      <c r="C8" s="128">
        <f>RIEPILOGO!E90</f>
        <v>299.22550000000001</v>
      </c>
      <c r="D8" s="129">
        <f t="shared" si="0"/>
        <v>5.9845100000000002</v>
      </c>
      <c r="E8" s="130">
        <f t="shared" si="1"/>
        <v>293.24099000000001</v>
      </c>
    </row>
    <row r="9" spans="1:5" ht="22" customHeight="1" x14ac:dyDescent="0.2">
      <c r="A9" s="126"/>
      <c r="B9" s="127" t="s">
        <v>186</v>
      </c>
      <c r="C9" s="128">
        <f>RIEPILOGO!E108</f>
        <v>1864.3620000000001</v>
      </c>
      <c r="D9" s="129">
        <f t="shared" si="0"/>
        <v>37.287240000000004</v>
      </c>
      <c r="E9" s="130">
        <f t="shared" si="1"/>
        <v>1827.07476</v>
      </c>
    </row>
    <row r="10" spans="1:5" ht="22" customHeight="1" x14ac:dyDescent="0.2">
      <c r="A10" s="126"/>
      <c r="B10" s="127" t="s">
        <v>187</v>
      </c>
      <c r="C10" s="128">
        <f>RIEPILOGO!E126</f>
        <v>6165.9880000000003</v>
      </c>
      <c r="D10" s="129">
        <f t="shared" si="0"/>
        <v>123.31976000000003</v>
      </c>
      <c r="E10" s="130">
        <f t="shared" si="1"/>
        <v>6042.66824</v>
      </c>
    </row>
    <row r="11" spans="1:5" ht="22" customHeight="1" x14ac:dyDescent="0.2">
      <c r="A11" s="126"/>
      <c r="B11" s="127" t="s">
        <v>188</v>
      </c>
      <c r="C11" s="128">
        <f>RIEPILOGO!E144</f>
        <v>8761.7309999999998</v>
      </c>
      <c r="D11" s="129">
        <f t="shared" si="0"/>
        <v>175.23462000000001</v>
      </c>
      <c r="E11" s="130">
        <f t="shared" si="1"/>
        <v>8586.4963800000005</v>
      </c>
    </row>
    <row r="12" spans="1:5" ht="22" customHeight="1" x14ac:dyDescent="0.2">
      <c r="A12" s="126"/>
      <c r="B12" s="127" t="s">
        <v>189</v>
      </c>
      <c r="C12" s="128">
        <f>RIEPILOGO!E162</f>
        <v>411.75</v>
      </c>
      <c r="D12" s="129">
        <f t="shared" si="0"/>
        <v>8.2350000000000012</v>
      </c>
      <c r="E12" s="130">
        <f t="shared" si="1"/>
        <v>403.51499999999999</v>
      </c>
    </row>
    <row r="13" spans="1:5" ht="22" customHeight="1" x14ac:dyDescent="0.2">
      <c r="A13" s="126"/>
      <c r="B13" s="127" t="s">
        <v>190</v>
      </c>
      <c r="C13" s="128">
        <f>RIEPILOGO!E180</f>
        <v>17</v>
      </c>
      <c r="D13" s="129">
        <f t="shared" si="0"/>
        <v>0.34000000000000008</v>
      </c>
      <c r="E13" s="130">
        <f t="shared" si="1"/>
        <v>16.66</v>
      </c>
    </row>
    <row r="14" spans="1:5" ht="22" customHeight="1" x14ac:dyDescent="0.2">
      <c r="A14" s="126"/>
      <c r="B14" s="127" t="s">
        <v>191</v>
      </c>
      <c r="C14" s="128">
        <f>RIEPILOGO!E198</f>
        <v>0</v>
      </c>
      <c r="D14" s="129">
        <f t="shared" si="0"/>
        <v>0</v>
      </c>
      <c r="E14" s="130">
        <f t="shared" si="1"/>
        <v>0</v>
      </c>
    </row>
    <row r="15" spans="1:5" ht="22" customHeight="1" x14ac:dyDescent="0.2">
      <c r="A15" s="126"/>
      <c r="B15" s="127" t="s">
        <v>192</v>
      </c>
      <c r="C15" s="128">
        <f>RIEPILOGO!E216</f>
        <v>0</v>
      </c>
      <c r="D15" s="129">
        <f t="shared" si="0"/>
        <v>0</v>
      </c>
      <c r="E15" s="130">
        <f t="shared" si="1"/>
        <v>0</v>
      </c>
    </row>
    <row r="16" spans="1:5" ht="4" customHeight="1" x14ac:dyDescent="0.2"/>
    <row r="17" spans="1:5" ht="28" customHeight="1" x14ac:dyDescent="0.2">
      <c r="A17" s="123"/>
      <c r="B17" s="131" t="s">
        <v>196</v>
      </c>
      <c r="C17" s="132">
        <f>SUM(C4:C15)</f>
        <v>19212.805</v>
      </c>
      <c r="D17" s="133">
        <f>SUM(D4:D15)</f>
        <v>384.2561</v>
      </c>
      <c r="E17" s="134">
        <f>SUM(E4:E15)</f>
        <v>18828.548899999998</v>
      </c>
    </row>
    <row r="18" spans="1:5" ht="8" customHeight="1" x14ac:dyDescent="0.2"/>
    <row r="19" spans="1:5" x14ac:dyDescent="0.2">
      <c r="B19" s="135" t="s">
        <v>197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5700"/>
    <pageSetUpPr fitToPage="1"/>
  </sheetPr>
  <dimension ref="A1:Z27"/>
  <sheetViews>
    <sheetView zoomScale="130" zoomScaleNormal="130" workbookViewId="0">
      <selection activeCell="C11" activeCellId="7" sqref="E3 E5 C6 C8 C7 C9 C10 C11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9" customWidth="1"/>
    <col min="4" max="10" width="10" customWidth="1"/>
    <col min="13" max="13" width="24" bestFit="1" customWidth="1"/>
    <col min="14" max="14" width="13.6640625" style="91" customWidth="1"/>
    <col min="15" max="15" width="15.33203125" bestFit="1" customWidth="1"/>
    <col min="22" max="22" width="24" bestFit="1" customWidth="1"/>
    <col min="23" max="23" width="9" customWidth="1"/>
    <col min="24" max="24" width="15.33203125" bestFit="1" customWidth="1"/>
  </cols>
  <sheetData>
    <row r="1" spans="1:26" ht="36" customHeight="1" x14ac:dyDescent="0.2">
      <c r="A1" s="280" t="s">
        <v>198</v>
      </c>
      <c r="B1" s="281"/>
      <c r="C1" s="281"/>
      <c r="D1" s="281"/>
      <c r="E1" s="281"/>
      <c r="F1" s="281"/>
      <c r="G1" s="281"/>
      <c r="H1" s="281"/>
      <c r="I1" s="281"/>
      <c r="J1" s="282"/>
      <c r="U1" s="93"/>
      <c r="V1" s="93"/>
      <c r="W1" s="93"/>
      <c r="X1" s="93"/>
      <c r="Y1" s="93"/>
      <c r="Z1" s="93"/>
    </row>
    <row r="2" spans="1:26" ht="26" customHeight="1" thickBot="1" x14ac:dyDescent="0.25">
      <c r="A2" s="106" t="s">
        <v>199</v>
      </c>
      <c r="B2" s="106" t="s">
        <v>200</v>
      </c>
      <c r="C2" s="106" t="s">
        <v>201</v>
      </c>
      <c r="D2" s="106" t="s">
        <v>202</v>
      </c>
      <c r="E2" s="106" t="s">
        <v>203</v>
      </c>
      <c r="F2" s="106" t="s">
        <v>204</v>
      </c>
      <c r="G2" s="106" t="s">
        <v>205</v>
      </c>
      <c r="H2" s="106" t="s">
        <v>206</v>
      </c>
      <c r="I2" s="106" t="s">
        <v>207</v>
      </c>
      <c r="J2" s="106" t="s">
        <v>208</v>
      </c>
      <c r="M2" s="139" t="s">
        <v>209</v>
      </c>
      <c r="N2" s="139" t="s">
        <v>147</v>
      </c>
      <c r="O2" s="139" t="s">
        <v>169</v>
      </c>
      <c r="U2" s="93"/>
      <c r="V2" s="100"/>
      <c r="W2" s="100"/>
      <c r="X2" s="100"/>
      <c r="Y2" s="93"/>
      <c r="Z2" s="93"/>
    </row>
    <row r="3" spans="1:26" ht="20" customHeight="1" x14ac:dyDescent="0.2">
      <c r="A3" s="8" t="s">
        <v>210</v>
      </c>
      <c r="B3" s="28">
        <v>0.49</v>
      </c>
      <c r="C3" s="28">
        <v>0.98</v>
      </c>
      <c r="D3" s="28">
        <v>1.47</v>
      </c>
      <c r="E3" s="28">
        <v>1.96</v>
      </c>
      <c r="F3" s="28">
        <v>2.4500000000000002</v>
      </c>
      <c r="G3" s="28">
        <v>2.94</v>
      </c>
      <c r="H3" s="28">
        <v>3.43</v>
      </c>
      <c r="I3" s="28">
        <v>3.92</v>
      </c>
      <c r="J3" s="28">
        <v>4.41</v>
      </c>
      <c r="M3" s="140" t="s">
        <v>211</v>
      </c>
      <c r="N3" s="141">
        <v>7.14</v>
      </c>
      <c r="O3" s="142"/>
      <c r="U3" s="93"/>
      <c r="V3" s="136"/>
      <c r="W3" s="137"/>
      <c r="X3" s="138"/>
      <c r="Y3" s="93"/>
      <c r="Z3" s="93"/>
    </row>
    <row r="4" spans="1:26" ht="20" customHeight="1" x14ac:dyDescent="0.2">
      <c r="A4" s="14" t="s">
        <v>212</v>
      </c>
      <c r="B4" s="29">
        <v>1.1000000000000001</v>
      </c>
      <c r="C4" s="29">
        <v>2.2000000000000002</v>
      </c>
      <c r="D4" s="29">
        <v>3.3</v>
      </c>
      <c r="E4" s="29">
        <v>4.4000000000000004</v>
      </c>
      <c r="F4" s="29">
        <v>5.5</v>
      </c>
      <c r="G4" s="29">
        <v>6.6</v>
      </c>
      <c r="H4" s="29">
        <v>7.7</v>
      </c>
      <c r="I4" s="29">
        <v>8.8000000000000007</v>
      </c>
      <c r="J4" s="29">
        <v>9.9</v>
      </c>
      <c r="M4" s="140" t="s">
        <v>213</v>
      </c>
      <c r="N4" s="141">
        <v>10.38</v>
      </c>
      <c r="O4" s="142"/>
      <c r="U4" s="93"/>
      <c r="V4" s="136"/>
      <c r="W4" s="137"/>
      <c r="X4" s="138"/>
      <c r="Y4" s="93"/>
      <c r="Z4" s="93"/>
    </row>
    <row r="5" spans="1:26" ht="20" customHeight="1" x14ac:dyDescent="0.2">
      <c r="A5" s="8" t="s">
        <v>214</v>
      </c>
      <c r="B5" s="28">
        <v>1.46</v>
      </c>
      <c r="C5" s="28">
        <v>2.92</v>
      </c>
      <c r="D5" s="28">
        <v>4.38</v>
      </c>
      <c r="E5" s="28">
        <v>5.84</v>
      </c>
      <c r="F5" s="28">
        <v>7.3</v>
      </c>
      <c r="G5" s="28">
        <v>8.76</v>
      </c>
      <c r="H5" s="28">
        <v>10.220000000000001</v>
      </c>
      <c r="I5" s="28">
        <v>11.68</v>
      </c>
      <c r="J5" s="28">
        <v>13.14</v>
      </c>
      <c r="M5" s="140" t="s">
        <v>215</v>
      </c>
      <c r="N5" s="141">
        <v>13.07</v>
      </c>
      <c r="O5" s="142"/>
      <c r="U5" s="93"/>
      <c r="V5" s="136"/>
      <c r="W5" s="137"/>
      <c r="X5" s="138"/>
      <c r="Y5" s="93"/>
      <c r="Z5" s="93"/>
    </row>
    <row r="6" spans="1:26" ht="20" customHeight="1" x14ac:dyDescent="0.2">
      <c r="A6" s="14" t="s">
        <v>216</v>
      </c>
      <c r="B6" s="29">
        <v>1.46</v>
      </c>
      <c r="C6" s="29">
        <v>2.92</v>
      </c>
      <c r="D6" s="29">
        <v>4.38</v>
      </c>
      <c r="E6" s="29">
        <v>5.84</v>
      </c>
      <c r="F6" s="29">
        <v>7.3</v>
      </c>
      <c r="G6" s="29">
        <v>8.76</v>
      </c>
      <c r="H6" s="29">
        <v>10.220000000000001</v>
      </c>
      <c r="I6" s="29">
        <v>11.68</v>
      </c>
      <c r="J6" s="29">
        <v>13.14</v>
      </c>
      <c r="M6" s="140" t="s">
        <v>217</v>
      </c>
      <c r="N6" s="141">
        <v>14.28</v>
      </c>
      <c r="O6" s="142"/>
      <c r="U6" s="93"/>
      <c r="V6" s="136"/>
      <c r="W6" s="137"/>
      <c r="X6" s="138"/>
      <c r="Y6" s="93"/>
      <c r="Z6" s="93"/>
    </row>
    <row r="7" spans="1:26" ht="20" customHeight="1" x14ac:dyDescent="0.2">
      <c r="A7" s="8" t="s">
        <v>218</v>
      </c>
      <c r="B7" s="28">
        <v>0.73</v>
      </c>
      <c r="C7" s="28">
        <v>1.46</v>
      </c>
      <c r="D7" s="28">
        <v>2.19</v>
      </c>
      <c r="E7" s="28">
        <v>2.92</v>
      </c>
      <c r="F7" s="28">
        <v>3.65</v>
      </c>
      <c r="G7" s="28">
        <v>4.38</v>
      </c>
      <c r="H7" s="28">
        <v>5.1100000000000003</v>
      </c>
      <c r="I7" s="28">
        <v>5.84</v>
      </c>
      <c r="J7" s="28">
        <v>6.57</v>
      </c>
      <c r="M7" s="140" t="s">
        <v>219</v>
      </c>
      <c r="N7" s="141">
        <v>11.86</v>
      </c>
      <c r="O7" s="142"/>
      <c r="U7" s="93"/>
      <c r="V7" s="136"/>
      <c r="W7" s="137"/>
      <c r="X7" s="138"/>
      <c r="Y7" s="93"/>
      <c r="Z7" s="93"/>
    </row>
    <row r="8" spans="1:26" ht="20" customHeight="1" x14ac:dyDescent="0.2">
      <c r="A8" s="14" t="s">
        <v>220</v>
      </c>
      <c r="B8" s="29">
        <v>0.36</v>
      </c>
      <c r="C8" s="29">
        <v>0.72</v>
      </c>
      <c r="D8" s="29">
        <v>1.08</v>
      </c>
      <c r="E8" s="29">
        <v>1.44</v>
      </c>
      <c r="F8" s="29">
        <v>1.8</v>
      </c>
      <c r="G8" s="29">
        <v>2.16</v>
      </c>
      <c r="H8" s="29">
        <v>2.52</v>
      </c>
      <c r="I8" s="29">
        <v>2.88</v>
      </c>
      <c r="J8" s="29">
        <v>3.24</v>
      </c>
      <c r="M8" s="140" t="s">
        <v>221</v>
      </c>
      <c r="N8" s="141">
        <v>16.309999999999999</v>
      </c>
      <c r="O8" s="142" t="s">
        <v>222</v>
      </c>
      <c r="U8" s="93"/>
      <c r="V8" s="136"/>
      <c r="W8" s="137"/>
      <c r="X8" s="138"/>
      <c r="Y8" s="93"/>
      <c r="Z8" s="93"/>
    </row>
    <row r="9" spans="1:26" ht="20" customHeight="1" x14ac:dyDescent="0.2">
      <c r="A9" s="8" t="s">
        <v>223</v>
      </c>
      <c r="B9" s="28">
        <v>0.23</v>
      </c>
      <c r="C9" s="28">
        <v>0.46</v>
      </c>
      <c r="D9" s="28">
        <v>0.69</v>
      </c>
      <c r="E9" s="28">
        <v>0.92</v>
      </c>
      <c r="F9" s="28">
        <v>1.1499999999999999</v>
      </c>
      <c r="G9" s="28">
        <v>1.38</v>
      </c>
      <c r="H9" s="28">
        <v>1.61</v>
      </c>
      <c r="I9" s="28">
        <v>1.84</v>
      </c>
      <c r="J9" s="28">
        <v>2.0699999999999998</v>
      </c>
      <c r="M9" s="140" t="s">
        <v>224</v>
      </c>
      <c r="N9" s="141">
        <v>17.52</v>
      </c>
      <c r="O9" s="142"/>
      <c r="U9" s="93"/>
      <c r="V9" s="136"/>
      <c r="W9" s="137"/>
      <c r="X9" s="138"/>
      <c r="Y9" s="93"/>
      <c r="Z9" s="93"/>
    </row>
    <row r="10" spans="1:26" ht="20" customHeight="1" x14ac:dyDescent="0.2">
      <c r="A10" s="14" t="s">
        <v>225</v>
      </c>
      <c r="B10" s="29">
        <v>0.23</v>
      </c>
      <c r="C10" s="29">
        <v>0.46</v>
      </c>
      <c r="D10" s="29">
        <v>0.69</v>
      </c>
      <c r="E10" s="29">
        <v>0.92</v>
      </c>
      <c r="F10" s="29">
        <v>1.1499999999999999</v>
      </c>
      <c r="G10" s="29">
        <v>1.38</v>
      </c>
      <c r="H10" s="29">
        <v>1.61</v>
      </c>
      <c r="I10" s="29">
        <v>1.84</v>
      </c>
      <c r="J10" s="29">
        <v>2.0699999999999998</v>
      </c>
      <c r="M10" s="140" t="s">
        <v>226</v>
      </c>
      <c r="N10" s="141">
        <v>22.24</v>
      </c>
      <c r="O10" s="142"/>
      <c r="U10" s="93"/>
      <c r="V10" s="136"/>
      <c r="W10" s="137"/>
      <c r="X10" s="138"/>
      <c r="Y10" s="93"/>
      <c r="Z10" s="93"/>
    </row>
    <row r="11" spans="1:26" ht="20" customHeight="1" x14ac:dyDescent="0.2">
      <c r="A11" s="8" t="s">
        <v>227</v>
      </c>
      <c r="B11" s="28">
        <v>0.23</v>
      </c>
      <c r="C11" s="28">
        <v>0.46</v>
      </c>
      <c r="D11" s="28">
        <v>0.69</v>
      </c>
      <c r="E11" s="28">
        <v>0.92</v>
      </c>
      <c r="F11" s="28">
        <v>1.1499999999999999</v>
      </c>
      <c r="G11" s="28">
        <v>1.38</v>
      </c>
      <c r="H11" s="28">
        <v>1.61</v>
      </c>
      <c r="I11" s="28">
        <v>1.84</v>
      </c>
      <c r="J11" s="28">
        <v>2.0699999999999998</v>
      </c>
      <c r="M11" s="140" t="s">
        <v>228</v>
      </c>
      <c r="N11" s="141">
        <v>20.76</v>
      </c>
      <c r="O11" s="142"/>
      <c r="U11" s="93"/>
      <c r="V11" s="136"/>
      <c r="W11" s="137"/>
      <c r="X11" s="138"/>
      <c r="Y11" s="93"/>
      <c r="Z11" s="93"/>
    </row>
    <row r="12" spans="1:26" ht="20" customHeight="1" x14ac:dyDescent="0.2">
      <c r="M12" s="140" t="s">
        <v>229</v>
      </c>
      <c r="N12" s="141">
        <v>26.14</v>
      </c>
      <c r="O12" s="142"/>
      <c r="U12" s="93"/>
      <c r="V12" s="136"/>
      <c r="W12" s="137"/>
      <c r="X12" s="138"/>
      <c r="Y12" s="93"/>
      <c r="Z12" s="93"/>
    </row>
    <row r="13" spans="1:26" ht="20" customHeight="1" x14ac:dyDescent="0.2">
      <c r="M13" s="140" t="s">
        <v>230</v>
      </c>
      <c r="N13" s="141">
        <v>28.17</v>
      </c>
      <c r="O13" s="142" t="s">
        <v>231</v>
      </c>
      <c r="U13" s="93"/>
      <c r="V13" s="136"/>
      <c r="W13" s="137"/>
      <c r="X13" s="138"/>
      <c r="Y13" s="93"/>
      <c r="Z13" s="93"/>
    </row>
    <row r="14" spans="1:26" ht="20" customHeight="1" x14ac:dyDescent="0.2">
      <c r="A14" s="100"/>
      <c r="B14" s="100"/>
      <c r="C14" s="100"/>
      <c r="D14" s="93"/>
      <c r="E14" s="93"/>
      <c r="M14" s="140" t="s">
        <v>232</v>
      </c>
      <c r="N14" s="141">
        <v>32.07</v>
      </c>
      <c r="O14" s="142"/>
      <c r="U14" s="93"/>
      <c r="V14" s="136"/>
      <c r="W14" s="137"/>
      <c r="X14" s="138"/>
      <c r="Y14" s="93"/>
      <c r="Z14" s="93"/>
    </row>
    <row r="15" spans="1:26" ht="20" customHeight="1" x14ac:dyDescent="0.2">
      <c r="A15" s="136"/>
      <c r="B15" s="137"/>
      <c r="C15" s="138"/>
      <c r="D15" s="93"/>
      <c r="E15" s="93"/>
      <c r="M15" s="140" t="s">
        <v>233</v>
      </c>
      <c r="N15" s="141">
        <v>33.28</v>
      </c>
      <c r="O15" s="142"/>
      <c r="U15" s="93"/>
      <c r="V15" s="136"/>
      <c r="W15" s="137"/>
      <c r="X15" s="138"/>
      <c r="Y15" s="93"/>
      <c r="Z15" s="93"/>
    </row>
    <row r="16" spans="1:26" ht="20" customHeight="1" x14ac:dyDescent="0.2">
      <c r="A16" s="136"/>
      <c r="B16" s="137"/>
      <c r="C16" s="138"/>
      <c r="D16" s="93"/>
      <c r="E16" s="93"/>
      <c r="M16" s="140" t="s">
        <v>234</v>
      </c>
      <c r="N16" s="141">
        <v>32.619999999999997</v>
      </c>
      <c r="O16" s="142"/>
      <c r="U16" s="93"/>
      <c r="V16" s="93"/>
      <c r="W16" s="93"/>
      <c r="X16" s="93"/>
      <c r="Y16" s="93"/>
      <c r="Z16" s="93"/>
    </row>
    <row r="17" spans="1:26" ht="20" customHeight="1" x14ac:dyDescent="0.2">
      <c r="A17" s="136"/>
      <c r="B17" s="137"/>
      <c r="C17" s="138"/>
      <c r="D17" s="93"/>
      <c r="E17" s="93"/>
      <c r="M17" s="140" t="s">
        <v>235</v>
      </c>
      <c r="N17" s="141">
        <v>35.31</v>
      </c>
      <c r="O17" s="142"/>
      <c r="U17" s="93"/>
      <c r="V17" s="93"/>
      <c r="W17" s="93"/>
      <c r="X17" s="93"/>
      <c r="Y17" s="93"/>
      <c r="Z17" s="93"/>
    </row>
    <row r="18" spans="1:26" ht="20" customHeight="1" x14ac:dyDescent="0.2">
      <c r="A18" s="136"/>
      <c r="B18" s="137"/>
      <c r="C18" s="138"/>
      <c r="D18" s="93"/>
      <c r="E18" s="93"/>
      <c r="M18" s="140" t="s">
        <v>236</v>
      </c>
      <c r="N18" s="141">
        <v>36.520000000000003</v>
      </c>
      <c r="O18" s="142"/>
      <c r="U18" s="93"/>
      <c r="V18" s="93"/>
      <c r="W18" s="93"/>
      <c r="X18" s="93"/>
      <c r="Y18" s="93"/>
      <c r="Z18" s="93"/>
    </row>
    <row r="19" spans="1:26" ht="20" customHeight="1" x14ac:dyDescent="0.2">
      <c r="A19" s="136"/>
      <c r="B19" s="137"/>
      <c r="C19" s="138"/>
      <c r="D19" s="93"/>
      <c r="E19" s="93"/>
      <c r="M19" s="140" t="s">
        <v>237</v>
      </c>
      <c r="N19" s="141">
        <v>38.549999999999997</v>
      </c>
      <c r="O19" s="142" t="s">
        <v>238</v>
      </c>
      <c r="U19" s="93"/>
      <c r="V19" s="93"/>
      <c r="W19" s="93"/>
      <c r="X19" s="93"/>
      <c r="Y19" s="93"/>
      <c r="Z19" s="93"/>
    </row>
    <row r="20" spans="1:26" ht="20" customHeight="1" x14ac:dyDescent="0.2">
      <c r="A20" s="136"/>
      <c r="B20" s="137"/>
      <c r="C20" s="138"/>
      <c r="D20" s="93"/>
      <c r="E20" s="93"/>
      <c r="M20" s="140" t="s">
        <v>239</v>
      </c>
      <c r="N20" s="141">
        <v>37.07</v>
      </c>
      <c r="O20" s="142"/>
    </row>
    <row r="21" spans="1:26" ht="20" customHeight="1" x14ac:dyDescent="0.2">
      <c r="A21" s="136"/>
      <c r="B21" s="137"/>
      <c r="C21" s="138"/>
      <c r="D21" s="93"/>
      <c r="E21" s="93"/>
      <c r="M21" s="140" t="s">
        <v>240</v>
      </c>
      <c r="N21" s="141">
        <v>39.76</v>
      </c>
      <c r="O21" s="142"/>
    </row>
    <row r="22" spans="1:26" ht="20" customHeight="1" x14ac:dyDescent="0.2">
      <c r="A22" s="136"/>
      <c r="B22" s="137"/>
      <c r="C22" s="138"/>
      <c r="D22" s="93"/>
      <c r="E22" s="93"/>
      <c r="M22" s="140" t="s">
        <v>241</v>
      </c>
      <c r="N22" s="141">
        <v>43</v>
      </c>
      <c r="O22" s="142" t="s">
        <v>242</v>
      </c>
    </row>
    <row r="23" spans="1:26" ht="20" customHeight="1" x14ac:dyDescent="0.2">
      <c r="A23" s="136"/>
      <c r="B23" s="137"/>
      <c r="C23" s="138"/>
      <c r="D23" s="93"/>
      <c r="E23" s="93"/>
      <c r="M23" s="140" t="s">
        <v>243</v>
      </c>
      <c r="N23" s="141">
        <v>44.48</v>
      </c>
      <c r="O23" s="143"/>
    </row>
    <row r="24" spans="1:26" ht="20" customHeight="1" x14ac:dyDescent="0.2">
      <c r="A24" s="136"/>
      <c r="B24" s="137"/>
      <c r="C24" s="138"/>
      <c r="D24" s="93"/>
      <c r="E24" s="93"/>
      <c r="M24" s="140" t="s">
        <v>244</v>
      </c>
      <c r="N24" s="141">
        <v>63.5</v>
      </c>
      <c r="O24" s="144" t="s">
        <v>245</v>
      </c>
    </row>
    <row r="25" spans="1:26" ht="20" customHeight="1" x14ac:dyDescent="0.2">
      <c r="A25" s="136"/>
      <c r="B25" s="137"/>
      <c r="C25" s="138"/>
      <c r="D25" s="93"/>
      <c r="E25" s="93"/>
    </row>
    <row r="26" spans="1:26" ht="20" customHeight="1" x14ac:dyDescent="0.2">
      <c r="A26" s="136"/>
      <c r="B26" s="137"/>
      <c r="C26" s="138"/>
      <c r="D26" s="93"/>
      <c r="E26" s="93"/>
    </row>
    <row r="27" spans="1:26" ht="20" customHeight="1" x14ac:dyDescent="0.2">
      <c r="A27" s="136"/>
      <c r="B27" s="137"/>
      <c r="C27" s="138"/>
      <c r="D27" s="93"/>
      <c r="E27" s="93"/>
    </row>
  </sheetData>
  <mergeCells count="1">
    <mergeCell ref="A1:J1"/>
  </mergeCells>
  <pageMargins left="0.25" right="0.25" top="0.75" bottom="0.75" header="0.3" footer="0.3"/>
  <pageSetup paperSize="9" scale="43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43C0C"/>
  </sheetPr>
  <dimension ref="A1:BH65"/>
  <sheetViews>
    <sheetView topLeftCell="R1" zoomScale="120" zoomScaleNormal="120" workbookViewId="0">
      <pane ySplit="3" topLeftCell="A4" activePane="bottomLeft" state="frozen"/>
      <selection pane="bottomLeft" activeCell="I14" sqref="I14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" customWidth="1"/>
    <col min="7" max="9" width="11" customWidth="1"/>
    <col min="10" max="10" width="13" customWidth="1"/>
    <col min="11" max="11" width="12.33203125" bestFit="1" customWidth="1"/>
    <col min="12" max="12" width="10" customWidth="1"/>
    <col min="13" max="13" width="13" customWidth="1"/>
    <col min="14" max="14" width="10" customWidth="1"/>
    <col min="15" max="15" width="20" customWidth="1"/>
    <col min="16" max="16" width="33.5" customWidth="1"/>
    <col min="17" max="17" width="21.5" style="93" bestFit="1" customWidth="1"/>
    <col min="18" max="18" width="54.83203125" style="93" bestFit="1" customWidth="1"/>
    <col min="19" max="19" width="53.83203125" style="93" customWidth="1"/>
    <col min="20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6" width="12" bestFit="1" customWidth="1"/>
    <col min="27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3" width="8" customWidth="1"/>
    <col min="34" max="34" width="8.83203125" bestFit="1" customWidth="1"/>
    <col min="35" max="35" width="13" customWidth="1"/>
    <col min="36" max="36" width="13.33203125" bestFit="1" customWidth="1"/>
    <col min="37" max="37" width="12.1640625" bestFit="1" customWidth="1"/>
    <col min="38" max="38" width="12" customWidth="1"/>
    <col min="39" max="40" width="11" customWidth="1"/>
    <col min="41" max="41" width="9.1640625" bestFit="1" customWidth="1"/>
    <col min="42" max="42" width="14.5" bestFit="1" customWidth="1"/>
  </cols>
  <sheetData>
    <row r="1" spans="1:60" ht="28" customHeight="1" thickBot="1" x14ac:dyDescent="0.3">
      <c r="A1" s="1" t="s">
        <v>289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92"/>
      <c r="T1" s="78"/>
      <c r="AF1" s="38"/>
      <c r="AG1" s="110" t="s">
        <v>290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100"/>
      <c r="T3" s="98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39" thickBot="1" x14ac:dyDescent="0.25">
      <c r="A4" s="247">
        <f>IFERROR(INDEX(PRENOTAZIONI!$A:$A,SMALL(PRENOTAZIONI!$AE:$AE,1)),"")</f>
        <v>46187</v>
      </c>
      <c r="B4" s="248">
        <f>IFERROR(INDEX(PRENOTAZIONI!$B:$B,SMALL(PRENOTAZIONI!$AE:$AE,1)),"")</f>
        <v>46199</v>
      </c>
      <c r="C4" s="249">
        <f t="shared" ref="C4:C35" si="0">IF(A4&lt;&gt;"",B4-A4,"")</f>
        <v>12</v>
      </c>
      <c r="D4" s="250" t="str">
        <f>IFERROR(INDEX(PRENOTAZIONI!$E:$E,SMALL(PRENOTAZIONI!$AE:$AE,1)),"")</f>
        <v>Adrian Motylewski</v>
      </c>
      <c r="E4" s="250" t="str">
        <f>IFERROR(INDEX(PRENOTAZIONI!$F:$F,SMALL(PRENOTAZIONI!$AE:$AE,1)),"")</f>
        <v>4 ad</v>
      </c>
      <c r="F4" s="250" t="str">
        <f>IFERROR(INDEX(PRENOTAZIONI!$G:$G,SMALL(PRENOTAZIONI!$AE:$AE,1)),"")</f>
        <v>booking.com</v>
      </c>
      <c r="G4" s="251">
        <f>IFERROR(INDEX(PRENOTAZIONI!$H:$H,SMALL(PRENOTAZIONI!$AE:$AE,1)),"")</f>
        <v>3231.36</v>
      </c>
      <c r="H4" s="252">
        <f t="shared" ref="H4:H35" si="1">IF(AND(G4&lt;&gt;"",C4&lt;&gt;"",C4&lt;&gt;0),G4/C4,"")</f>
        <v>269.28000000000003</v>
      </c>
      <c r="I4" s="251">
        <f>IF(G4="","",IF(NOT(ISERROR(SEARCH("diretta",F4))),0,IF(NOT(ISERROR(SEARCH("booking",F4))),G4*0.15,IF(NOT(ISERROR(SEARCH("airbnb",F4))),G4*0.155,""))))</f>
        <v>484.70400000000001</v>
      </c>
      <c r="J4" s="253">
        <f>IF(I4&lt;&gt;"",I4*0.22,"")</f>
        <v>106.63488</v>
      </c>
      <c r="K4" s="250" t="str">
        <f>IFERROR(INDEX(PRENOTAZIONI!$K:$K,SMALL(PRENOTAZIONI!$AE:$AE,1)),"")</f>
        <v>VISA</v>
      </c>
      <c r="L4" s="251">
        <f>IFERROR(INDEX(PRENOTAZIONI!$L:$L,SMALL(PRENOTAZIONI!$AE:$AE,1)),"")</f>
        <v>0</v>
      </c>
      <c r="M4" s="254">
        <f t="shared" ref="M4:M35" si="2">IF(G4&lt;&gt;"",G4*0.21,"")</f>
        <v>678.5856</v>
      </c>
      <c r="N4" s="251">
        <f t="shared" ref="N4:N35" si="3">IF(G4&lt;&gt;"",G4*0.25,"")</f>
        <v>807.84</v>
      </c>
      <c r="O4" s="258">
        <v>630</v>
      </c>
      <c r="P4" s="259" t="s">
        <v>336</v>
      </c>
      <c r="Q4" s="254">
        <f t="shared" ref="Q4:Q35" si="4">IF(G4&lt;&gt;"",G4-I4-J4-M4-N4-O4,"")</f>
        <v>523.59551999999985</v>
      </c>
      <c r="R4" s="256" t="str">
        <f>IFERROR(INDEX(PRENOTAZIONI!$R:$R,SMALL(PRENOTAZIONI!$AE:$AE,1)),"")</f>
        <v>NON RIMBORSABILE - pagamento effettuato il 06-06</v>
      </c>
      <c r="S4" s="257" t="s">
        <v>353</v>
      </c>
      <c r="T4" s="99" t="str">
        <f>IFERROR(INDEX(PRENOTAZIONI!$A:$A,SMALL(PRENOTAZIONI!$AS:$AS,1)),"")</f>
        <v/>
      </c>
      <c r="U4" s="31" t="str">
        <f>IFERROR(INDEX(PRENOTAZIONI!$B:$B,SMALL(PRENOTAZIONI!$AS:$AS,1)),"")</f>
        <v/>
      </c>
      <c r="V4" s="32" t="str">
        <f t="shared" ref="V4:V33" si="5">IF(T4&lt;&gt;"",U4-T4,"")</f>
        <v/>
      </c>
      <c r="W4" s="34" t="str">
        <f>IFERROR(INDEX(PRENOTAZIONI!$E:$E,SMALL(PRENOTAZIONI!$AS:$AS,1)),"")</f>
        <v/>
      </c>
      <c r="X4" s="34" t="str">
        <f>IFERROR(INDEX(PRENOTAZIONI!$F:$F,SMALL(PRENOTAZIONI!$AS:$AS,1)),"")</f>
        <v/>
      </c>
      <c r="Y4" s="35" t="str">
        <f>IFERROR(INDEX(PRENOTAZIONI!$H:$H,SMALL(PRENOTAZIONI!$AS:$AS,1)),"")</f>
        <v/>
      </c>
      <c r="Z4" s="34" t="str">
        <f>IFERROR(INDEX(PRENOTAZIONI!$K:$K,SMALL(PRENOTAZIONI!$AS:$AS,1)),"")</f>
        <v/>
      </c>
      <c r="AA4" s="34"/>
      <c r="AB4" s="34"/>
      <c r="AC4" s="40" t="str">
        <f t="shared" ref="AC4:AC33" si="6">IF(X4&lt;&gt;"",X4*0.25,"")</f>
        <v/>
      </c>
      <c r="AD4" s="41" t="str">
        <f t="shared" ref="AD4:AD33" si="7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SUMPRODUCT((MONTH(PRENOTAZIONI!$A$3:$A$262)=1)*(YEAR(PRENOTAZIONI!$A$3:$A$262)=2026)*(PRENOTAZIONI!$D$3:$D$262="Villa Nella"))</f>
        <v>0</v>
      </c>
      <c r="AI4" s="114">
        <f>SUMPRODUCT((PRENOTAZIONI!$A$3:$A$262&lt;DATE(2026,2,1))*(PRENOTAZIONI!$B$3:$B$262&gt;DATE(2026,1,1))*(YEAR(PRENOTAZIONI!$A$3:$A$262)=2026)*(PRENOTAZIONI!$D$3:$D$262="Villa Nella")*((PRENOTAZIONI!$B$3:$B$262*(PRENOTAZIONI!$B$3:$B$262&lt;DATE(2026,2,1))+DATE(2026,2,1)*(PRENOTAZIONI!$B$3:$B$262&gt;=DATE(2026,2,1)))-(PRENOTAZIONI!$A$3:$A$262*(PRENOTAZIONI!$A$3:$A$262&gt;DATE(2026,1,1))+DATE(2026,1,1)*(PRENOTAZIONI!$A$3:$A$262&lt;=DATE(2026,1,1)))))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51" x14ac:dyDescent="0.2">
      <c r="A5" s="174">
        <f>IFERROR(INDEX(PRENOTAZIONI!$A:$A,SMALL(PRENOTAZIONI!$AE:$AE,2)),"")</f>
        <v>46206</v>
      </c>
      <c r="B5" s="175">
        <f>IFERROR(INDEX(PRENOTAZIONI!$B:$B,SMALL(PRENOTAZIONI!$AE:$AE,2)),"")</f>
        <v>46213</v>
      </c>
      <c r="C5" s="176">
        <f t="shared" si="0"/>
        <v>7</v>
      </c>
      <c r="D5" s="177" t="str">
        <f>IFERROR(INDEX(PRENOTAZIONI!$E:$E,SMALL(PRENOTAZIONI!$AE:$AE,2)),"")</f>
        <v>Maria Teresa Jaravata Gabrillo</v>
      </c>
      <c r="E5" s="177" t="str">
        <f>IFERROR(INDEX(PRENOTAZIONI!$F:$F,SMALL(PRENOTAZIONI!$AE:$AE,2)),"")</f>
        <v>8 ad</v>
      </c>
      <c r="F5" s="177" t="str">
        <f>IFERROR(INDEX(PRENOTAZIONI!$G:$G,SMALL(PRENOTAZIONI!$AE:$AE,2)),"")</f>
        <v>diretta</v>
      </c>
      <c r="G5" s="178">
        <f>IFERROR(INDEX(PRENOTAZIONI!$H:$H,SMALL(PRENOTAZIONI!$AE:$AE,2)),"")</f>
        <v>2859.5</v>
      </c>
      <c r="H5" s="215">
        <f t="shared" si="1"/>
        <v>408.5</v>
      </c>
      <c r="I5" s="178">
        <v>0</v>
      </c>
      <c r="J5" s="179">
        <f>IF(I5&lt;&gt;"",I5*0.22,"")</f>
        <v>0</v>
      </c>
      <c r="K5" s="177" t="str">
        <f>IFERROR(INDEX(PRENOTAZIONI!$K:$K,SMALL(PRENOTAZIONI!$AE:$AE,2)),"")</f>
        <v>BONIFICO</v>
      </c>
      <c r="L5" s="178">
        <f>IFERROR(INDEX(PRENOTAZIONI!$L:$L,SMALL(PRENOTAZIONI!$AE:$AE,2)),"")</f>
        <v>0</v>
      </c>
      <c r="M5" s="180">
        <f t="shared" si="2"/>
        <v>600.495</v>
      </c>
      <c r="N5" s="178">
        <f t="shared" si="3"/>
        <v>714.875</v>
      </c>
      <c r="O5" s="178">
        <v>119</v>
      </c>
      <c r="P5" s="234" t="s">
        <v>369</v>
      </c>
      <c r="Q5" s="180">
        <f t="shared" si="4"/>
        <v>1425.13</v>
      </c>
      <c r="R5" s="216" t="str">
        <f>IFERROR(INDEX(PRENOTAZIONI!$R:$R,SMALL(PRENOTAZIONI!$AE:$AE,2)),"")</f>
        <v>NON RIMBORSABILE - pagamento effettuato con amentiz</v>
      </c>
      <c r="S5" s="257" t="s">
        <v>375</v>
      </c>
      <c r="T5" s="99" t="str">
        <f>IFERROR(INDEX(PRENOTAZIONI!$A:$A,SMALL(PRENOTAZIONI!$AS:$AS,2)),"")</f>
        <v/>
      </c>
      <c r="U5" s="31" t="str">
        <f>IFERROR(INDEX(PRENOTAZIONI!$B:$B,SMALL(PRENOTAZIONI!$AS:$AS,2)),"")</f>
        <v/>
      </c>
      <c r="V5" s="32" t="str">
        <f t="shared" si="5"/>
        <v/>
      </c>
      <c r="W5" s="34" t="str">
        <f>IFERROR(INDEX(PRENOTAZIONI!$E:$E,SMALL(PRENOTAZIONI!$AS:$AS,2)),"")</f>
        <v/>
      </c>
      <c r="X5" s="34" t="str">
        <f>IFERROR(INDEX(PRENOTAZIONI!$F:$F,SMALL(PRENOTAZIONI!$AS:$AS,2)),"")</f>
        <v/>
      </c>
      <c r="Y5" s="35" t="str">
        <f>IFERROR(INDEX(PRENOTAZIONI!$H:$H,SMALL(PRENOTAZIONI!$AS:$AS,2)),"")</f>
        <v/>
      </c>
      <c r="Z5" s="34" t="str">
        <f>IFERROR(INDEX(PRENOTAZIONI!$K:$K,SMALL(PRENOTAZIONI!$AS:$AS,2)),"")</f>
        <v/>
      </c>
      <c r="AA5" s="34"/>
      <c r="AB5" s="34"/>
      <c r="AC5" s="40" t="str">
        <f t="shared" si="6"/>
        <v/>
      </c>
      <c r="AD5" s="41" t="str">
        <f t="shared" si="7"/>
        <v/>
      </c>
      <c r="AF5" s="38"/>
      <c r="AG5" s="113" t="s">
        <v>182</v>
      </c>
      <c r="AH5" s="114">
        <f>SUMPRODUCT((MONTH(PRENOTAZIONI!$A$3:$A$262)=2)*(YEAR(PRENOTAZIONI!$A$3:$A$262)=2026)*(PRENOTAZIONI!$D$3:$D$262="Villa Nella"))</f>
        <v>0</v>
      </c>
      <c r="AI5" s="114">
        <f>SUMPRODUCT((PRENOTAZIONI!$A$3:$A$262&lt;DATE(2026,3,1))*(PRENOTAZIONI!$B$3:$B$262&gt;DATE(2026,2,1))*(YEAR(PRENOTAZIONI!$A$3:$A$262)=2026)*(PRENOTAZIONI!$D$3:$D$262="Villa Nella")*((PRENOTAZIONI!$B$3:$B$262*(PRENOTAZIONI!$B$3:$B$262&lt;DATE(2026,3,1))+DATE(2026,3,1)*(PRENOTAZIONI!$B$3:$B$262&gt;=DATE(2026,3,1)))-(PRENOTAZIONI!$A$3:$A$262*(PRENOTAZIONI!$A$3:$A$262&gt;DATE(2026,2,1))+DATE(2026,2,1)*(PRENOTAZIONI!$A$3:$A$262&lt;=DATE(2026,2,1)))))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19" thickBot="1" x14ac:dyDescent="0.25">
      <c r="A6" s="191">
        <f>IFERROR(INDEX(PRENOTAZIONI!$A:$A,SMALL(PRENOTAZIONI!$AE:$AE,3)),"")</f>
        <v>46225</v>
      </c>
      <c r="B6" s="192">
        <f>IFERROR(INDEX(PRENOTAZIONI!$B:$B,SMALL(PRENOTAZIONI!$AE:$AE,3)),"")</f>
        <v>46236</v>
      </c>
      <c r="C6" s="193">
        <f t="shared" si="0"/>
        <v>11</v>
      </c>
      <c r="D6" s="194" t="str">
        <f>IFERROR(INDEX(PRENOTAZIONI!$E:$E,SMALL(PRENOTAZIONI!$AE:$AE,3)),"")</f>
        <v>Nicolle Bongers</v>
      </c>
      <c r="E6" s="194" t="str">
        <f>IFERROR(INDEX(PRENOTAZIONI!$F:$F,SMALL(PRENOTAZIONI!$AE:$AE,3)),"")</f>
        <v>5 ad</v>
      </c>
      <c r="F6" s="194" t="str">
        <f>IFERROR(INDEX(PRENOTAZIONI!$G:$G,SMALL(PRENOTAZIONI!$AE:$AE,3)),"")</f>
        <v>booking.com</v>
      </c>
      <c r="G6" s="195">
        <f>IFERROR(INDEX(PRENOTAZIONI!$H:$H,SMALL(PRENOTAZIONI!$AE:$AE,3)),"")</f>
        <v>5189.41</v>
      </c>
      <c r="H6" s="218">
        <f t="shared" si="1"/>
        <v>471.76454545454544</v>
      </c>
      <c r="I6" s="195">
        <f t="shared" ref="I6:I37" si="8">IF(G6="","",IF(NOT(ISERROR(SEARCH("diretta",F6))),0,IF(NOT(ISERROR(SEARCH("booking",F6))),G6*0.15,IF(NOT(ISERROR(SEARCH("airbnb",F6))),G6*0.155,""))))</f>
        <v>778.41149999999993</v>
      </c>
      <c r="J6" s="196">
        <f>IF(I6&lt;&gt;"",I6*0.22,"")</f>
        <v>171.25053</v>
      </c>
      <c r="K6" s="194" t="str">
        <f>IFERROR(INDEX(PRENOTAZIONI!$K:$K,SMALL(PRENOTAZIONI!$AE:$AE,3)),"")</f>
        <v>MASTER</v>
      </c>
      <c r="L6" s="195">
        <f>IFERROR(INDEX(PRENOTAZIONI!$L:$L,SMALL(PRENOTAZIONI!$AE:$AE,3)),"")</f>
        <v>0</v>
      </c>
      <c r="M6" s="197">
        <f t="shared" si="2"/>
        <v>1089.7761</v>
      </c>
      <c r="N6" s="195">
        <f t="shared" si="3"/>
        <v>1297.3525</v>
      </c>
      <c r="O6" s="195">
        <v>0</v>
      </c>
      <c r="P6" s="227"/>
      <c r="Q6" s="197">
        <f t="shared" si="4"/>
        <v>1852.6193699999994</v>
      </c>
      <c r="R6" s="219" t="str">
        <f>IFERROR(INDEX(PRENOTAZIONI!$R:$R,SMALL(PRENOTAZIONI!$AE:$AE,3)),"")</f>
        <v>NON RIMBORSABILE</v>
      </c>
      <c r="S6" s="222"/>
      <c r="T6" s="99" t="str">
        <f>IFERROR(INDEX(PRENOTAZIONI!$A:$A,SMALL(PRENOTAZIONI!$AS:$AS,3)),"")</f>
        <v/>
      </c>
      <c r="U6" s="31" t="str">
        <f>IFERROR(INDEX(PRENOTAZIONI!$B:$B,SMALL(PRENOTAZIONI!$AS:$AS,3)),"")</f>
        <v/>
      </c>
      <c r="V6" s="32" t="str">
        <f t="shared" si="5"/>
        <v/>
      </c>
      <c r="W6" s="34" t="str">
        <f>IFERROR(INDEX(PRENOTAZIONI!$E:$E,SMALL(PRENOTAZIONI!$AS:$AS,3)),"")</f>
        <v/>
      </c>
      <c r="X6" s="34" t="str">
        <f>IFERROR(INDEX(PRENOTAZIONI!$F:$F,SMALL(PRENOTAZIONI!$AS:$AS,3)),"")</f>
        <v/>
      </c>
      <c r="Y6" s="35" t="str">
        <f>IFERROR(INDEX(PRENOTAZIONI!$H:$H,SMALL(PRENOTAZIONI!$AS:$AS,3)),"")</f>
        <v/>
      </c>
      <c r="Z6" s="34" t="str">
        <f>IFERROR(INDEX(PRENOTAZIONI!$K:$K,SMALL(PRENOTAZIONI!$AS:$AS,3)),"")</f>
        <v/>
      </c>
      <c r="AA6" s="34"/>
      <c r="AB6" s="34"/>
      <c r="AC6" s="40" t="str">
        <f t="shared" si="6"/>
        <v/>
      </c>
      <c r="AD6" s="41" t="str">
        <f t="shared" si="7"/>
        <v/>
      </c>
      <c r="AF6" s="38"/>
      <c r="AG6" s="113" t="s">
        <v>183</v>
      </c>
      <c r="AH6" s="114">
        <f>SUMPRODUCT((MONTH(PRENOTAZIONI!$A$3:$A$262)=3)*(YEAR(PRENOTAZIONI!$A$3:$A$262)=2026)*(PRENOTAZIONI!$D$3:$D$262="Villa Nella"))</f>
        <v>0</v>
      </c>
      <c r="AI6" s="114">
        <f>SUMPRODUCT((PRENOTAZIONI!$A$3:$A$262&lt;DATE(2026,4,1))*(PRENOTAZIONI!$B$3:$B$262&gt;DATE(2026,3,1))*(YEAR(PRENOTAZIONI!$A$3:$A$262)=2026)*(PRENOTAZIONI!$D$3:$D$262="Villa Nella")*((PRENOTAZIONI!$B$3:$B$262*(PRENOTAZIONI!$B$3:$B$262&lt;DATE(2026,4,1))+DATE(2026,4,1)*(PRENOTAZIONI!$B$3:$B$262&gt;=DATE(2026,4,1)))-(PRENOTAZIONI!$A$3:$A$262*(PRENOTAZIONI!$A$3:$A$262&gt;DATE(2026,3,1))+DATE(2026,3,1)*(PRENOTAZIONI!$A$3:$A$262&lt;=DATE(2026,3,1)))))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157">
        <f>IFERROR(INDEX(PRENOTAZIONI!$A:$A,SMALL(PRENOTAZIONI!$AE:$AE,4)),"")</f>
        <v>46237</v>
      </c>
      <c r="B7" s="157">
        <f>IFERROR(INDEX(PRENOTAZIONI!$B:$B,SMALL(PRENOTAZIONI!$AE:$AE,4)),"")</f>
        <v>46244</v>
      </c>
      <c r="C7" s="158">
        <f t="shared" si="0"/>
        <v>7</v>
      </c>
      <c r="D7" s="159" t="str">
        <f>IFERROR(INDEX(PRENOTAZIONI!$E:$E,SMALL(PRENOTAZIONI!$AE:$AE,4)),"")</f>
        <v>Annamaria Cantadori</v>
      </c>
      <c r="E7" s="159">
        <f>IFERROR(INDEX(PRENOTAZIONI!$F:$F,SMALL(PRENOTAZIONI!$AE:$AE,4)),"")</f>
        <v>8</v>
      </c>
      <c r="F7" s="159" t="str">
        <f>IFERROR(INDEX(PRENOTAZIONI!$G:$G,SMALL(PRENOTAZIONI!$AE:$AE,4)),"")</f>
        <v>diretta</v>
      </c>
      <c r="G7" s="160">
        <f>IFERROR(INDEX(PRENOTAZIONI!$H:$H,SMALL(PRENOTAZIONI!$AE:$AE,4)),"")</f>
        <v>3400</v>
      </c>
      <c r="H7" s="212">
        <f t="shared" si="1"/>
        <v>485.71428571428572</v>
      </c>
      <c r="I7" s="160">
        <f t="shared" si="8"/>
        <v>0</v>
      </c>
      <c r="J7" s="161">
        <f>IF(I7&lt;&gt;"",I7*0.22,"")</f>
        <v>0</v>
      </c>
      <c r="K7" s="159" t="str">
        <f>IFERROR(INDEX(PRENOTAZIONI!$K:$K,SMALL(PRENOTAZIONI!$AE:$AE,4)),"")</f>
        <v>cash, master e bonifico</v>
      </c>
      <c r="L7" s="160">
        <f>IFERROR(INDEX(PRENOTAZIONI!$L:$L,SMALL(PRENOTAZIONI!$AE:$AE,4)),"")</f>
        <v>0</v>
      </c>
      <c r="M7" s="154">
        <f t="shared" si="2"/>
        <v>714</v>
      </c>
      <c r="N7" s="160">
        <f t="shared" si="3"/>
        <v>850</v>
      </c>
      <c r="O7" s="160"/>
      <c r="P7" s="162"/>
      <c r="Q7" s="154">
        <f t="shared" si="4"/>
        <v>1836</v>
      </c>
      <c r="R7" s="209">
        <f>IFERROR(INDEX(PRENOTAZIONI!$R:$R,SMALL(PRENOTAZIONI!$AE:$AE,4)),"")</f>
        <v>0</v>
      </c>
      <c r="S7" s="101"/>
      <c r="T7" s="99" t="str">
        <f>IFERROR(INDEX(PRENOTAZIONI!$A:$A,SMALL(PRENOTAZIONI!$AS:$AS,4)),"")</f>
        <v/>
      </c>
      <c r="U7" s="31" t="str">
        <f>IFERROR(INDEX(PRENOTAZIONI!$B:$B,SMALL(PRENOTAZIONI!$AS:$AS,4)),"")</f>
        <v/>
      </c>
      <c r="V7" s="32" t="str">
        <f t="shared" si="5"/>
        <v/>
      </c>
      <c r="W7" s="34" t="str">
        <f>IFERROR(INDEX(PRENOTAZIONI!$E:$E,SMALL(PRENOTAZIONI!$AS:$AS,4)),"")</f>
        <v/>
      </c>
      <c r="X7" s="34" t="str">
        <f>IFERROR(INDEX(PRENOTAZIONI!$F:$F,SMALL(PRENOTAZIONI!$AS:$AS,4)),"")</f>
        <v/>
      </c>
      <c r="Y7" s="35" t="str">
        <f>IFERROR(INDEX(PRENOTAZIONI!$H:$H,SMALL(PRENOTAZIONI!$AS:$AS,4)),"")</f>
        <v/>
      </c>
      <c r="Z7" s="34" t="str">
        <f>IFERROR(INDEX(PRENOTAZIONI!$K:$K,SMALL(PRENOTAZIONI!$AS:$AS,4)),"")</f>
        <v/>
      </c>
      <c r="AA7" s="34"/>
      <c r="AB7" s="34"/>
      <c r="AC7" s="40" t="str">
        <f t="shared" si="6"/>
        <v/>
      </c>
      <c r="AD7" s="41" t="str">
        <f t="shared" si="7"/>
        <v/>
      </c>
      <c r="AF7" s="38"/>
      <c r="AG7" s="113" t="s">
        <v>184</v>
      </c>
      <c r="AH7" s="114">
        <f>SUMPRODUCT((MONTH(PRENOTAZIONI!$A$3:$A$262)=4)*(YEAR(PRENOTAZIONI!$A$3:$A$262)=2026)*(PRENOTAZIONI!$D$3:$D$262="Villa Nella"))</f>
        <v>0</v>
      </c>
      <c r="AI7" s="114">
        <f>SUMPRODUCT((PRENOTAZIONI!$A$3:$A$262&lt;DATE(2026,5,1))*(PRENOTAZIONI!$B$3:$B$262&gt;DATE(2026,4,1))*(YEAR(PRENOTAZIONI!$A$3:$A$262)=2026)*(PRENOTAZIONI!$D$3:$D$262="Villa Nella")*((PRENOTAZIONI!$B$3:$B$262*(PRENOTAZIONI!$B$3:$B$262&lt;DATE(2026,5,1))+DATE(2026,5,1)*(PRENOTAZIONI!$B$3:$B$262&gt;=DATE(2026,5,1)))-(PRENOTAZIONI!$A$3:$A$262*(PRENOTAZIONI!$A$3:$A$262&gt;DATE(2026,4,1))+DATE(2026,4,1)*(PRENOTAZIONI!$A$3:$A$262&lt;=DATE(2026,4,1)))))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>
        <f>IFERROR(INDEX(PRENOTAZIONI!$A:$A,SMALL(PRENOTAZIONI!$AE:$AE,5)),"")</f>
        <v>46248</v>
      </c>
      <c r="B8" s="31">
        <f>IFERROR(INDEX(PRENOTAZIONI!$B:$B,SMALL(PRENOTAZIONI!$AE:$AE,5)),"")</f>
        <v>46255</v>
      </c>
      <c r="C8" s="32">
        <f t="shared" si="0"/>
        <v>7</v>
      </c>
      <c r="D8" s="34" t="str">
        <f>IFERROR(INDEX(PRENOTAZIONI!$E:$E,SMALL(PRENOTAZIONI!$AE:$AE,5)),"")</f>
        <v>Gianni Barbetta</v>
      </c>
      <c r="E8" s="34" t="str">
        <f>IFERROR(INDEX(PRENOTAZIONI!$F:$F,SMALL(PRENOTAZIONI!$AE:$AE,5)),"")</f>
        <v>5 ad + 1 n</v>
      </c>
      <c r="F8" s="34" t="str">
        <f>IFERROR(INDEX(PRENOTAZIONI!$G:$G,SMALL(PRENOTAZIONI!$AE:$AE,5)),"")</f>
        <v>booking.com</v>
      </c>
      <c r="G8" s="35">
        <f>IFERROR(INDEX(PRENOTAZIONI!$H:$H,SMALL(PRENOTAZIONI!$AE:$AE,5)),"")</f>
        <v>2730.2</v>
      </c>
      <c r="H8" s="146">
        <f t="shared" si="1"/>
        <v>390.02857142857141</v>
      </c>
      <c r="I8" s="35">
        <f t="shared" si="8"/>
        <v>409.53</v>
      </c>
      <c r="J8" s="149">
        <f t="shared" ref="J8:J35" si="9">IF(H8&lt;&gt;"",H8*0.22,"")</f>
        <v>85.806285714285707</v>
      </c>
      <c r="K8" s="34" t="str">
        <f>IFERROR(INDEX(PRENOTAZIONI!$K:$K,SMALL(PRENOTAZIONI!$AE:$AE,5)),"")</f>
        <v>da prendere</v>
      </c>
      <c r="L8" s="35">
        <f>IFERROR(INDEX(PRENOTAZIONI!$L:$L,SMALL(PRENOTAZIONI!$AE:$AE,5)),"")</f>
        <v>0</v>
      </c>
      <c r="M8" s="150">
        <f t="shared" si="2"/>
        <v>573.34199999999998</v>
      </c>
      <c r="N8" s="35">
        <f t="shared" si="3"/>
        <v>682.55</v>
      </c>
      <c r="O8" s="35"/>
      <c r="P8" s="43"/>
      <c r="Q8" s="150">
        <f t="shared" si="4"/>
        <v>978.97171428571414</v>
      </c>
      <c r="R8" s="47" t="str">
        <f>IFERROR(INDEX(PRENOTAZIONI!$R:$R,SMALL(PRENOTAZIONI!$AE:$AE,5)),"")</f>
        <v>NON RIMBORSABILE</v>
      </c>
      <c r="S8" s="101"/>
      <c r="T8" s="99" t="str">
        <f>IFERROR(INDEX(PRENOTAZIONI!$A:$A,SMALL(PRENOTAZIONI!$AS:$AS,5)),"")</f>
        <v/>
      </c>
      <c r="U8" s="31" t="str">
        <f>IFERROR(INDEX(PRENOTAZIONI!$B:$B,SMALL(PRENOTAZIONI!$AS:$AS,5)),"")</f>
        <v/>
      </c>
      <c r="V8" s="32" t="str">
        <f t="shared" si="5"/>
        <v/>
      </c>
      <c r="W8" s="34" t="str">
        <f>IFERROR(INDEX(PRENOTAZIONI!$E:$E,SMALL(PRENOTAZIONI!$AS:$AS,5)),"")</f>
        <v/>
      </c>
      <c r="X8" s="34" t="str">
        <f>IFERROR(INDEX(PRENOTAZIONI!$F:$F,SMALL(PRENOTAZIONI!$AS:$AS,5)),"")</f>
        <v/>
      </c>
      <c r="Y8" s="35" t="str">
        <f>IFERROR(INDEX(PRENOTAZIONI!$H:$H,SMALL(PRENOTAZIONI!$AS:$AS,5)),"")</f>
        <v/>
      </c>
      <c r="Z8" s="34" t="str">
        <f>IFERROR(INDEX(PRENOTAZIONI!$K:$K,SMALL(PRENOTAZIONI!$AS:$AS,5)),"")</f>
        <v/>
      </c>
      <c r="AA8" s="34"/>
      <c r="AB8" s="34"/>
      <c r="AC8" s="40" t="str">
        <f t="shared" si="6"/>
        <v/>
      </c>
      <c r="AD8" s="41" t="str">
        <f t="shared" si="7"/>
        <v/>
      </c>
      <c r="AF8" s="38"/>
      <c r="AG8" s="113" t="s">
        <v>185</v>
      </c>
      <c r="AH8" s="114">
        <f>SUMPRODUCT((MONTH(PRENOTAZIONI!$A$3:$A$262)=5)*(YEAR(PRENOTAZIONI!$A$3:$A$262)=2026)*(PRENOTAZIONI!$D$3:$D$262="Villa Nella"))</f>
        <v>0</v>
      </c>
      <c r="AI8" s="114">
        <f>SUMPRODUCT((PRENOTAZIONI!$A$3:$A$262&lt;DATE(2026,6,1))*(PRENOTAZIONI!$B$3:$B$262&gt;DATE(2026,5,1))*(YEAR(PRENOTAZIONI!$A$3:$A$262)=2026)*(PRENOTAZIONI!$D$3:$D$262="Villa Nella")*((PRENOTAZIONI!$B$3:$B$262*(PRENOTAZIONI!$B$3:$B$262&lt;DATE(2026,6,1))+DATE(2026,6,1)*(PRENOTAZIONI!$B$3:$B$262&gt;=DATE(2026,6,1)))-(PRENOTAZIONI!$A$3:$A$262*(PRENOTAZIONI!$A$3:$A$262&gt;DATE(2026,5,1))+DATE(2026,5,1)*(PRENOTAZIONI!$A$3:$A$262&lt;=DATE(2026,5,1)))))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>
        <f>IFERROR(INDEX(PRENOTAZIONI!$A:$A,SMALL(PRENOTAZIONI!$AE:$AE,6)),"")</f>
        <v>46258</v>
      </c>
      <c r="B9" s="31">
        <f>IFERROR(INDEX(PRENOTAZIONI!$B:$B,SMALL(PRENOTAZIONI!$AE:$AE,6)),"")</f>
        <v>46266</v>
      </c>
      <c r="C9" s="32">
        <f t="shared" si="0"/>
        <v>8</v>
      </c>
      <c r="D9" s="34" t="str">
        <f>IFERROR(INDEX(PRENOTAZIONI!$E:$E,SMALL(PRENOTAZIONI!$AE:$AE,6)),"")</f>
        <v>Pierfrancesco Montecchi</v>
      </c>
      <c r="E9" s="34" t="str">
        <f>IFERROR(INDEX(PRENOTAZIONI!$F:$F,SMALL(PRENOTAZIONI!$AE:$AE,6)),"")</f>
        <v>2 ad</v>
      </c>
      <c r="F9" s="34" t="str">
        <f>IFERROR(INDEX(PRENOTAZIONI!$G:$G,SMALL(PRENOTAZIONI!$AE:$AE,6)),"")</f>
        <v>booking.com</v>
      </c>
      <c r="G9" s="35">
        <f>IFERROR(INDEX(PRENOTAZIONI!$H:$H,SMALL(PRENOTAZIONI!$AE:$AE,6)),"")</f>
        <v>3414.08</v>
      </c>
      <c r="H9" s="146">
        <f t="shared" si="1"/>
        <v>426.76</v>
      </c>
      <c r="I9" s="35">
        <f t="shared" si="8"/>
        <v>512.11199999999997</v>
      </c>
      <c r="J9" s="149">
        <f t="shared" si="9"/>
        <v>93.887199999999993</v>
      </c>
      <c r="K9" s="34">
        <f>IFERROR(INDEX(PRENOTAZIONI!$K:$K,SMALL(PRENOTAZIONI!$AE:$AE,6)),"")</f>
        <v>0</v>
      </c>
      <c r="L9" s="35">
        <f>IFERROR(INDEX(PRENOTAZIONI!$L:$L,SMALL(PRENOTAZIONI!$AE:$AE,6)),"")</f>
        <v>0</v>
      </c>
      <c r="M9" s="150">
        <f t="shared" si="2"/>
        <v>716.95679999999993</v>
      </c>
      <c r="N9" s="35">
        <f t="shared" si="3"/>
        <v>853.52</v>
      </c>
      <c r="O9" s="35"/>
      <c r="P9" s="43"/>
      <c r="Q9" s="150">
        <f t="shared" si="4"/>
        <v>1237.6039999999998</v>
      </c>
      <c r="R9" s="47">
        <f>IFERROR(INDEX(PRENOTAZIONI!$R:$R,SMALL(PRENOTAZIONI!$AE:$AE,6)),"")</f>
        <v>0</v>
      </c>
      <c r="S9" s="101"/>
      <c r="T9" s="99" t="str">
        <f>IFERROR(INDEX(PRENOTAZIONI!$A:$A,SMALL(PRENOTAZIONI!$AS:$AS,6)),"")</f>
        <v/>
      </c>
      <c r="U9" s="31" t="str">
        <f>IFERROR(INDEX(PRENOTAZIONI!$B:$B,SMALL(PRENOTAZIONI!$AS:$AS,6)),"")</f>
        <v/>
      </c>
      <c r="V9" s="32" t="str">
        <f t="shared" si="5"/>
        <v/>
      </c>
      <c r="W9" s="34" t="str">
        <f>IFERROR(INDEX(PRENOTAZIONI!$E:$E,SMALL(PRENOTAZIONI!$AS:$AS,6)),"")</f>
        <v/>
      </c>
      <c r="X9" s="34" t="str">
        <f>IFERROR(INDEX(PRENOTAZIONI!$F:$F,SMALL(PRENOTAZIONI!$AS:$AS,6)),"")</f>
        <v/>
      </c>
      <c r="Y9" s="35" t="str">
        <f>IFERROR(INDEX(PRENOTAZIONI!$H:$H,SMALL(PRENOTAZIONI!$AS:$AS,6)),"")</f>
        <v/>
      </c>
      <c r="Z9" s="34" t="str">
        <f>IFERROR(INDEX(PRENOTAZIONI!$K:$K,SMALL(PRENOTAZIONI!$AS:$AS,6)),"")</f>
        <v/>
      </c>
      <c r="AA9" s="34"/>
      <c r="AB9" s="34"/>
      <c r="AC9" s="40" t="str">
        <f t="shared" si="6"/>
        <v/>
      </c>
      <c r="AD9" s="41" t="str">
        <f t="shared" si="7"/>
        <v/>
      </c>
      <c r="AF9" s="38"/>
      <c r="AG9" s="113" t="s">
        <v>186</v>
      </c>
      <c r="AH9" s="114">
        <f>SUMPRODUCT((MONTH(PRENOTAZIONI!$A$3:$A$262)=6)*(YEAR(PRENOTAZIONI!$A$3:$A$262)=2026)*(PRENOTAZIONI!$D$3:$D$262="Villa Nella"))</f>
        <v>1</v>
      </c>
      <c r="AI9" s="114">
        <f>SUMPRODUCT((PRENOTAZIONI!$A$3:$A$262&lt;DATE(2026,7,1))*(PRENOTAZIONI!$B$3:$B$262&gt;DATE(2026,6,1))*(YEAR(PRENOTAZIONI!$A$3:$A$262)=2026)*(PRENOTAZIONI!$D$3:$D$262="Villa Nella")*((PRENOTAZIONI!$B$3:$B$262*(PRENOTAZIONI!$B$3:$B$262&lt;DATE(2026,7,1))+DATE(2026,7,1)*(PRENOTAZIONI!$B$3:$B$262&gt;=DATE(2026,7,1)))-(PRENOTAZIONI!$A$3:$A$262*(PRENOTAZIONI!$A$3:$A$262&gt;DATE(2026,6,1))+DATE(2026,6,1)*(PRENOTAZIONI!$A$3:$A$262&lt;=DATE(2026,6,1)))))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12</v>
      </c>
      <c r="AJ9" s="151">
        <f>SUMIF(A4:A33,"&gt;="&amp;DATE(2026,6,1),G4:G33)-SUMIF(A4:A33,"&gt;="&amp;DATE(2026,7,1),G4:G33)</f>
        <v>3231.3600000000006</v>
      </c>
      <c r="AK9" s="151">
        <f>SUMIF(A4:A33,"&gt;="&amp;DATE(2026,6,1),I4:I33)-SUMIF(A4:A33,"&gt;="&amp;DATE(2026,7,1),I4:I33)</f>
        <v>484.70399999999972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807.84000000000015</v>
      </c>
      <c r="AN9" s="152">
        <f>SUMIF(A4:A33,"&gt;="&amp;DATE(2026,6,1),M4:M33)-SUMIF(A4:A33,"&gt;="&amp;DATE(2026,7,1),M4:M33)</f>
        <v>678.5856000000008</v>
      </c>
      <c r="AO9" s="152">
        <f>SUMIF(A4:A33,"&gt;="&amp;DATE(2026,6,1),J4:J33)-SUMIF(A4:A33,"&gt;="&amp;DATE(2026,7,1),J4:J33)</f>
        <v>106.63488000000001</v>
      </c>
      <c r="AP9" s="153">
        <f>SUMIF(A4:A33,"&gt;="&amp;DATE(2026,6,1),Q4:Q33)-SUMIF(A4:A33,"&gt;="&amp;DATE(2026,7,1),Q4:Q33)</f>
        <v>523.59551999999894</v>
      </c>
    </row>
    <row r="10" spans="1:60" ht="20" customHeight="1" x14ac:dyDescent="0.2">
      <c r="A10" s="31" t="str">
        <f>IFERROR(INDEX(PRENOTAZIONI!$A:$A,SMALL(PRENOTAZIONI!$AE:$AE,7)),"")</f>
        <v/>
      </c>
      <c r="B10" s="31" t="str">
        <f>IFERROR(INDEX(PRENOTAZIONI!$B:$B,SMALL(PRENOTAZIONI!$AE:$AE,7)),"")</f>
        <v/>
      </c>
      <c r="C10" s="32" t="str">
        <f t="shared" si="0"/>
        <v/>
      </c>
      <c r="D10" s="34" t="str">
        <f>IFERROR(INDEX(PRENOTAZIONI!$E:$E,SMALL(PRENOTAZIONI!$AE:$AE,7)),"")</f>
        <v/>
      </c>
      <c r="E10" s="34" t="str">
        <f>IFERROR(INDEX(PRENOTAZIONI!$F:$F,SMALL(PRENOTAZIONI!$AE:$AE,7)),"")</f>
        <v/>
      </c>
      <c r="F10" s="34" t="str">
        <f>IFERROR(INDEX(PRENOTAZIONI!$G:$G,SMALL(PRENOTAZIONI!$AE:$AE,7)),"")</f>
        <v/>
      </c>
      <c r="G10" s="35" t="str">
        <f>IFERROR(INDEX(PRENOTAZIONI!$H:$H,SMALL(PRENOTAZIONI!$AE:$AE,7)),"")</f>
        <v/>
      </c>
      <c r="H10" s="146" t="str">
        <f t="shared" si="1"/>
        <v/>
      </c>
      <c r="I10" s="35" t="str">
        <f t="shared" si="8"/>
        <v/>
      </c>
      <c r="J10" s="149" t="str">
        <f t="shared" si="9"/>
        <v/>
      </c>
      <c r="K10" s="34" t="str">
        <f>IFERROR(INDEX(PRENOTAZIONI!$K:$K,SMALL(PRENOTAZIONI!$AE:$AE,7)),"")</f>
        <v/>
      </c>
      <c r="L10" s="35" t="str">
        <f>IFERROR(INDEX(PRENOTAZIONI!$L:$L,SMALL(PRENOTAZIONI!$AE:$AE,7)),"")</f>
        <v/>
      </c>
      <c r="M10" s="150" t="str">
        <f t="shared" si="2"/>
        <v/>
      </c>
      <c r="N10" s="35" t="str">
        <f t="shared" si="3"/>
        <v/>
      </c>
      <c r="O10" s="35"/>
      <c r="P10" s="43"/>
      <c r="Q10" s="150" t="str">
        <f t="shared" si="4"/>
        <v/>
      </c>
      <c r="R10" s="47" t="str">
        <f>IFERROR(INDEX(PRENOTAZIONI!$R:$R,SMALL(PRENOTAZIONI!$AE:$AE,7)),"")</f>
        <v/>
      </c>
      <c r="S10" s="101"/>
      <c r="T10" s="99" t="str">
        <f>IFERROR(INDEX(PRENOTAZIONI!$A:$A,SMALL(PRENOTAZIONI!$AS:$AS,7)),"")</f>
        <v/>
      </c>
      <c r="U10" s="31" t="str">
        <f>IFERROR(INDEX(PRENOTAZIONI!$B:$B,SMALL(PRENOTAZIONI!$AS:$AS,7)),"")</f>
        <v/>
      </c>
      <c r="V10" s="32" t="str">
        <f t="shared" si="5"/>
        <v/>
      </c>
      <c r="W10" s="34" t="str">
        <f>IFERROR(INDEX(PRENOTAZIONI!$E:$E,SMALL(PRENOTAZIONI!$AS:$AS,7)),"")</f>
        <v/>
      </c>
      <c r="X10" s="34" t="str">
        <f>IFERROR(INDEX(PRENOTAZIONI!$F:$F,SMALL(PRENOTAZIONI!$AS:$AS,7)),"")</f>
        <v/>
      </c>
      <c r="Y10" s="35" t="str">
        <f>IFERROR(INDEX(PRENOTAZIONI!$H:$H,SMALL(PRENOTAZIONI!$AS:$AS,7)),"")</f>
        <v/>
      </c>
      <c r="Z10" s="34" t="str">
        <f>IFERROR(INDEX(PRENOTAZIONI!$K:$K,SMALL(PRENOTAZIONI!$AS:$AS,7)),"")</f>
        <v/>
      </c>
      <c r="AA10" s="34"/>
      <c r="AB10" s="34"/>
      <c r="AC10" s="40" t="str">
        <f t="shared" si="6"/>
        <v/>
      </c>
      <c r="AD10" s="41" t="str">
        <f t="shared" si="7"/>
        <v/>
      </c>
      <c r="AF10" s="38"/>
      <c r="AG10" s="113" t="s">
        <v>187</v>
      </c>
      <c r="AH10" s="114">
        <f>SUMPRODUCT((MONTH(PRENOTAZIONI!$A$3:$A$262)=7)*(YEAR(PRENOTAZIONI!$A$3:$A$262)=2026)*(PRENOTAZIONI!$D$3:$D$262="Villa Nella"))</f>
        <v>2</v>
      </c>
      <c r="AI10" s="114">
        <f>SUMPRODUCT((PRENOTAZIONI!$A$3:$A$262&lt;DATE(2026,8,1))*(PRENOTAZIONI!$B$3:$B$262&gt;DATE(2026,7,1))*(YEAR(PRENOTAZIONI!$A$3:$A$262)=2026)*(PRENOTAZIONI!$D$3:$D$262="Villa Nella")*((PRENOTAZIONI!$B$3:$B$262*(PRENOTAZIONI!$B$3:$B$262&lt;DATE(2026,8,1))+DATE(2026,8,1)*(PRENOTAZIONI!$B$3:$B$262&gt;=DATE(2026,8,1)))-(PRENOTAZIONI!$A$3:$A$262*(PRENOTAZIONI!$A$3:$A$262&gt;DATE(2026,7,1))+DATE(2026,7,1)*(PRENOTAZIONI!$A$3:$A$262&lt;=DATE(2026,7,1)))))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17</v>
      </c>
      <c r="AJ10" s="151">
        <f>SUMIF(A4:A33,"&gt;="&amp;DATE(2026,7,1),G4:G33)-SUMIF(A4:A33,"&gt;="&amp;DATE(2026,8,1),G4:G33)</f>
        <v>8048.9100000000035</v>
      </c>
      <c r="AK10" s="151">
        <f>SUMIF(A4:A33,"&gt;="&amp;DATE(2026,7,1),I4:I33)-SUMIF(A4:A33,"&gt;="&amp;DATE(2026,8,1),I4:I33)</f>
        <v>778.41150000000005</v>
      </c>
      <c r="AL10" s="151">
        <f>SUMIF(A4:A33,"&gt;="&amp;DATE(2026,7,1),L4:L33)-SUMIF(A4:A33,"&gt;="&amp;DATE(2026,8,1),L4:L33)</f>
        <v>0</v>
      </c>
      <c r="AM10" s="151">
        <f>SUMIF(A4:A33,"&gt;="&amp;DATE(2026,7,1),N4:N33)-SUMIF(A4:A33,"&gt;="&amp;DATE(2026,8,1),N4:N33)</f>
        <v>2012.2275000000009</v>
      </c>
      <c r="AN10" s="152">
        <f>SUMIF(A4:A33,"&gt;="&amp;DATE(2026,7,1),M4:M33)-SUMIF(A4:A33,"&gt;="&amp;DATE(2026,8,1),M4:M33)</f>
        <v>1690.2710999999999</v>
      </c>
      <c r="AO10" s="152">
        <f>SUMIF(A4:A33,"&gt;="&amp;DATE(2026,7,1),J4:J33)-SUMIF(A4:A33,"&gt;="&amp;DATE(2026,8,1),J4:J33)</f>
        <v>171.25052999999997</v>
      </c>
      <c r="AP10" s="153">
        <f>SUMIF(A4:A33,"&gt;="&amp;DATE(2026,7,1),Q4:Q33)-SUMIF(A4:A33,"&gt;="&amp;DATE(2026,8,1),Q4:Q33)</f>
        <v>3277.74937</v>
      </c>
    </row>
    <row r="11" spans="1:60" ht="20" customHeight="1" x14ac:dyDescent="0.2">
      <c r="A11" s="31" t="str">
        <f>IFERROR(INDEX(PRENOTAZIONI!$A:$A,SMALL(PRENOTAZIONI!$AE:$AE,8)),"")</f>
        <v/>
      </c>
      <c r="B11" s="31" t="str">
        <f>IFERROR(INDEX(PRENOTAZIONI!$B:$B,SMALL(PRENOTAZIONI!$AE:$AE,8)),"")</f>
        <v/>
      </c>
      <c r="C11" s="32" t="str">
        <f t="shared" si="0"/>
        <v/>
      </c>
      <c r="D11" s="34" t="str">
        <f>IFERROR(INDEX(PRENOTAZIONI!$E:$E,SMALL(PRENOTAZIONI!$AE:$AE,8)),"")</f>
        <v/>
      </c>
      <c r="E11" s="34" t="str">
        <f>IFERROR(INDEX(PRENOTAZIONI!$F:$F,SMALL(PRENOTAZIONI!$AE:$AE,8)),"")</f>
        <v/>
      </c>
      <c r="F11" s="34" t="str">
        <f>IFERROR(INDEX(PRENOTAZIONI!$G:$G,SMALL(PRENOTAZIONI!$AE:$AE,8)),"")</f>
        <v/>
      </c>
      <c r="G11" s="35" t="str">
        <f>IFERROR(INDEX(PRENOTAZIONI!$H:$H,SMALL(PRENOTAZIONI!$AE:$AE,8)),"")</f>
        <v/>
      </c>
      <c r="H11" s="146" t="str">
        <f t="shared" si="1"/>
        <v/>
      </c>
      <c r="I11" s="35" t="str">
        <f t="shared" si="8"/>
        <v/>
      </c>
      <c r="J11" s="149" t="str">
        <f t="shared" si="9"/>
        <v/>
      </c>
      <c r="K11" s="34" t="str">
        <f>IFERROR(INDEX(PRENOTAZIONI!$K:$K,SMALL(PRENOTAZIONI!$AE:$AE,8)),"")</f>
        <v/>
      </c>
      <c r="L11" s="35" t="str">
        <f>IFERROR(INDEX(PRENOTAZIONI!$L:$L,SMALL(PRENOTAZIONI!$AE:$AE,8)),"")</f>
        <v/>
      </c>
      <c r="M11" s="150" t="str">
        <f t="shared" si="2"/>
        <v/>
      </c>
      <c r="N11" s="35" t="str">
        <f t="shared" si="3"/>
        <v/>
      </c>
      <c r="O11" s="35"/>
      <c r="P11" s="43"/>
      <c r="Q11" s="150" t="str">
        <f t="shared" si="4"/>
        <v/>
      </c>
      <c r="R11" s="47" t="str">
        <f>IFERROR(INDEX(PRENOTAZIONI!$R:$R,SMALL(PRENOTAZIONI!$AE:$AE,8)),"")</f>
        <v/>
      </c>
      <c r="S11" s="101"/>
      <c r="T11" s="99" t="str">
        <f>IFERROR(INDEX(PRENOTAZIONI!$A:$A,SMALL(PRENOTAZIONI!$AS:$AS,8)),"")</f>
        <v/>
      </c>
      <c r="U11" s="31" t="str">
        <f>IFERROR(INDEX(PRENOTAZIONI!$B:$B,SMALL(PRENOTAZIONI!$AS:$AS,8)),"")</f>
        <v/>
      </c>
      <c r="V11" s="32" t="str">
        <f t="shared" si="5"/>
        <v/>
      </c>
      <c r="W11" s="34" t="str">
        <f>IFERROR(INDEX(PRENOTAZIONI!$E:$E,SMALL(PRENOTAZIONI!$AS:$AS,8)),"")</f>
        <v/>
      </c>
      <c r="X11" s="34" t="str">
        <f>IFERROR(INDEX(PRENOTAZIONI!$F:$F,SMALL(PRENOTAZIONI!$AS:$AS,8)),"")</f>
        <v/>
      </c>
      <c r="Y11" s="35" t="str">
        <f>IFERROR(INDEX(PRENOTAZIONI!$H:$H,SMALL(PRENOTAZIONI!$AS:$AS,8)),"")</f>
        <v/>
      </c>
      <c r="Z11" s="34" t="str">
        <f>IFERROR(INDEX(PRENOTAZIONI!$K:$K,SMALL(PRENOTAZIONI!$AS:$AS,8)),"")</f>
        <v/>
      </c>
      <c r="AA11" s="34"/>
      <c r="AB11" s="34"/>
      <c r="AC11" s="40" t="str">
        <f t="shared" si="6"/>
        <v/>
      </c>
      <c r="AD11" s="41" t="str">
        <f t="shared" si="7"/>
        <v/>
      </c>
      <c r="AF11" s="38"/>
      <c r="AG11" s="113" t="s">
        <v>188</v>
      </c>
      <c r="AH11" s="114">
        <f>SUMPRODUCT((MONTH(PRENOTAZIONI!$A$3:$A$262)=8)*(YEAR(PRENOTAZIONI!$A$3:$A$262)=2026)*(PRENOTAZIONI!$D$3:$D$262="Villa Nella"))</f>
        <v>3</v>
      </c>
      <c r="AI11" s="114">
        <f>SUMPRODUCT((PRENOTAZIONI!$A$3:$A$262&lt;DATE(2026,9,1))*(PRENOTAZIONI!$B$3:$B$262&gt;DATE(2026,8,1))*(YEAR(PRENOTAZIONI!$A$3:$A$262)=2026)*(PRENOTAZIONI!$D$3:$D$262="Villa Nella")*((PRENOTAZIONI!$B$3:$B$262*(PRENOTAZIONI!$B$3:$B$262&lt;DATE(2026,9,1))+DATE(2026,9,1)*(PRENOTAZIONI!$B$3:$B$262&gt;=DATE(2026,9,1)))-(PRENOTAZIONI!$A$3:$A$262*(PRENOTAZIONI!$A$3:$A$262&gt;DATE(2026,8,1))+DATE(2026,8,1)*(PRENOTAZIONI!$A$3:$A$262&lt;=DATE(2026,8,1)))))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23</v>
      </c>
      <c r="AJ11" s="151">
        <f>SUMIF(A4:A33,"&gt;="&amp;DATE(2026,8,1),G4:G33)-SUMIF(A4:A33,"&gt;="&amp;DATE(2026,9,1),G4:G33)</f>
        <v>9544.2799999999988</v>
      </c>
      <c r="AK11" s="151">
        <f>SUMIF(A4:A33,"&gt;="&amp;DATE(2026,8,1),I4:I33)-SUMIF(A4:A33,"&gt;="&amp;DATE(2026,9,1),I4:I33)</f>
        <v>921.64199999999994</v>
      </c>
      <c r="AL11" s="151">
        <f>SUMIF(A4:A33,"&gt;="&amp;DATE(2026,8,1),L4:L33)-SUMIF(A4:A33,"&gt;="&amp;DATE(2026,9,1),L4:L33)</f>
        <v>0</v>
      </c>
      <c r="AM11" s="151">
        <f>SUMIF(A4:A33,"&gt;="&amp;DATE(2026,8,1),N4:N33)-SUMIF(A4:A33,"&gt;="&amp;DATE(2026,9,1),N4:N33)</f>
        <v>2386.0699999999997</v>
      </c>
      <c r="AN11" s="152">
        <f>SUMIF(A4:A33,"&gt;="&amp;DATE(2026,8,1),M4:M33)-SUMIF(A4:A33,"&gt;="&amp;DATE(2026,9,1),M4:M33)</f>
        <v>2004.2988</v>
      </c>
      <c r="AO11" s="152">
        <f>SUMIF(A4:A33,"&gt;="&amp;DATE(2026,8,1),J4:J33)-SUMIF(A4:A33,"&gt;="&amp;DATE(2026,9,1),J4:J33)</f>
        <v>179.69348571428571</v>
      </c>
      <c r="AP11" s="153">
        <f>SUMIF(A4:A33,"&gt;="&amp;DATE(2026,8,1),Q4:Q33)-SUMIF(A4:A33,"&gt;="&amp;DATE(2026,9,1),Q4:Q33)</f>
        <v>4052.5757142857142</v>
      </c>
    </row>
    <row r="12" spans="1:60" ht="20" customHeight="1" x14ac:dyDescent="0.2">
      <c r="A12" s="31" t="str">
        <f>IFERROR(INDEX(PRENOTAZIONI!$A:$A,SMALL(PRENOTAZIONI!$AE:$AE,9)),"")</f>
        <v/>
      </c>
      <c r="B12" s="31" t="str">
        <f>IFERROR(INDEX(PRENOTAZIONI!$B:$B,SMALL(PRENOTAZIONI!$AE:$AE,9)),"")</f>
        <v/>
      </c>
      <c r="C12" s="32" t="str">
        <f t="shared" si="0"/>
        <v/>
      </c>
      <c r="D12" s="34" t="str">
        <f>IFERROR(INDEX(PRENOTAZIONI!$E:$E,SMALL(PRENOTAZIONI!$AE:$AE,9)),"")</f>
        <v/>
      </c>
      <c r="E12" s="34" t="str">
        <f>IFERROR(INDEX(PRENOTAZIONI!$F:$F,SMALL(PRENOTAZIONI!$AE:$AE,9)),"")</f>
        <v/>
      </c>
      <c r="F12" s="34" t="str">
        <f>IFERROR(INDEX(PRENOTAZIONI!$G:$G,SMALL(PRENOTAZIONI!$AE:$AE,9)),"")</f>
        <v/>
      </c>
      <c r="G12" s="35" t="str">
        <f>IFERROR(INDEX(PRENOTAZIONI!$H:$H,SMALL(PRENOTAZIONI!$AE:$AE,9)),"")</f>
        <v/>
      </c>
      <c r="H12" s="146" t="str">
        <f t="shared" si="1"/>
        <v/>
      </c>
      <c r="I12" s="35" t="str">
        <f t="shared" si="8"/>
        <v/>
      </c>
      <c r="J12" s="149" t="str">
        <f t="shared" si="9"/>
        <v/>
      </c>
      <c r="K12" s="34" t="str">
        <f>IFERROR(INDEX(PRENOTAZIONI!$K:$K,SMALL(PRENOTAZIONI!$AE:$AE,9)),"")</f>
        <v/>
      </c>
      <c r="L12" s="35" t="str">
        <f>IFERROR(INDEX(PRENOTAZIONI!$L:$L,SMALL(PRENOTAZIONI!$AE:$AE,9)),"")</f>
        <v/>
      </c>
      <c r="M12" s="150" t="str">
        <f t="shared" si="2"/>
        <v/>
      </c>
      <c r="N12" s="35" t="str">
        <f t="shared" si="3"/>
        <v/>
      </c>
      <c r="O12" s="35"/>
      <c r="P12" s="43"/>
      <c r="Q12" s="150" t="str">
        <f t="shared" si="4"/>
        <v/>
      </c>
      <c r="R12" s="47" t="str">
        <f>IFERROR(INDEX(PRENOTAZIONI!$R:$R,SMALL(PRENOTAZIONI!$AE:$AE,9)),"")</f>
        <v/>
      </c>
      <c r="S12" s="101"/>
      <c r="T12" s="99" t="str">
        <f>IFERROR(INDEX(PRENOTAZIONI!$A:$A,SMALL(PRENOTAZIONI!$AS:$AS,9)),"")</f>
        <v/>
      </c>
      <c r="U12" s="31" t="str">
        <f>IFERROR(INDEX(PRENOTAZIONI!$B:$B,SMALL(PRENOTAZIONI!$AS:$AS,9)),"")</f>
        <v/>
      </c>
      <c r="V12" s="32" t="str">
        <f t="shared" si="5"/>
        <v/>
      </c>
      <c r="W12" s="34" t="str">
        <f>IFERROR(INDEX(PRENOTAZIONI!$E:$E,SMALL(PRENOTAZIONI!$AS:$AS,9)),"")</f>
        <v/>
      </c>
      <c r="X12" s="34" t="str">
        <f>IFERROR(INDEX(PRENOTAZIONI!$F:$F,SMALL(PRENOTAZIONI!$AS:$AS,9)),"")</f>
        <v/>
      </c>
      <c r="Y12" s="35" t="str">
        <f>IFERROR(INDEX(PRENOTAZIONI!$H:$H,SMALL(PRENOTAZIONI!$AS:$AS,9)),"")</f>
        <v/>
      </c>
      <c r="Z12" s="34" t="str">
        <f>IFERROR(INDEX(PRENOTAZIONI!$K:$K,SMALL(PRENOTAZIONI!$AS:$AS,9)),"")</f>
        <v/>
      </c>
      <c r="AA12" s="34"/>
      <c r="AB12" s="34"/>
      <c r="AC12" s="40" t="str">
        <f t="shared" si="6"/>
        <v/>
      </c>
      <c r="AD12" s="41" t="str">
        <f t="shared" si="7"/>
        <v/>
      </c>
      <c r="AF12" s="38"/>
      <c r="AG12" s="113" t="s">
        <v>189</v>
      </c>
      <c r="AH12" s="114">
        <f>SUMPRODUCT((MONTH(PRENOTAZIONI!$A$3:$A$262)=9)*(YEAR(PRENOTAZIONI!$A$3:$A$262)=2026)*(PRENOTAZIONI!$D$3:$D$262="Villa Nella"))</f>
        <v>0</v>
      </c>
      <c r="AI12" s="114">
        <f>SUMPRODUCT((PRENOTAZIONI!$A$3:$A$262&lt;DATE(2026,10,1))*(PRENOTAZIONI!$B$3:$B$262&gt;DATE(2026,9,1))*(YEAR(PRENOTAZIONI!$A$3:$A$262)=2026)*(PRENOTAZIONI!$D$3:$D$262="Villa Nella")*((PRENOTAZIONI!$B$3:$B$262*(PRENOTAZIONI!$B$3:$B$262&lt;DATE(2026,10,1))+DATE(2026,10,1)*(PRENOTAZIONI!$B$3:$B$262&gt;=DATE(2026,10,1)))-(PRENOTAZIONI!$A$3:$A$262*(PRENOTAZIONI!$A$3:$A$262&gt;DATE(2026,9,1))+DATE(2026,9,1)*(PRENOTAZIONI!$A$3:$A$262&lt;=DATE(2026,9,1)))))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IFERROR(INDEX(PRENOTAZIONI!$A:$A,SMALL(PRENOTAZIONI!$AE:$AE,10)),"")</f>
        <v/>
      </c>
      <c r="B13" s="31" t="str">
        <f>IFERROR(INDEX(PRENOTAZIONI!$B:$B,SMALL(PRENOTAZIONI!$AE:$AE,10)),"")</f>
        <v/>
      </c>
      <c r="C13" s="32" t="str">
        <f t="shared" si="0"/>
        <v/>
      </c>
      <c r="D13" s="34" t="str">
        <f>IFERROR(INDEX(PRENOTAZIONI!$E:$E,SMALL(PRENOTAZIONI!$AE:$AE,10)),"")</f>
        <v/>
      </c>
      <c r="E13" s="34" t="str">
        <f>IFERROR(INDEX(PRENOTAZIONI!$F:$F,SMALL(PRENOTAZIONI!$AE:$AE,10)),"")</f>
        <v/>
      </c>
      <c r="F13" s="34" t="str">
        <f>IFERROR(INDEX(PRENOTAZIONI!$G:$G,SMALL(PRENOTAZIONI!$AE:$AE,10)),"")</f>
        <v/>
      </c>
      <c r="G13" s="35" t="str">
        <f>IFERROR(INDEX(PRENOTAZIONI!$H:$H,SMALL(PRENOTAZIONI!$AE:$AE,10)),"")</f>
        <v/>
      </c>
      <c r="H13" s="146" t="str">
        <f t="shared" si="1"/>
        <v/>
      </c>
      <c r="I13" s="35" t="str">
        <f t="shared" si="8"/>
        <v/>
      </c>
      <c r="J13" s="149" t="str">
        <f t="shared" si="9"/>
        <v/>
      </c>
      <c r="K13" s="34" t="str">
        <f>IFERROR(INDEX(PRENOTAZIONI!$K:$K,SMALL(PRENOTAZIONI!$AE:$AE,10)),"")</f>
        <v/>
      </c>
      <c r="L13" s="35" t="str">
        <f>IFERROR(INDEX(PRENOTAZIONI!$L:$L,SMALL(PRENOTAZIONI!$AE:$AE,10)),"")</f>
        <v/>
      </c>
      <c r="M13" s="150" t="str">
        <f t="shared" si="2"/>
        <v/>
      </c>
      <c r="N13" s="35" t="str">
        <f t="shared" si="3"/>
        <v/>
      </c>
      <c r="O13" s="35"/>
      <c r="P13" s="43"/>
      <c r="Q13" s="150" t="str">
        <f t="shared" si="4"/>
        <v/>
      </c>
      <c r="R13" s="47" t="str">
        <f>IFERROR(INDEX(PRENOTAZIONI!$R:$R,SMALL(PRENOTAZIONI!$AE:$AE,10)),"")</f>
        <v/>
      </c>
      <c r="S13" s="101"/>
      <c r="T13" s="99" t="str">
        <f>IFERROR(INDEX(PRENOTAZIONI!$A:$A,SMALL(PRENOTAZIONI!$AS:$AS,10)),"")</f>
        <v/>
      </c>
      <c r="U13" s="31" t="str">
        <f>IFERROR(INDEX(PRENOTAZIONI!$B:$B,SMALL(PRENOTAZIONI!$AS:$AS,10)),"")</f>
        <v/>
      </c>
      <c r="V13" s="32" t="str">
        <f t="shared" si="5"/>
        <v/>
      </c>
      <c r="W13" s="34" t="str">
        <f>IFERROR(INDEX(PRENOTAZIONI!$E:$E,SMALL(PRENOTAZIONI!$AS:$AS,10)),"")</f>
        <v/>
      </c>
      <c r="X13" s="34" t="str">
        <f>IFERROR(INDEX(PRENOTAZIONI!$F:$F,SMALL(PRENOTAZIONI!$AS:$AS,10)),"")</f>
        <v/>
      </c>
      <c r="Y13" s="35" t="str">
        <f>IFERROR(INDEX(PRENOTAZIONI!$H:$H,SMALL(PRENOTAZIONI!$AS:$AS,10)),"")</f>
        <v/>
      </c>
      <c r="Z13" s="34" t="str">
        <f>IFERROR(INDEX(PRENOTAZIONI!$K:$K,SMALL(PRENOTAZIONI!$AS:$AS,10)),"")</f>
        <v/>
      </c>
      <c r="AA13" s="34"/>
      <c r="AB13" s="34"/>
      <c r="AC13" s="40" t="str">
        <f t="shared" si="6"/>
        <v/>
      </c>
      <c r="AD13" s="41" t="str">
        <f t="shared" si="7"/>
        <v/>
      </c>
      <c r="AF13" s="38"/>
      <c r="AG13" s="113" t="s">
        <v>190</v>
      </c>
      <c r="AH13" s="114">
        <f>SUMPRODUCT((MONTH(PRENOTAZIONI!$A$3:$A$262)=10)*(YEAR(PRENOTAZIONI!$A$3:$A$262)=2026)*(PRENOTAZIONI!$D$3:$D$262="Villa Nella"))</f>
        <v>0</v>
      </c>
      <c r="AI13" s="114">
        <f>SUMPRODUCT((PRENOTAZIONI!$A$3:$A$262&lt;DATE(2026,11,1))*(PRENOTAZIONI!$B$3:$B$262&gt;DATE(2026,10,1))*(YEAR(PRENOTAZIONI!$A$3:$A$262)=2026)*(PRENOTAZIONI!$D$3:$D$262="Villa Nell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IFERROR(INDEX(PRENOTAZIONI!$A:$A,SMALL(PRENOTAZIONI!$AE:$AE,11)),"")</f>
        <v/>
      </c>
      <c r="B14" s="31" t="str">
        <f>IFERROR(INDEX(PRENOTAZIONI!$B:$B,SMALL(PRENOTAZIONI!$AE:$AE,11)),"")</f>
        <v/>
      </c>
      <c r="C14" s="32" t="str">
        <f t="shared" si="0"/>
        <v/>
      </c>
      <c r="D14" s="34" t="str">
        <f>IFERROR(INDEX(PRENOTAZIONI!$E:$E,SMALL(PRENOTAZIONI!$AE:$AE,11)),"")</f>
        <v/>
      </c>
      <c r="E14" s="34" t="str">
        <f>IFERROR(INDEX(PRENOTAZIONI!$F:$F,SMALL(PRENOTAZIONI!$AE:$AE,11)),"")</f>
        <v/>
      </c>
      <c r="F14" s="34" t="str">
        <f>IFERROR(INDEX(PRENOTAZIONI!$G:$G,SMALL(PRENOTAZIONI!$AE:$AE,11)),"")</f>
        <v/>
      </c>
      <c r="G14" s="35" t="str">
        <f>IFERROR(INDEX(PRENOTAZIONI!$H:$H,SMALL(PRENOTAZIONI!$AE:$AE,11)),"")</f>
        <v/>
      </c>
      <c r="H14" s="146" t="str">
        <f t="shared" si="1"/>
        <v/>
      </c>
      <c r="I14" s="35" t="str">
        <f t="shared" si="8"/>
        <v/>
      </c>
      <c r="J14" s="149" t="str">
        <f t="shared" si="9"/>
        <v/>
      </c>
      <c r="K14" s="34" t="str">
        <f>IFERROR(INDEX(PRENOTAZIONI!$K:$K,SMALL(PRENOTAZIONI!$AE:$AE,11)),"")</f>
        <v/>
      </c>
      <c r="L14" s="35" t="str">
        <f>IFERROR(INDEX(PRENOTAZIONI!$L:$L,SMALL(PRENOTAZIONI!$AE:$AE,11)),"")</f>
        <v/>
      </c>
      <c r="M14" s="150" t="str">
        <f t="shared" si="2"/>
        <v/>
      </c>
      <c r="N14" s="35" t="str">
        <f t="shared" si="3"/>
        <v/>
      </c>
      <c r="O14" s="35"/>
      <c r="P14" s="43"/>
      <c r="Q14" s="150" t="str">
        <f t="shared" si="4"/>
        <v/>
      </c>
      <c r="R14" s="47" t="str">
        <f>IFERROR(INDEX(PRENOTAZIONI!$R:$R,SMALL(PRENOTAZIONI!$AE:$AE,11)),"")</f>
        <v/>
      </c>
      <c r="S14" s="101"/>
      <c r="T14" s="99" t="str">
        <f>IFERROR(INDEX(PRENOTAZIONI!$A:$A,SMALL(PRENOTAZIONI!$AS:$AS,11)),"")</f>
        <v/>
      </c>
      <c r="U14" s="31" t="str">
        <f>IFERROR(INDEX(PRENOTAZIONI!$B:$B,SMALL(PRENOTAZIONI!$AS:$AS,11)),"")</f>
        <v/>
      </c>
      <c r="V14" s="32" t="str">
        <f t="shared" si="5"/>
        <v/>
      </c>
      <c r="W14" s="34" t="str">
        <f>IFERROR(INDEX(PRENOTAZIONI!$E:$E,SMALL(PRENOTAZIONI!$AS:$AS,11)),"")</f>
        <v/>
      </c>
      <c r="X14" s="34" t="str">
        <f>IFERROR(INDEX(PRENOTAZIONI!$F:$F,SMALL(PRENOTAZIONI!$AS:$AS,11)),"")</f>
        <v/>
      </c>
      <c r="Y14" s="35" t="str">
        <f>IFERROR(INDEX(PRENOTAZIONI!$H:$H,SMALL(PRENOTAZIONI!$AS:$AS,11)),"")</f>
        <v/>
      </c>
      <c r="Z14" s="34" t="str">
        <f>IFERROR(INDEX(PRENOTAZIONI!$K:$K,SMALL(PRENOTAZIONI!$AS:$AS,11)),"")</f>
        <v/>
      </c>
      <c r="AA14" s="34"/>
      <c r="AB14" s="34"/>
      <c r="AC14" s="40" t="str">
        <f t="shared" si="6"/>
        <v/>
      </c>
      <c r="AD14" s="41" t="str">
        <f t="shared" si="7"/>
        <v/>
      </c>
      <c r="AF14" s="38"/>
      <c r="AG14" s="113" t="s">
        <v>191</v>
      </c>
      <c r="AH14" s="114">
        <f>SUMPRODUCT((MONTH(PRENOTAZIONI!$A$3:$A$262)=11)*(YEAR(PRENOTAZIONI!$A$3:$A$262)=2026)*(PRENOTAZIONI!$D$3:$D$262="Villa Nella"))</f>
        <v>0</v>
      </c>
      <c r="AI14" s="114">
        <f>SUMPRODUCT((PRENOTAZIONI!$A$3:$A$262&lt;DATE(2026,12,1))*(PRENOTAZIONI!$B$3:$B$262&gt;DATE(2026,11,1))*(YEAR(PRENOTAZIONI!$A$3:$A$262)=2026)*(PRENOTAZIONI!$D$3:$D$262="Villa Nell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IFERROR(INDEX(PRENOTAZIONI!$A:$A,SMALL(PRENOTAZIONI!$AE:$AE,12)),"")</f>
        <v/>
      </c>
      <c r="B15" s="31" t="str">
        <f>IFERROR(INDEX(PRENOTAZIONI!$B:$B,SMALL(PRENOTAZIONI!$AE:$AE,12)),"")</f>
        <v/>
      </c>
      <c r="C15" s="32" t="str">
        <f t="shared" si="0"/>
        <v/>
      </c>
      <c r="D15" s="34" t="str">
        <f>IFERROR(INDEX(PRENOTAZIONI!$E:$E,SMALL(PRENOTAZIONI!$AE:$AE,12)),"")</f>
        <v/>
      </c>
      <c r="E15" s="34" t="str">
        <f>IFERROR(INDEX(PRENOTAZIONI!$F:$F,SMALL(PRENOTAZIONI!$AE:$AE,12)),"")</f>
        <v/>
      </c>
      <c r="F15" s="34" t="str">
        <f>IFERROR(INDEX(PRENOTAZIONI!$G:$G,SMALL(PRENOTAZIONI!$AE:$AE,12)),"")</f>
        <v/>
      </c>
      <c r="G15" s="35" t="str">
        <f>IFERROR(INDEX(PRENOTAZIONI!$H:$H,SMALL(PRENOTAZIONI!$AE:$AE,12)),"")</f>
        <v/>
      </c>
      <c r="H15" s="146" t="str">
        <f t="shared" si="1"/>
        <v/>
      </c>
      <c r="I15" s="35" t="str">
        <f t="shared" si="8"/>
        <v/>
      </c>
      <c r="J15" s="149" t="str">
        <f t="shared" si="9"/>
        <v/>
      </c>
      <c r="K15" s="34" t="str">
        <f>IFERROR(INDEX(PRENOTAZIONI!$K:$K,SMALL(PRENOTAZIONI!$AE:$AE,12)),"")</f>
        <v/>
      </c>
      <c r="L15" s="35" t="str">
        <f>IFERROR(INDEX(PRENOTAZIONI!$L:$L,SMALL(PRENOTAZIONI!$AE:$AE,12)),"")</f>
        <v/>
      </c>
      <c r="M15" s="150" t="str">
        <f t="shared" si="2"/>
        <v/>
      </c>
      <c r="N15" s="35" t="str">
        <f t="shared" si="3"/>
        <v/>
      </c>
      <c r="O15" s="35"/>
      <c r="P15" s="43"/>
      <c r="Q15" s="150" t="str">
        <f t="shared" si="4"/>
        <v/>
      </c>
      <c r="R15" s="47" t="str">
        <f>IFERROR(INDEX(PRENOTAZIONI!$R:$R,SMALL(PRENOTAZIONI!$AE:$AE,12)),"")</f>
        <v/>
      </c>
      <c r="S15" s="101"/>
      <c r="T15" s="99" t="str">
        <f>IFERROR(INDEX(PRENOTAZIONI!$A:$A,SMALL(PRENOTAZIONI!$AS:$AS,12)),"")</f>
        <v/>
      </c>
      <c r="U15" s="31" t="str">
        <f>IFERROR(INDEX(PRENOTAZIONI!$B:$B,SMALL(PRENOTAZIONI!$AS:$AS,12)),"")</f>
        <v/>
      </c>
      <c r="V15" s="32" t="str">
        <f t="shared" si="5"/>
        <v/>
      </c>
      <c r="W15" s="34" t="str">
        <f>IFERROR(INDEX(PRENOTAZIONI!$E:$E,SMALL(PRENOTAZIONI!$AS:$AS,12)),"")</f>
        <v/>
      </c>
      <c r="X15" s="34" t="str">
        <f>IFERROR(INDEX(PRENOTAZIONI!$F:$F,SMALL(PRENOTAZIONI!$AS:$AS,12)),"")</f>
        <v/>
      </c>
      <c r="Y15" s="35" t="str">
        <f>IFERROR(INDEX(PRENOTAZIONI!$H:$H,SMALL(PRENOTAZIONI!$AS:$AS,12)),"")</f>
        <v/>
      </c>
      <c r="Z15" s="34" t="str">
        <f>IFERROR(INDEX(PRENOTAZIONI!$K:$K,SMALL(PRENOTAZIONI!$AS:$AS,12)),"")</f>
        <v/>
      </c>
      <c r="AA15" s="34"/>
      <c r="AB15" s="34"/>
      <c r="AC15" s="40" t="str">
        <f t="shared" si="6"/>
        <v/>
      </c>
      <c r="AD15" s="41" t="str">
        <f t="shared" si="7"/>
        <v/>
      </c>
      <c r="AF15" s="38"/>
      <c r="AG15" s="113" t="s">
        <v>192</v>
      </c>
      <c r="AH15" s="114">
        <f>SUMPRODUCT((MONTH(PRENOTAZIONI!$A$3:$A$262)=12)*(YEAR(PRENOTAZIONI!$A$3:$A$262)=2026)*(PRENOTAZIONI!$D$3:$D$262="Villa Nella"))</f>
        <v>0</v>
      </c>
      <c r="AI15" s="114">
        <f>SUMPRODUCT((PRENOTAZIONI!$A$3:$A$262&lt;DATE(2027,1,1))*(PRENOTAZIONI!$B$3:$B$262&gt;DATE(2026,12,1))*(YEAR(PRENOTAZIONI!$A$3:$A$262)=2026)*(PRENOTAZIONI!$D$3:$D$262="Villa Nella")*((PRENOTAZIONI!$B$3:$B$262*(PRENOTAZIONI!$B$3:$B$262&lt;DATE(2027,1,1))+DATE(2027,1,1)*(PRENOTAZIONI!$B$3:$B$262&gt;=DATE(2027,1,1)))-(PRENOTAZIONI!$A$3:$A$262*(PRENOTAZIONI!$A$3:$A$262&gt;DATE(2026,12,1))+DATE(2026,12,1)*(PRENOTAZIONI!$A$3:$A$262&lt;=DATE(2026,12,1)))))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IFERROR(INDEX(PRENOTAZIONI!$A:$A,SMALL(PRENOTAZIONI!$AE:$AE,13)),"")</f>
        <v/>
      </c>
      <c r="B16" s="31" t="str">
        <f>IFERROR(INDEX(PRENOTAZIONI!$B:$B,SMALL(PRENOTAZIONI!$AE:$AE,13)),"")</f>
        <v/>
      </c>
      <c r="C16" s="32" t="str">
        <f t="shared" si="0"/>
        <v/>
      </c>
      <c r="D16" s="34" t="str">
        <f>IFERROR(INDEX(PRENOTAZIONI!$E:$E,SMALL(PRENOTAZIONI!$AE:$AE,13)),"")</f>
        <v/>
      </c>
      <c r="E16" s="34" t="str">
        <f>IFERROR(INDEX(PRENOTAZIONI!$F:$F,SMALL(PRENOTAZIONI!$AE:$AE,13)),"")</f>
        <v/>
      </c>
      <c r="F16" s="34" t="str">
        <f>IFERROR(INDEX(PRENOTAZIONI!$G:$G,SMALL(PRENOTAZIONI!$AE:$AE,13)),"")</f>
        <v/>
      </c>
      <c r="G16" s="35" t="str">
        <f>IFERROR(INDEX(PRENOTAZIONI!$H:$H,SMALL(PRENOTAZIONI!$AE:$AE,13)),"")</f>
        <v/>
      </c>
      <c r="H16" s="146" t="str">
        <f t="shared" si="1"/>
        <v/>
      </c>
      <c r="I16" s="35" t="str">
        <f t="shared" si="8"/>
        <v/>
      </c>
      <c r="J16" s="149" t="str">
        <f t="shared" si="9"/>
        <v/>
      </c>
      <c r="K16" s="34" t="str">
        <f>IFERROR(INDEX(PRENOTAZIONI!$K:$K,SMALL(PRENOTAZIONI!$AE:$AE,13)),"")</f>
        <v/>
      </c>
      <c r="L16" s="35" t="str">
        <f>IFERROR(INDEX(PRENOTAZIONI!$L:$L,SMALL(PRENOTAZIONI!$AE:$AE,13)),"")</f>
        <v/>
      </c>
      <c r="M16" s="150" t="str">
        <f t="shared" si="2"/>
        <v/>
      </c>
      <c r="N16" s="35" t="str">
        <f t="shared" si="3"/>
        <v/>
      </c>
      <c r="O16" s="35"/>
      <c r="P16" s="43"/>
      <c r="Q16" s="150" t="str">
        <f t="shared" si="4"/>
        <v/>
      </c>
      <c r="R16" s="47" t="str">
        <f>IFERROR(INDEX(PRENOTAZIONI!$R:$R,SMALL(PRENOTAZIONI!$AE:$AE,13)),"")</f>
        <v/>
      </c>
      <c r="S16" s="101"/>
      <c r="T16" s="99" t="str">
        <f>IFERROR(INDEX(PRENOTAZIONI!$A:$A,SMALL(PRENOTAZIONI!$AS:$AS,13)),"")</f>
        <v/>
      </c>
      <c r="U16" s="31" t="str">
        <f>IFERROR(INDEX(PRENOTAZIONI!$B:$B,SMALL(PRENOTAZIONI!$AS:$AS,13)),"")</f>
        <v/>
      </c>
      <c r="V16" s="32" t="str">
        <f t="shared" si="5"/>
        <v/>
      </c>
      <c r="W16" s="34" t="str">
        <f>IFERROR(INDEX(PRENOTAZIONI!$E:$E,SMALL(PRENOTAZIONI!$AS:$AS,13)),"")</f>
        <v/>
      </c>
      <c r="X16" s="34" t="str">
        <f>IFERROR(INDEX(PRENOTAZIONI!$F:$F,SMALL(PRENOTAZIONI!$AS:$AS,13)),"")</f>
        <v/>
      </c>
      <c r="Y16" s="35" t="str">
        <f>IFERROR(INDEX(PRENOTAZIONI!$H:$H,SMALL(PRENOTAZIONI!$AS:$AS,13)),"")</f>
        <v/>
      </c>
      <c r="Z16" s="34" t="str">
        <f>IFERROR(INDEX(PRENOTAZIONI!$K:$K,SMALL(PRENOTAZIONI!$AS:$AS,13)),"")</f>
        <v/>
      </c>
      <c r="AA16" s="34"/>
      <c r="AB16" s="34"/>
      <c r="AC16" s="40" t="str">
        <f t="shared" si="6"/>
        <v/>
      </c>
      <c r="AD16" s="41" t="str">
        <f t="shared" si="7"/>
        <v/>
      </c>
      <c r="AF16" s="38"/>
      <c r="AG16" s="115" t="s">
        <v>196</v>
      </c>
      <c r="AH16" s="116">
        <f t="shared" ref="AH16:AP16" si="10">SUM(AH4:AH15)</f>
        <v>6</v>
      </c>
      <c r="AI16" s="116">
        <f t="shared" si="10"/>
        <v>52</v>
      </c>
      <c r="AJ16" s="116">
        <f t="shared" si="10"/>
        <v>20824.550000000003</v>
      </c>
      <c r="AK16" s="116">
        <f t="shared" si="10"/>
        <v>2184.7574999999997</v>
      </c>
      <c r="AL16" s="116">
        <f t="shared" si="10"/>
        <v>0</v>
      </c>
      <c r="AM16" s="116">
        <f t="shared" si="10"/>
        <v>5206.1375000000007</v>
      </c>
      <c r="AN16" s="116">
        <f t="shared" si="10"/>
        <v>4373.1555000000008</v>
      </c>
      <c r="AO16" s="117">
        <f t="shared" si="10"/>
        <v>457.57889571428569</v>
      </c>
      <c r="AP16" s="117">
        <f t="shared" si="10"/>
        <v>7853.9206042857131</v>
      </c>
    </row>
    <row r="17" spans="1:42" ht="22" customHeight="1" x14ac:dyDescent="0.2">
      <c r="A17" s="31" t="str">
        <f>IFERROR(INDEX(PRENOTAZIONI!$A:$A,SMALL(PRENOTAZIONI!$AE:$AE,14)),"")</f>
        <v/>
      </c>
      <c r="B17" s="31" t="str">
        <f>IFERROR(INDEX(PRENOTAZIONI!$B:$B,SMALL(PRENOTAZIONI!$AE:$AE,14)),"")</f>
        <v/>
      </c>
      <c r="C17" s="32" t="str">
        <f t="shared" si="0"/>
        <v/>
      </c>
      <c r="D17" s="34" t="str">
        <f>IFERROR(INDEX(PRENOTAZIONI!$E:$E,SMALL(PRENOTAZIONI!$AE:$AE,14)),"")</f>
        <v/>
      </c>
      <c r="E17" s="34" t="str">
        <f>IFERROR(INDEX(PRENOTAZIONI!$F:$F,SMALL(PRENOTAZIONI!$AE:$AE,14)),"")</f>
        <v/>
      </c>
      <c r="F17" s="34" t="str">
        <f>IFERROR(INDEX(PRENOTAZIONI!$G:$G,SMALL(PRENOTAZIONI!$AE:$AE,14)),"")</f>
        <v/>
      </c>
      <c r="G17" s="35" t="str">
        <f>IFERROR(INDEX(PRENOTAZIONI!$H:$H,SMALL(PRENOTAZIONI!$AE:$AE,14)),"")</f>
        <v/>
      </c>
      <c r="H17" s="146" t="str">
        <f t="shared" si="1"/>
        <v/>
      </c>
      <c r="I17" s="35" t="str">
        <f t="shared" si="8"/>
        <v/>
      </c>
      <c r="J17" s="149" t="str">
        <f t="shared" si="9"/>
        <v/>
      </c>
      <c r="K17" s="34" t="str">
        <f>IFERROR(INDEX(PRENOTAZIONI!$K:$K,SMALL(PRENOTAZIONI!$AE:$AE,14)),"")</f>
        <v/>
      </c>
      <c r="L17" s="35" t="str">
        <f>IFERROR(INDEX(PRENOTAZIONI!$L:$L,SMALL(PRENOTAZIONI!$AE:$AE,14)),"")</f>
        <v/>
      </c>
      <c r="M17" s="150" t="str">
        <f t="shared" si="2"/>
        <v/>
      </c>
      <c r="N17" s="35" t="str">
        <f t="shared" si="3"/>
        <v/>
      </c>
      <c r="O17" s="35"/>
      <c r="P17" s="43"/>
      <c r="Q17" s="150" t="str">
        <f t="shared" si="4"/>
        <v/>
      </c>
      <c r="R17" s="47" t="str">
        <f>IFERROR(INDEX(PRENOTAZIONI!$R:$R,SMALL(PRENOTAZIONI!$AE:$AE,14)),"")</f>
        <v/>
      </c>
      <c r="S17" s="101"/>
      <c r="T17" s="99" t="str">
        <f>IFERROR(INDEX(PRENOTAZIONI!$A:$A,SMALL(PRENOTAZIONI!$AS:$AS,14)),"")</f>
        <v/>
      </c>
      <c r="U17" s="31" t="str">
        <f>IFERROR(INDEX(PRENOTAZIONI!$B:$B,SMALL(PRENOTAZIONI!$AS:$AS,14)),"")</f>
        <v/>
      </c>
      <c r="V17" s="32" t="str">
        <f t="shared" si="5"/>
        <v/>
      </c>
      <c r="W17" s="34" t="str">
        <f>IFERROR(INDEX(PRENOTAZIONI!$E:$E,SMALL(PRENOTAZIONI!$AS:$AS,14)),"")</f>
        <v/>
      </c>
      <c r="X17" s="34" t="str">
        <f>IFERROR(INDEX(PRENOTAZIONI!$F:$F,SMALL(PRENOTAZIONI!$AS:$AS,14)),"")</f>
        <v/>
      </c>
      <c r="Y17" s="35" t="str">
        <f>IFERROR(INDEX(PRENOTAZIONI!$H:$H,SMALL(PRENOTAZIONI!$AS:$AS,14)),"")</f>
        <v/>
      </c>
      <c r="Z17" s="34" t="str">
        <f>IFERROR(INDEX(PRENOTAZIONI!$K:$K,SMALL(PRENOTAZIONI!$AS:$AS,14)),"")</f>
        <v/>
      </c>
      <c r="AA17" s="34"/>
      <c r="AB17" s="34"/>
      <c r="AC17" s="40" t="str">
        <f t="shared" si="6"/>
        <v/>
      </c>
      <c r="AD17" s="41" t="str">
        <f t="shared" si="7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IFERROR(INDEX(PRENOTAZIONI!$A:$A,SMALL(PRENOTAZIONI!$AE:$AE,15)),"")</f>
        <v/>
      </c>
      <c r="B18" s="31" t="str">
        <f>IFERROR(INDEX(PRENOTAZIONI!$B:$B,SMALL(PRENOTAZIONI!$AE:$AE,15)),"")</f>
        <v/>
      </c>
      <c r="C18" s="32" t="str">
        <f t="shared" si="0"/>
        <v/>
      </c>
      <c r="D18" s="34" t="str">
        <f>IFERROR(INDEX(PRENOTAZIONI!$E:$E,SMALL(PRENOTAZIONI!$AE:$AE,15)),"")</f>
        <v/>
      </c>
      <c r="E18" s="34" t="str">
        <f>IFERROR(INDEX(PRENOTAZIONI!$F:$F,SMALL(PRENOTAZIONI!$AE:$AE,15)),"")</f>
        <v/>
      </c>
      <c r="F18" s="34" t="str">
        <f>IFERROR(INDEX(PRENOTAZIONI!$G:$G,SMALL(PRENOTAZIONI!$AE:$AE,15)),"")</f>
        <v/>
      </c>
      <c r="G18" s="35" t="str">
        <f>IFERROR(INDEX(PRENOTAZIONI!$H:$H,SMALL(PRENOTAZIONI!$AE:$AE,15)),"")</f>
        <v/>
      </c>
      <c r="H18" s="146" t="str">
        <f t="shared" si="1"/>
        <v/>
      </c>
      <c r="I18" s="35" t="str">
        <f t="shared" si="8"/>
        <v/>
      </c>
      <c r="J18" s="149" t="str">
        <f t="shared" si="9"/>
        <v/>
      </c>
      <c r="K18" s="34" t="str">
        <f>IFERROR(INDEX(PRENOTAZIONI!$K:$K,SMALL(PRENOTAZIONI!$AE:$AE,15)),"")</f>
        <v/>
      </c>
      <c r="L18" s="35" t="str">
        <f>IFERROR(INDEX(PRENOTAZIONI!$L:$L,SMALL(PRENOTAZIONI!$AE:$AE,15)),"")</f>
        <v/>
      </c>
      <c r="M18" s="150" t="str">
        <f t="shared" si="2"/>
        <v/>
      </c>
      <c r="N18" s="35" t="str">
        <f t="shared" si="3"/>
        <v/>
      </c>
      <c r="O18" s="35"/>
      <c r="P18" s="43"/>
      <c r="Q18" s="150" t="str">
        <f t="shared" si="4"/>
        <v/>
      </c>
      <c r="R18" s="47" t="str">
        <f>IFERROR(INDEX(PRENOTAZIONI!$R:$R,SMALL(PRENOTAZIONI!$AE:$AE,15)),"")</f>
        <v/>
      </c>
      <c r="S18" s="101"/>
      <c r="T18" s="99" t="str">
        <f>IFERROR(INDEX(PRENOTAZIONI!$A:$A,SMALL(PRENOTAZIONI!$AS:$AS,15)),"")</f>
        <v/>
      </c>
      <c r="U18" s="31" t="str">
        <f>IFERROR(INDEX(PRENOTAZIONI!$B:$B,SMALL(PRENOTAZIONI!$AS:$AS,15)),"")</f>
        <v/>
      </c>
      <c r="V18" s="32" t="str">
        <f t="shared" si="5"/>
        <v/>
      </c>
      <c r="W18" s="34" t="str">
        <f>IFERROR(INDEX(PRENOTAZIONI!$E:$E,SMALL(PRENOTAZIONI!$AS:$AS,15)),"")</f>
        <v/>
      </c>
      <c r="X18" s="34" t="str">
        <f>IFERROR(INDEX(PRENOTAZIONI!$F:$F,SMALL(PRENOTAZIONI!$AS:$AS,15)),"")</f>
        <v/>
      </c>
      <c r="Y18" s="35" t="str">
        <f>IFERROR(INDEX(PRENOTAZIONI!$H:$H,SMALL(PRENOTAZIONI!$AS:$AS,15)),"")</f>
        <v/>
      </c>
      <c r="Z18" s="34" t="str">
        <f>IFERROR(INDEX(PRENOTAZIONI!$K:$K,SMALL(PRENOTAZIONI!$AS:$AS,15)),"")</f>
        <v/>
      </c>
      <c r="AA18" s="34"/>
      <c r="AB18" s="34"/>
      <c r="AC18" s="40" t="str">
        <f t="shared" si="6"/>
        <v/>
      </c>
      <c r="AD18" s="41" t="str">
        <f t="shared" si="7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IFERROR(INDEX(PRENOTAZIONI!$A:$A,SMALL(PRENOTAZIONI!$AE:$AE,16)),"")</f>
        <v/>
      </c>
      <c r="B19" s="31" t="str">
        <f>IFERROR(INDEX(PRENOTAZIONI!$B:$B,SMALL(PRENOTAZIONI!$AE:$AE,16)),"")</f>
        <v/>
      </c>
      <c r="C19" s="32" t="str">
        <f t="shared" si="0"/>
        <v/>
      </c>
      <c r="D19" s="34" t="str">
        <f>IFERROR(INDEX(PRENOTAZIONI!$E:$E,SMALL(PRENOTAZIONI!$AE:$AE,16)),"")</f>
        <v/>
      </c>
      <c r="E19" s="34" t="str">
        <f>IFERROR(INDEX(PRENOTAZIONI!$F:$F,SMALL(PRENOTAZIONI!$AE:$AE,16)),"")</f>
        <v/>
      </c>
      <c r="F19" s="34" t="str">
        <f>IFERROR(INDEX(PRENOTAZIONI!$G:$G,SMALL(PRENOTAZIONI!$AE:$AE,16)),"")</f>
        <v/>
      </c>
      <c r="G19" s="35" t="str">
        <f>IFERROR(INDEX(PRENOTAZIONI!$H:$H,SMALL(PRENOTAZIONI!$AE:$AE,16)),"")</f>
        <v/>
      </c>
      <c r="H19" s="146" t="str">
        <f t="shared" si="1"/>
        <v/>
      </c>
      <c r="I19" s="35" t="str">
        <f t="shared" si="8"/>
        <v/>
      </c>
      <c r="J19" s="149" t="str">
        <f t="shared" si="9"/>
        <v/>
      </c>
      <c r="K19" s="34" t="str">
        <f>IFERROR(INDEX(PRENOTAZIONI!$K:$K,SMALL(PRENOTAZIONI!$AE:$AE,16)),"")</f>
        <v/>
      </c>
      <c r="L19" s="35" t="str">
        <f>IFERROR(INDEX(PRENOTAZIONI!$L:$L,SMALL(PRENOTAZIONI!$AE:$AE,16)),"")</f>
        <v/>
      </c>
      <c r="M19" s="150" t="str">
        <f t="shared" si="2"/>
        <v/>
      </c>
      <c r="N19" s="35" t="str">
        <f t="shared" si="3"/>
        <v/>
      </c>
      <c r="O19" s="35"/>
      <c r="P19" s="43"/>
      <c r="Q19" s="150" t="str">
        <f t="shared" si="4"/>
        <v/>
      </c>
      <c r="R19" s="47" t="str">
        <f>IFERROR(INDEX(PRENOTAZIONI!$R:$R,SMALL(PRENOTAZIONI!$AE:$AE,16)),"")</f>
        <v/>
      </c>
      <c r="S19" s="101"/>
      <c r="T19" s="99" t="str">
        <f>IFERROR(INDEX(PRENOTAZIONI!$A:$A,SMALL(PRENOTAZIONI!$AS:$AS,16)),"")</f>
        <v/>
      </c>
      <c r="U19" s="31" t="str">
        <f>IFERROR(INDEX(PRENOTAZIONI!$B:$B,SMALL(PRENOTAZIONI!$AS:$AS,16)),"")</f>
        <v/>
      </c>
      <c r="V19" s="32" t="str">
        <f t="shared" si="5"/>
        <v/>
      </c>
      <c r="W19" s="34" t="str">
        <f>IFERROR(INDEX(PRENOTAZIONI!$E:$E,SMALL(PRENOTAZIONI!$AS:$AS,16)),"")</f>
        <v/>
      </c>
      <c r="X19" s="34" t="str">
        <f>IFERROR(INDEX(PRENOTAZIONI!$F:$F,SMALL(PRENOTAZIONI!$AS:$AS,16)),"")</f>
        <v/>
      </c>
      <c r="Y19" s="35" t="str">
        <f>IFERROR(INDEX(PRENOTAZIONI!$H:$H,SMALL(PRENOTAZIONI!$AS:$AS,16)),"")</f>
        <v/>
      </c>
      <c r="Z19" s="34" t="str">
        <f>IFERROR(INDEX(PRENOTAZIONI!$K:$K,SMALL(PRENOTAZIONI!$AS:$AS,16)),"")</f>
        <v/>
      </c>
      <c r="AA19" s="34"/>
      <c r="AB19" s="34"/>
      <c r="AC19" s="40" t="str">
        <f t="shared" si="6"/>
        <v/>
      </c>
      <c r="AD19" s="41" t="str">
        <f t="shared" si="7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IFERROR(INDEX(PRENOTAZIONI!$A:$A,SMALL(PRENOTAZIONI!$AE:$AE,17)),"")</f>
        <v/>
      </c>
      <c r="B20" s="31" t="str">
        <f>IFERROR(INDEX(PRENOTAZIONI!$B:$B,SMALL(PRENOTAZIONI!$AE:$AE,17)),"")</f>
        <v/>
      </c>
      <c r="C20" s="32" t="str">
        <f t="shared" si="0"/>
        <v/>
      </c>
      <c r="D20" s="34" t="str">
        <f>IFERROR(INDEX(PRENOTAZIONI!$E:$E,SMALL(PRENOTAZIONI!$AE:$AE,17)),"")</f>
        <v/>
      </c>
      <c r="E20" s="34" t="str">
        <f>IFERROR(INDEX(PRENOTAZIONI!$F:$F,SMALL(PRENOTAZIONI!$AE:$AE,17)),"")</f>
        <v/>
      </c>
      <c r="F20" s="34" t="str">
        <f>IFERROR(INDEX(PRENOTAZIONI!$G:$G,SMALL(PRENOTAZIONI!$AE:$AE,17)),"")</f>
        <v/>
      </c>
      <c r="G20" s="35" t="str">
        <f>IFERROR(INDEX(PRENOTAZIONI!$H:$H,SMALL(PRENOTAZIONI!$AE:$AE,17)),"")</f>
        <v/>
      </c>
      <c r="H20" s="146" t="str">
        <f t="shared" si="1"/>
        <v/>
      </c>
      <c r="I20" s="35" t="str">
        <f t="shared" si="8"/>
        <v/>
      </c>
      <c r="J20" s="149" t="str">
        <f t="shared" si="9"/>
        <v/>
      </c>
      <c r="K20" s="34" t="str">
        <f>IFERROR(INDEX(PRENOTAZIONI!$K:$K,SMALL(PRENOTAZIONI!$AE:$AE,17)),"")</f>
        <v/>
      </c>
      <c r="L20" s="35" t="str">
        <f>IFERROR(INDEX(PRENOTAZIONI!$L:$L,SMALL(PRENOTAZIONI!$AE:$AE,17)),"")</f>
        <v/>
      </c>
      <c r="M20" s="150" t="str">
        <f t="shared" si="2"/>
        <v/>
      </c>
      <c r="N20" s="35" t="str">
        <f t="shared" si="3"/>
        <v/>
      </c>
      <c r="O20" s="35"/>
      <c r="P20" s="43"/>
      <c r="Q20" s="150" t="str">
        <f t="shared" si="4"/>
        <v/>
      </c>
      <c r="R20" s="47" t="str">
        <f>IFERROR(INDEX(PRENOTAZIONI!$R:$R,SMALL(PRENOTAZIONI!$AE:$AE,17)),"")</f>
        <v/>
      </c>
      <c r="S20" s="101"/>
      <c r="T20" s="99" t="str">
        <f>IFERROR(INDEX(PRENOTAZIONI!$A:$A,SMALL(PRENOTAZIONI!$AS:$AS,17)),"")</f>
        <v/>
      </c>
      <c r="U20" s="31" t="str">
        <f>IFERROR(INDEX(PRENOTAZIONI!$B:$B,SMALL(PRENOTAZIONI!$AS:$AS,17)),"")</f>
        <v/>
      </c>
      <c r="V20" s="32" t="str">
        <f t="shared" si="5"/>
        <v/>
      </c>
      <c r="W20" s="34" t="str">
        <f>IFERROR(INDEX(PRENOTAZIONI!$E:$E,SMALL(PRENOTAZIONI!$AS:$AS,17)),"")</f>
        <v/>
      </c>
      <c r="X20" s="34" t="str">
        <f>IFERROR(INDEX(PRENOTAZIONI!$F:$F,SMALL(PRENOTAZIONI!$AS:$AS,17)),"")</f>
        <v/>
      </c>
      <c r="Y20" s="35" t="str">
        <f>IFERROR(INDEX(PRENOTAZIONI!$H:$H,SMALL(PRENOTAZIONI!$AS:$AS,17)),"")</f>
        <v/>
      </c>
      <c r="Z20" s="34" t="str">
        <f>IFERROR(INDEX(PRENOTAZIONI!$K:$K,SMALL(PRENOTAZIONI!$AS:$AS,17)),"")</f>
        <v/>
      </c>
      <c r="AA20" s="34"/>
      <c r="AB20" s="34"/>
      <c r="AC20" s="40" t="str">
        <f t="shared" si="6"/>
        <v/>
      </c>
      <c r="AD20" s="41" t="str">
        <f t="shared" si="7"/>
        <v/>
      </c>
    </row>
    <row r="21" spans="1:42" ht="22" customHeight="1" x14ac:dyDescent="0.2">
      <c r="A21" s="31" t="str">
        <f>IFERROR(INDEX(PRENOTAZIONI!$A:$A,SMALL(PRENOTAZIONI!$AE:$AE,18)),"")</f>
        <v/>
      </c>
      <c r="B21" s="31" t="str">
        <f>IFERROR(INDEX(PRENOTAZIONI!$B:$B,SMALL(PRENOTAZIONI!$AE:$AE,18)),"")</f>
        <v/>
      </c>
      <c r="C21" s="32" t="str">
        <f t="shared" si="0"/>
        <v/>
      </c>
      <c r="D21" s="34" t="str">
        <f>IFERROR(INDEX(PRENOTAZIONI!$E:$E,SMALL(PRENOTAZIONI!$AE:$AE,18)),"")</f>
        <v/>
      </c>
      <c r="E21" s="34" t="str">
        <f>IFERROR(INDEX(PRENOTAZIONI!$F:$F,SMALL(PRENOTAZIONI!$AE:$AE,18)),"")</f>
        <v/>
      </c>
      <c r="F21" s="34" t="str">
        <f>IFERROR(INDEX(PRENOTAZIONI!$G:$G,SMALL(PRENOTAZIONI!$AE:$AE,18)),"")</f>
        <v/>
      </c>
      <c r="G21" s="35" t="str">
        <f>IFERROR(INDEX(PRENOTAZIONI!$H:$H,SMALL(PRENOTAZIONI!$AE:$AE,18)),"")</f>
        <v/>
      </c>
      <c r="H21" s="146" t="str">
        <f t="shared" si="1"/>
        <v/>
      </c>
      <c r="I21" s="35" t="str">
        <f t="shared" si="8"/>
        <v/>
      </c>
      <c r="J21" s="149" t="str">
        <f t="shared" si="9"/>
        <v/>
      </c>
      <c r="K21" s="34" t="str">
        <f>IFERROR(INDEX(PRENOTAZIONI!$K:$K,SMALL(PRENOTAZIONI!$AE:$AE,18)),"")</f>
        <v/>
      </c>
      <c r="L21" s="35" t="str">
        <f>IFERROR(INDEX(PRENOTAZIONI!$L:$L,SMALL(PRENOTAZIONI!$AE:$AE,18)),"")</f>
        <v/>
      </c>
      <c r="M21" s="150" t="str">
        <f t="shared" si="2"/>
        <v/>
      </c>
      <c r="N21" s="35" t="str">
        <f t="shared" si="3"/>
        <v/>
      </c>
      <c r="O21" s="35"/>
      <c r="P21" s="43"/>
      <c r="Q21" s="150" t="str">
        <f t="shared" si="4"/>
        <v/>
      </c>
      <c r="R21" s="47" t="str">
        <f>IFERROR(INDEX(PRENOTAZIONI!$R:$R,SMALL(PRENOTAZIONI!$AE:$AE,18)),"")</f>
        <v/>
      </c>
      <c r="S21" s="101"/>
      <c r="T21" s="99" t="str">
        <f>IFERROR(INDEX(PRENOTAZIONI!$A:$A,SMALL(PRENOTAZIONI!$AS:$AS,18)),"")</f>
        <v/>
      </c>
      <c r="U21" s="31" t="str">
        <f>IFERROR(INDEX(PRENOTAZIONI!$B:$B,SMALL(PRENOTAZIONI!$AS:$AS,18)),"")</f>
        <v/>
      </c>
      <c r="V21" s="32" t="str">
        <f t="shared" si="5"/>
        <v/>
      </c>
      <c r="W21" s="34" t="str">
        <f>IFERROR(INDEX(PRENOTAZIONI!$E:$E,SMALL(PRENOTAZIONI!$AS:$AS,18)),"")</f>
        <v/>
      </c>
      <c r="X21" s="34" t="str">
        <f>IFERROR(INDEX(PRENOTAZIONI!$F:$F,SMALL(PRENOTAZIONI!$AS:$AS,18)),"")</f>
        <v/>
      </c>
      <c r="Y21" s="35" t="str">
        <f>IFERROR(INDEX(PRENOTAZIONI!$H:$H,SMALL(PRENOTAZIONI!$AS:$AS,18)),"")</f>
        <v/>
      </c>
      <c r="Z21" s="34" t="str">
        <f>IFERROR(INDEX(PRENOTAZIONI!$K:$K,SMALL(PRENOTAZIONI!$AS:$AS,18)),"")</f>
        <v/>
      </c>
      <c r="AA21" s="34"/>
      <c r="AB21" s="34"/>
      <c r="AC21" s="40" t="str">
        <f t="shared" si="6"/>
        <v/>
      </c>
      <c r="AD21" s="41" t="str">
        <f t="shared" si="7"/>
        <v/>
      </c>
    </row>
    <row r="22" spans="1:42" ht="22" customHeight="1" x14ac:dyDescent="0.2">
      <c r="A22" s="31" t="str">
        <f>IFERROR(INDEX(PRENOTAZIONI!$A:$A,SMALL(PRENOTAZIONI!$AE:$AE,19)),"")</f>
        <v/>
      </c>
      <c r="B22" s="31" t="str">
        <f>IFERROR(INDEX(PRENOTAZIONI!$B:$B,SMALL(PRENOTAZIONI!$AE:$AE,19)),"")</f>
        <v/>
      </c>
      <c r="C22" s="32" t="str">
        <f t="shared" si="0"/>
        <v/>
      </c>
      <c r="D22" s="34" t="str">
        <f>IFERROR(INDEX(PRENOTAZIONI!$E:$E,SMALL(PRENOTAZIONI!$AE:$AE,19)),"")</f>
        <v/>
      </c>
      <c r="E22" s="34" t="str">
        <f>IFERROR(INDEX(PRENOTAZIONI!$F:$F,SMALL(PRENOTAZIONI!$AE:$AE,19)),"")</f>
        <v/>
      </c>
      <c r="F22" s="34" t="str">
        <f>IFERROR(INDEX(PRENOTAZIONI!$G:$G,SMALL(PRENOTAZIONI!$AE:$AE,19)),"")</f>
        <v/>
      </c>
      <c r="G22" s="35" t="str">
        <f>IFERROR(INDEX(PRENOTAZIONI!$H:$H,SMALL(PRENOTAZIONI!$AE:$AE,19)),"")</f>
        <v/>
      </c>
      <c r="H22" s="146" t="str">
        <f t="shared" si="1"/>
        <v/>
      </c>
      <c r="I22" s="35" t="str">
        <f t="shared" si="8"/>
        <v/>
      </c>
      <c r="J22" s="149" t="str">
        <f t="shared" si="9"/>
        <v/>
      </c>
      <c r="K22" s="34" t="str">
        <f>IFERROR(INDEX(PRENOTAZIONI!$K:$K,SMALL(PRENOTAZIONI!$AE:$AE,19)),"")</f>
        <v/>
      </c>
      <c r="L22" s="35" t="str">
        <f>IFERROR(INDEX(PRENOTAZIONI!$L:$L,SMALL(PRENOTAZIONI!$AE:$AE,19)),"")</f>
        <v/>
      </c>
      <c r="M22" s="150" t="str">
        <f t="shared" si="2"/>
        <v/>
      </c>
      <c r="N22" s="35" t="str">
        <f t="shared" si="3"/>
        <v/>
      </c>
      <c r="O22" s="35"/>
      <c r="P22" s="43"/>
      <c r="Q22" s="150" t="str">
        <f t="shared" si="4"/>
        <v/>
      </c>
      <c r="R22" s="47" t="str">
        <f>IFERROR(INDEX(PRENOTAZIONI!$R:$R,SMALL(PRENOTAZIONI!$AE:$AE,19)),"")</f>
        <v/>
      </c>
      <c r="S22" s="101"/>
      <c r="T22" s="99" t="str">
        <f>IFERROR(INDEX(PRENOTAZIONI!$A:$A,SMALL(PRENOTAZIONI!$AS:$AS,19)),"")</f>
        <v/>
      </c>
      <c r="U22" s="31" t="str">
        <f>IFERROR(INDEX(PRENOTAZIONI!$B:$B,SMALL(PRENOTAZIONI!$AS:$AS,19)),"")</f>
        <v/>
      </c>
      <c r="V22" s="32" t="str">
        <f t="shared" si="5"/>
        <v/>
      </c>
      <c r="W22" s="34" t="str">
        <f>IFERROR(INDEX(PRENOTAZIONI!$E:$E,SMALL(PRENOTAZIONI!$AS:$AS,19)),"")</f>
        <v/>
      </c>
      <c r="X22" s="34" t="str">
        <f>IFERROR(INDEX(PRENOTAZIONI!$F:$F,SMALL(PRENOTAZIONI!$AS:$AS,19)),"")</f>
        <v/>
      </c>
      <c r="Y22" s="35" t="str">
        <f>IFERROR(INDEX(PRENOTAZIONI!$H:$H,SMALL(PRENOTAZIONI!$AS:$AS,19)),"")</f>
        <v/>
      </c>
      <c r="Z22" s="34" t="str">
        <f>IFERROR(INDEX(PRENOTAZIONI!$K:$K,SMALL(PRENOTAZIONI!$AS:$AS,19)),"")</f>
        <v/>
      </c>
      <c r="AA22" s="34"/>
      <c r="AB22" s="34"/>
      <c r="AC22" s="40" t="str">
        <f t="shared" si="6"/>
        <v/>
      </c>
      <c r="AD22" s="41" t="str">
        <f t="shared" si="7"/>
        <v/>
      </c>
    </row>
    <row r="23" spans="1:42" ht="22" customHeight="1" x14ac:dyDescent="0.2">
      <c r="A23" s="31" t="str">
        <f>IFERROR(INDEX(PRENOTAZIONI!$A:$A,SMALL(PRENOTAZIONI!$AE:$AE,20)),"")</f>
        <v/>
      </c>
      <c r="B23" s="31" t="str">
        <f>IFERROR(INDEX(PRENOTAZIONI!$B:$B,SMALL(PRENOTAZIONI!$AE:$AE,20)),"")</f>
        <v/>
      </c>
      <c r="C23" s="32" t="str">
        <f t="shared" si="0"/>
        <v/>
      </c>
      <c r="D23" s="34" t="str">
        <f>IFERROR(INDEX(PRENOTAZIONI!$E:$E,SMALL(PRENOTAZIONI!$AE:$AE,20)),"")</f>
        <v/>
      </c>
      <c r="E23" s="34" t="str">
        <f>IFERROR(INDEX(PRENOTAZIONI!$F:$F,SMALL(PRENOTAZIONI!$AE:$AE,20)),"")</f>
        <v/>
      </c>
      <c r="F23" s="34" t="str">
        <f>IFERROR(INDEX(PRENOTAZIONI!$G:$G,SMALL(PRENOTAZIONI!$AE:$AE,20)),"")</f>
        <v/>
      </c>
      <c r="G23" s="35" t="str">
        <f>IFERROR(INDEX(PRENOTAZIONI!$H:$H,SMALL(PRENOTAZIONI!$AE:$AE,20)),"")</f>
        <v/>
      </c>
      <c r="H23" s="146" t="str">
        <f t="shared" si="1"/>
        <v/>
      </c>
      <c r="I23" s="35" t="str">
        <f t="shared" si="8"/>
        <v/>
      </c>
      <c r="J23" s="149" t="str">
        <f t="shared" si="9"/>
        <v/>
      </c>
      <c r="K23" s="34" t="str">
        <f>IFERROR(INDEX(PRENOTAZIONI!$K:$K,SMALL(PRENOTAZIONI!$AE:$AE,20)),"")</f>
        <v/>
      </c>
      <c r="L23" s="35" t="str">
        <f>IFERROR(INDEX(PRENOTAZIONI!$L:$L,SMALL(PRENOTAZIONI!$AE:$AE,20)),"")</f>
        <v/>
      </c>
      <c r="M23" s="150" t="str">
        <f t="shared" si="2"/>
        <v/>
      </c>
      <c r="N23" s="35" t="str">
        <f t="shared" si="3"/>
        <v/>
      </c>
      <c r="O23" s="35"/>
      <c r="P23" s="43"/>
      <c r="Q23" s="150" t="str">
        <f t="shared" si="4"/>
        <v/>
      </c>
      <c r="R23" s="47" t="str">
        <f>IFERROR(INDEX(PRENOTAZIONI!$R:$R,SMALL(PRENOTAZIONI!$AE:$AE,20)),"")</f>
        <v/>
      </c>
      <c r="S23" s="101"/>
      <c r="T23" s="99" t="str">
        <f>IFERROR(INDEX(PRENOTAZIONI!$A:$A,SMALL(PRENOTAZIONI!$AS:$AS,20)),"")</f>
        <v/>
      </c>
      <c r="U23" s="31" t="str">
        <f>IFERROR(INDEX(PRENOTAZIONI!$B:$B,SMALL(PRENOTAZIONI!$AS:$AS,20)),"")</f>
        <v/>
      </c>
      <c r="V23" s="32" t="str">
        <f t="shared" si="5"/>
        <v/>
      </c>
      <c r="W23" s="34" t="str">
        <f>IFERROR(INDEX(PRENOTAZIONI!$E:$E,SMALL(PRENOTAZIONI!$AS:$AS,20)),"")</f>
        <v/>
      </c>
      <c r="X23" s="34" t="str">
        <f>IFERROR(INDEX(PRENOTAZIONI!$F:$F,SMALL(PRENOTAZIONI!$AS:$AS,20)),"")</f>
        <v/>
      </c>
      <c r="Y23" s="35" t="str">
        <f>IFERROR(INDEX(PRENOTAZIONI!$H:$H,SMALL(PRENOTAZIONI!$AS:$AS,20)),"")</f>
        <v/>
      </c>
      <c r="Z23" s="34" t="str">
        <f>IFERROR(INDEX(PRENOTAZIONI!$K:$K,SMALL(PRENOTAZIONI!$AS:$AS,20)),"")</f>
        <v/>
      </c>
      <c r="AA23" s="34"/>
      <c r="AB23" s="34"/>
      <c r="AC23" s="40" t="str">
        <f t="shared" si="6"/>
        <v/>
      </c>
      <c r="AD23" s="41" t="str">
        <f t="shared" si="7"/>
        <v/>
      </c>
    </row>
    <row r="24" spans="1:42" ht="22" customHeight="1" x14ac:dyDescent="0.2">
      <c r="A24" s="31" t="str">
        <f>IFERROR(INDEX(PRENOTAZIONI!$A:$A,SMALL(PRENOTAZIONI!$AE:$AE,21)),"")</f>
        <v/>
      </c>
      <c r="B24" s="31" t="str">
        <f>IFERROR(INDEX(PRENOTAZIONI!$B:$B,SMALL(PRENOTAZIONI!$AE:$AE,21)),"")</f>
        <v/>
      </c>
      <c r="C24" s="32" t="str">
        <f t="shared" si="0"/>
        <v/>
      </c>
      <c r="D24" s="34" t="str">
        <f>IFERROR(INDEX(PRENOTAZIONI!$E:$E,SMALL(PRENOTAZIONI!$AE:$AE,21)),"")</f>
        <v/>
      </c>
      <c r="E24" s="34" t="str">
        <f>IFERROR(INDEX(PRENOTAZIONI!$F:$F,SMALL(PRENOTAZIONI!$AE:$AE,21)),"")</f>
        <v/>
      </c>
      <c r="F24" s="34" t="str">
        <f>IFERROR(INDEX(PRENOTAZIONI!$G:$G,SMALL(PRENOTAZIONI!$AE:$AE,21)),"")</f>
        <v/>
      </c>
      <c r="G24" s="35" t="str">
        <f>IFERROR(INDEX(PRENOTAZIONI!$H:$H,SMALL(PRENOTAZIONI!$AE:$AE,21)),"")</f>
        <v/>
      </c>
      <c r="H24" s="146" t="str">
        <f t="shared" si="1"/>
        <v/>
      </c>
      <c r="I24" s="35" t="str">
        <f t="shared" si="8"/>
        <v/>
      </c>
      <c r="J24" s="149" t="str">
        <f t="shared" si="9"/>
        <v/>
      </c>
      <c r="K24" s="34" t="str">
        <f>IFERROR(INDEX(PRENOTAZIONI!$K:$K,SMALL(PRENOTAZIONI!$AE:$AE,21)),"")</f>
        <v/>
      </c>
      <c r="L24" s="35" t="str">
        <f>IFERROR(INDEX(PRENOTAZIONI!$L:$L,SMALL(PRENOTAZIONI!$AE:$AE,21)),"")</f>
        <v/>
      </c>
      <c r="M24" s="150" t="str">
        <f t="shared" si="2"/>
        <v/>
      </c>
      <c r="N24" s="35" t="str">
        <f t="shared" si="3"/>
        <v/>
      </c>
      <c r="O24" s="35"/>
      <c r="P24" s="43"/>
      <c r="Q24" s="150" t="str">
        <f t="shared" si="4"/>
        <v/>
      </c>
      <c r="R24" s="47" t="str">
        <f>IFERROR(INDEX(PRENOTAZIONI!$R:$R,SMALL(PRENOTAZIONI!$AE:$AE,21)),"")</f>
        <v/>
      </c>
      <c r="S24" s="101"/>
      <c r="T24" s="99" t="str">
        <f>IFERROR(INDEX(PRENOTAZIONI!$A:$A,SMALL(PRENOTAZIONI!$AS:$AS,21)),"")</f>
        <v/>
      </c>
      <c r="U24" s="31" t="str">
        <f>IFERROR(INDEX(PRENOTAZIONI!$B:$B,SMALL(PRENOTAZIONI!$AS:$AS,21)),"")</f>
        <v/>
      </c>
      <c r="V24" s="32" t="str">
        <f t="shared" si="5"/>
        <v/>
      </c>
      <c r="W24" s="34" t="str">
        <f>IFERROR(INDEX(PRENOTAZIONI!$E:$E,SMALL(PRENOTAZIONI!$AS:$AS,21)),"")</f>
        <v/>
      </c>
      <c r="X24" s="34" t="str">
        <f>IFERROR(INDEX(PRENOTAZIONI!$F:$F,SMALL(PRENOTAZIONI!$AS:$AS,21)),"")</f>
        <v/>
      </c>
      <c r="Y24" s="35" t="str">
        <f>IFERROR(INDEX(PRENOTAZIONI!$H:$H,SMALL(PRENOTAZIONI!$AS:$AS,21)),"")</f>
        <v/>
      </c>
      <c r="Z24" s="34" t="str">
        <f>IFERROR(INDEX(PRENOTAZIONI!$K:$K,SMALL(PRENOTAZIONI!$AS:$AS,21)),"")</f>
        <v/>
      </c>
      <c r="AA24" s="34"/>
      <c r="AB24" s="34"/>
      <c r="AC24" s="40" t="str">
        <f t="shared" si="6"/>
        <v/>
      </c>
      <c r="AD24" s="41" t="str">
        <f t="shared" si="7"/>
        <v/>
      </c>
    </row>
    <row r="25" spans="1:42" ht="22" customHeight="1" x14ac:dyDescent="0.2">
      <c r="A25" s="31" t="str">
        <f>IFERROR(INDEX(PRENOTAZIONI!$A:$A,SMALL(PRENOTAZIONI!$AE:$AE,22)),"")</f>
        <v/>
      </c>
      <c r="B25" s="31" t="str">
        <f>IFERROR(INDEX(PRENOTAZIONI!$B:$B,SMALL(PRENOTAZIONI!$AE:$AE,22)),"")</f>
        <v/>
      </c>
      <c r="C25" s="32" t="str">
        <f t="shared" si="0"/>
        <v/>
      </c>
      <c r="D25" s="34" t="str">
        <f>IFERROR(INDEX(PRENOTAZIONI!$E:$E,SMALL(PRENOTAZIONI!$AE:$AE,22)),"")</f>
        <v/>
      </c>
      <c r="E25" s="34" t="str">
        <f>IFERROR(INDEX(PRENOTAZIONI!$F:$F,SMALL(PRENOTAZIONI!$AE:$AE,22)),"")</f>
        <v/>
      </c>
      <c r="F25" s="34" t="str">
        <f>IFERROR(INDEX(PRENOTAZIONI!$G:$G,SMALL(PRENOTAZIONI!$AE:$AE,22)),"")</f>
        <v/>
      </c>
      <c r="G25" s="35" t="str">
        <f>IFERROR(INDEX(PRENOTAZIONI!$H:$H,SMALL(PRENOTAZIONI!$AE:$AE,22)),"")</f>
        <v/>
      </c>
      <c r="H25" s="146" t="str">
        <f t="shared" si="1"/>
        <v/>
      </c>
      <c r="I25" s="35" t="str">
        <f t="shared" si="8"/>
        <v/>
      </c>
      <c r="J25" s="149" t="str">
        <f t="shared" si="9"/>
        <v/>
      </c>
      <c r="K25" s="34" t="str">
        <f>IFERROR(INDEX(PRENOTAZIONI!$K:$K,SMALL(PRENOTAZIONI!$AE:$AE,22)),"")</f>
        <v/>
      </c>
      <c r="L25" s="35" t="str">
        <f>IFERROR(INDEX(PRENOTAZIONI!$L:$L,SMALL(PRENOTAZIONI!$AE:$AE,22)),"")</f>
        <v/>
      </c>
      <c r="M25" s="150" t="str">
        <f t="shared" si="2"/>
        <v/>
      </c>
      <c r="N25" s="35" t="str">
        <f t="shared" si="3"/>
        <v/>
      </c>
      <c r="O25" s="35"/>
      <c r="P25" s="43"/>
      <c r="Q25" s="150" t="str">
        <f t="shared" si="4"/>
        <v/>
      </c>
      <c r="R25" s="47" t="str">
        <f>IFERROR(INDEX(PRENOTAZIONI!$R:$R,SMALL(PRENOTAZIONI!$AE:$AE,22)),"")</f>
        <v/>
      </c>
      <c r="S25" s="101"/>
      <c r="T25" s="99" t="str">
        <f>IFERROR(INDEX(PRENOTAZIONI!$A:$A,SMALL(PRENOTAZIONI!$AS:$AS,22)),"")</f>
        <v/>
      </c>
      <c r="U25" s="31" t="str">
        <f>IFERROR(INDEX(PRENOTAZIONI!$B:$B,SMALL(PRENOTAZIONI!$AS:$AS,22)),"")</f>
        <v/>
      </c>
      <c r="V25" s="32" t="str">
        <f t="shared" si="5"/>
        <v/>
      </c>
      <c r="W25" s="34" t="str">
        <f>IFERROR(INDEX(PRENOTAZIONI!$E:$E,SMALL(PRENOTAZIONI!$AS:$AS,22)),"")</f>
        <v/>
      </c>
      <c r="X25" s="34" t="str">
        <f>IFERROR(INDEX(PRENOTAZIONI!$F:$F,SMALL(PRENOTAZIONI!$AS:$AS,22)),"")</f>
        <v/>
      </c>
      <c r="Y25" s="35" t="str">
        <f>IFERROR(INDEX(PRENOTAZIONI!$H:$H,SMALL(PRENOTAZIONI!$AS:$AS,22)),"")</f>
        <v/>
      </c>
      <c r="Z25" s="34" t="str">
        <f>IFERROR(INDEX(PRENOTAZIONI!$K:$K,SMALL(PRENOTAZIONI!$AS:$AS,22)),"")</f>
        <v/>
      </c>
      <c r="AA25" s="34"/>
      <c r="AB25" s="34"/>
      <c r="AC25" s="40" t="str">
        <f t="shared" si="6"/>
        <v/>
      </c>
      <c r="AD25" s="41" t="str">
        <f t="shared" si="7"/>
        <v/>
      </c>
    </row>
    <row r="26" spans="1:42" ht="22" customHeight="1" x14ac:dyDescent="0.2">
      <c r="A26" s="31" t="str">
        <f>IFERROR(INDEX(PRENOTAZIONI!$A:$A,SMALL(PRENOTAZIONI!$AE:$AE,23)),"")</f>
        <v/>
      </c>
      <c r="B26" s="31" t="str">
        <f>IFERROR(INDEX(PRENOTAZIONI!$B:$B,SMALL(PRENOTAZIONI!$AE:$AE,23)),"")</f>
        <v/>
      </c>
      <c r="C26" s="32" t="str">
        <f t="shared" si="0"/>
        <v/>
      </c>
      <c r="D26" s="34" t="str">
        <f>IFERROR(INDEX(PRENOTAZIONI!$E:$E,SMALL(PRENOTAZIONI!$AE:$AE,23)),"")</f>
        <v/>
      </c>
      <c r="E26" s="34" t="str">
        <f>IFERROR(INDEX(PRENOTAZIONI!$F:$F,SMALL(PRENOTAZIONI!$AE:$AE,23)),"")</f>
        <v/>
      </c>
      <c r="F26" s="34" t="str">
        <f>IFERROR(INDEX(PRENOTAZIONI!$G:$G,SMALL(PRENOTAZIONI!$AE:$AE,23)),"")</f>
        <v/>
      </c>
      <c r="G26" s="35" t="str">
        <f>IFERROR(INDEX(PRENOTAZIONI!$H:$H,SMALL(PRENOTAZIONI!$AE:$AE,23)),"")</f>
        <v/>
      </c>
      <c r="H26" s="146" t="str">
        <f t="shared" si="1"/>
        <v/>
      </c>
      <c r="I26" s="35" t="str">
        <f t="shared" si="8"/>
        <v/>
      </c>
      <c r="J26" s="149" t="str">
        <f t="shared" si="9"/>
        <v/>
      </c>
      <c r="K26" s="34" t="str">
        <f>IFERROR(INDEX(PRENOTAZIONI!$K:$K,SMALL(PRENOTAZIONI!$AE:$AE,23)),"")</f>
        <v/>
      </c>
      <c r="L26" s="35" t="str">
        <f>IFERROR(INDEX(PRENOTAZIONI!$L:$L,SMALL(PRENOTAZIONI!$AE:$AE,23)),"")</f>
        <v/>
      </c>
      <c r="M26" s="150" t="str">
        <f t="shared" si="2"/>
        <v/>
      </c>
      <c r="N26" s="35" t="str">
        <f t="shared" si="3"/>
        <v/>
      </c>
      <c r="O26" s="35"/>
      <c r="P26" s="43"/>
      <c r="Q26" s="150" t="str">
        <f t="shared" si="4"/>
        <v/>
      </c>
      <c r="R26" s="47" t="str">
        <f>IFERROR(INDEX(PRENOTAZIONI!$R:$R,SMALL(PRENOTAZIONI!$AE:$AE,23)),"")</f>
        <v/>
      </c>
      <c r="S26" s="101"/>
      <c r="T26" s="99" t="str">
        <f>IFERROR(INDEX(PRENOTAZIONI!$A:$A,SMALL(PRENOTAZIONI!$AS:$AS,23)),"")</f>
        <v/>
      </c>
      <c r="U26" s="31" t="str">
        <f>IFERROR(INDEX(PRENOTAZIONI!$B:$B,SMALL(PRENOTAZIONI!$AS:$AS,23)),"")</f>
        <v/>
      </c>
      <c r="V26" s="32" t="str">
        <f t="shared" si="5"/>
        <v/>
      </c>
      <c r="W26" s="34" t="str">
        <f>IFERROR(INDEX(PRENOTAZIONI!$E:$E,SMALL(PRENOTAZIONI!$AS:$AS,23)),"")</f>
        <v/>
      </c>
      <c r="X26" s="34" t="str">
        <f>IFERROR(INDEX(PRENOTAZIONI!$F:$F,SMALL(PRENOTAZIONI!$AS:$AS,23)),"")</f>
        <v/>
      </c>
      <c r="Y26" s="35" t="str">
        <f>IFERROR(INDEX(PRENOTAZIONI!$H:$H,SMALL(PRENOTAZIONI!$AS:$AS,23)),"")</f>
        <v/>
      </c>
      <c r="Z26" s="34" t="str">
        <f>IFERROR(INDEX(PRENOTAZIONI!$K:$K,SMALL(PRENOTAZIONI!$AS:$AS,23)),"")</f>
        <v/>
      </c>
      <c r="AA26" s="34"/>
      <c r="AB26" s="34"/>
      <c r="AC26" s="40" t="str">
        <f t="shared" si="6"/>
        <v/>
      </c>
      <c r="AD26" s="41" t="str">
        <f t="shared" si="7"/>
        <v/>
      </c>
    </row>
    <row r="27" spans="1:42" ht="22" customHeight="1" x14ac:dyDescent="0.2">
      <c r="A27" s="31" t="str">
        <f>IFERROR(INDEX(PRENOTAZIONI!$A:$A,SMALL(PRENOTAZIONI!$AE:$AE,24)),"")</f>
        <v/>
      </c>
      <c r="B27" s="31" t="str">
        <f>IFERROR(INDEX(PRENOTAZIONI!$B:$B,SMALL(PRENOTAZIONI!$AE:$AE,24)),"")</f>
        <v/>
      </c>
      <c r="C27" s="32" t="str">
        <f t="shared" si="0"/>
        <v/>
      </c>
      <c r="D27" s="34" t="str">
        <f>IFERROR(INDEX(PRENOTAZIONI!$E:$E,SMALL(PRENOTAZIONI!$AE:$AE,24)),"")</f>
        <v/>
      </c>
      <c r="E27" s="34" t="str">
        <f>IFERROR(INDEX(PRENOTAZIONI!$F:$F,SMALL(PRENOTAZIONI!$AE:$AE,24)),"")</f>
        <v/>
      </c>
      <c r="F27" s="34" t="str">
        <f>IFERROR(INDEX(PRENOTAZIONI!$G:$G,SMALL(PRENOTAZIONI!$AE:$AE,24)),"")</f>
        <v/>
      </c>
      <c r="G27" s="35" t="str">
        <f>IFERROR(INDEX(PRENOTAZIONI!$H:$H,SMALL(PRENOTAZIONI!$AE:$AE,24)),"")</f>
        <v/>
      </c>
      <c r="H27" s="146" t="str">
        <f t="shared" si="1"/>
        <v/>
      </c>
      <c r="I27" s="35" t="str">
        <f t="shared" si="8"/>
        <v/>
      </c>
      <c r="J27" s="149" t="str">
        <f t="shared" si="9"/>
        <v/>
      </c>
      <c r="K27" s="34" t="str">
        <f>IFERROR(INDEX(PRENOTAZIONI!$K:$K,SMALL(PRENOTAZIONI!$AE:$AE,24)),"")</f>
        <v/>
      </c>
      <c r="L27" s="35" t="str">
        <f>IFERROR(INDEX(PRENOTAZIONI!$L:$L,SMALL(PRENOTAZIONI!$AE:$AE,24)),"")</f>
        <v/>
      </c>
      <c r="M27" s="150" t="str">
        <f t="shared" si="2"/>
        <v/>
      </c>
      <c r="N27" s="35" t="str">
        <f t="shared" si="3"/>
        <v/>
      </c>
      <c r="O27" s="35"/>
      <c r="P27" s="43"/>
      <c r="Q27" s="150" t="str">
        <f t="shared" si="4"/>
        <v/>
      </c>
      <c r="R27" s="47" t="str">
        <f>IFERROR(INDEX(PRENOTAZIONI!$R:$R,SMALL(PRENOTAZIONI!$AE:$AE,24)),"")</f>
        <v/>
      </c>
      <c r="S27" s="101"/>
      <c r="T27" s="99" t="str">
        <f>IFERROR(INDEX(PRENOTAZIONI!$A:$A,SMALL(PRENOTAZIONI!$AS:$AS,24)),"")</f>
        <v/>
      </c>
      <c r="U27" s="31" t="str">
        <f>IFERROR(INDEX(PRENOTAZIONI!$B:$B,SMALL(PRENOTAZIONI!$AS:$AS,24)),"")</f>
        <v/>
      </c>
      <c r="V27" s="32" t="str">
        <f t="shared" si="5"/>
        <v/>
      </c>
      <c r="W27" s="34" t="str">
        <f>IFERROR(INDEX(PRENOTAZIONI!$E:$E,SMALL(PRENOTAZIONI!$AS:$AS,24)),"")</f>
        <v/>
      </c>
      <c r="X27" s="34" t="str">
        <f>IFERROR(INDEX(PRENOTAZIONI!$F:$F,SMALL(PRENOTAZIONI!$AS:$AS,24)),"")</f>
        <v/>
      </c>
      <c r="Y27" s="35" t="str">
        <f>IFERROR(INDEX(PRENOTAZIONI!$H:$H,SMALL(PRENOTAZIONI!$AS:$AS,24)),"")</f>
        <v/>
      </c>
      <c r="Z27" s="34" t="str">
        <f>IFERROR(INDEX(PRENOTAZIONI!$K:$K,SMALL(PRENOTAZIONI!$AS:$AS,24)),"")</f>
        <v/>
      </c>
      <c r="AA27" s="34"/>
      <c r="AB27" s="34"/>
      <c r="AC27" s="40" t="str">
        <f t="shared" si="6"/>
        <v/>
      </c>
      <c r="AD27" s="41" t="str">
        <f t="shared" si="7"/>
        <v/>
      </c>
    </row>
    <row r="28" spans="1:42" ht="22" customHeight="1" x14ac:dyDescent="0.2">
      <c r="A28" s="31" t="str">
        <f>IFERROR(INDEX(PRENOTAZIONI!$A:$A,SMALL(PRENOTAZIONI!$AE:$AE,25)),"")</f>
        <v/>
      </c>
      <c r="B28" s="31" t="str">
        <f>IFERROR(INDEX(PRENOTAZIONI!$B:$B,SMALL(PRENOTAZIONI!$AE:$AE,25)),"")</f>
        <v/>
      </c>
      <c r="C28" s="32" t="str">
        <f t="shared" si="0"/>
        <v/>
      </c>
      <c r="D28" s="34" t="str">
        <f>IFERROR(INDEX(PRENOTAZIONI!$E:$E,SMALL(PRENOTAZIONI!$AE:$AE,25)),"")</f>
        <v/>
      </c>
      <c r="E28" s="34" t="str">
        <f>IFERROR(INDEX(PRENOTAZIONI!$F:$F,SMALL(PRENOTAZIONI!$AE:$AE,25)),"")</f>
        <v/>
      </c>
      <c r="F28" s="34" t="str">
        <f>IFERROR(INDEX(PRENOTAZIONI!$G:$G,SMALL(PRENOTAZIONI!$AE:$AE,25)),"")</f>
        <v/>
      </c>
      <c r="G28" s="35" t="str">
        <f>IFERROR(INDEX(PRENOTAZIONI!$H:$H,SMALL(PRENOTAZIONI!$AE:$AE,25)),"")</f>
        <v/>
      </c>
      <c r="H28" s="146" t="str">
        <f t="shared" si="1"/>
        <v/>
      </c>
      <c r="I28" s="35" t="str">
        <f t="shared" si="8"/>
        <v/>
      </c>
      <c r="J28" s="149" t="str">
        <f t="shared" si="9"/>
        <v/>
      </c>
      <c r="K28" s="34" t="str">
        <f>IFERROR(INDEX(PRENOTAZIONI!$K:$K,SMALL(PRENOTAZIONI!$AE:$AE,25)),"")</f>
        <v/>
      </c>
      <c r="L28" s="35" t="str">
        <f>IFERROR(INDEX(PRENOTAZIONI!$L:$L,SMALL(PRENOTAZIONI!$AE:$AE,25)),"")</f>
        <v/>
      </c>
      <c r="M28" s="150" t="str">
        <f t="shared" si="2"/>
        <v/>
      </c>
      <c r="N28" s="35" t="str">
        <f t="shared" si="3"/>
        <v/>
      </c>
      <c r="O28" s="35"/>
      <c r="P28" s="43"/>
      <c r="Q28" s="150" t="str">
        <f t="shared" si="4"/>
        <v/>
      </c>
      <c r="R28" s="47" t="str">
        <f>IFERROR(INDEX(PRENOTAZIONI!$R:$R,SMALL(PRENOTAZIONI!$AE:$AE,25)),"")</f>
        <v/>
      </c>
      <c r="S28" s="101"/>
      <c r="T28" s="99" t="str">
        <f>IFERROR(INDEX(PRENOTAZIONI!$A:$A,SMALL(PRENOTAZIONI!$AS:$AS,25)),"")</f>
        <v/>
      </c>
      <c r="U28" s="31" t="str">
        <f>IFERROR(INDEX(PRENOTAZIONI!$B:$B,SMALL(PRENOTAZIONI!$AS:$AS,25)),"")</f>
        <v/>
      </c>
      <c r="V28" s="32" t="str">
        <f t="shared" si="5"/>
        <v/>
      </c>
      <c r="W28" s="34" t="str">
        <f>IFERROR(INDEX(PRENOTAZIONI!$E:$E,SMALL(PRENOTAZIONI!$AS:$AS,25)),"")</f>
        <v/>
      </c>
      <c r="X28" s="34" t="str">
        <f>IFERROR(INDEX(PRENOTAZIONI!$F:$F,SMALL(PRENOTAZIONI!$AS:$AS,25)),"")</f>
        <v/>
      </c>
      <c r="Y28" s="35" t="str">
        <f>IFERROR(INDEX(PRENOTAZIONI!$H:$H,SMALL(PRENOTAZIONI!$AS:$AS,25)),"")</f>
        <v/>
      </c>
      <c r="Z28" s="34" t="str">
        <f>IFERROR(INDEX(PRENOTAZIONI!$K:$K,SMALL(PRENOTAZIONI!$AS:$AS,25)),"")</f>
        <v/>
      </c>
      <c r="AA28" s="34"/>
      <c r="AB28" s="34"/>
      <c r="AC28" s="40" t="str">
        <f t="shared" si="6"/>
        <v/>
      </c>
      <c r="AD28" s="41" t="str">
        <f t="shared" si="7"/>
        <v/>
      </c>
    </row>
    <row r="29" spans="1:42" ht="22" customHeight="1" x14ac:dyDescent="0.2">
      <c r="A29" s="31" t="str">
        <f>IFERROR(INDEX(PRENOTAZIONI!$A:$A,SMALL(PRENOTAZIONI!$AE:$AE,26)),"")</f>
        <v/>
      </c>
      <c r="B29" s="31" t="str">
        <f>IFERROR(INDEX(PRENOTAZIONI!$B:$B,SMALL(PRENOTAZIONI!$AE:$AE,26)),"")</f>
        <v/>
      </c>
      <c r="C29" s="32" t="str">
        <f t="shared" si="0"/>
        <v/>
      </c>
      <c r="D29" s="34" t="str">
        <f>IFERROR(INDEX(PRENOTAZIONI!$E:$E,SMALL(PRENOTAZIONI!$AE:$AE,26)),"")</f>
        <v/>
      </c>
      <c r="E29" s="34" t="str">
        <f>IFERROR(INDEX(PRENOTAZIONI!$F:$F,SMALL(PRENOTAZIONI!$AE:$AE,26)),"")</f>
        <v/>
      </c>
      <c r="F29" s="34" t="str">
        <f>IFERROR(INDEX(PRENOTAZIONI!$G:$G,SMALL(PRENOTAZIONI!$AE:$AE,26)),"")</f>
        <v/>
      </c>
      <c r="G29" s="35" t="str">
        <f>IFERROR(INDEX(PRENOTAZIONI!$H:$H,SMALL(PRENOTAZIONI!$AE:$AE,26)),"")</f>
        <v/>
      </c>
      <c r="H29" s="146" t="str">
        <f t="shared" si="1"/>
        <v/>
      </c>
      <c r="I29" s="35" t="str">
        <f t="shared" si="8"/>
        <v/>
      </c>
      <c r="J29" s="149" t="str">
        <f t="shared" si="9"/>
        <v/>
      </c>
      <c r="K29" s="34" t="str">
        <f>IFERROR(INDEX(PRENOTAZIONI!$K:$K,SMALL(PRENOTAZIONI!$AE:$AE,26)),"")</f>
        <v/>
      </c>
      <c r="L29" s="35" t="str">
        <f>IFERROR(INDEX(PRENOTAZIONI!$L:$L,SMALL(PRENOTAZIONI!$AE:$AE,26)),"")</f>
        <v/>
      </c>
      <c r="M29" s="150" t="str">
        <f t="shared" si="2"/>
        <v/>
      </c>
      <c r="N29" s="35" t="str">
        <f t="shared" si="3"/>
        <v/>
      </c>
      <c r="O29" s="35"/>
      <c r="P29" s="43"/>
      <c r="Q29" s="150" t="str">
        <f t="shared" si="4"/>
        <v/>
      </c>
      <c r="R29" s="47" t="str">
        <f>IFERROR(INDEX(PRENOTAZIONI!$R:$R,SMALL(PRENOTAZIONI!$AE:$AE,26)),"")</f>
        <v/>
      </c>
      <c r="S29" s="101"/>
      <c r="T29" s="99" t="str">
        <f>IFERROR(INDEX(PRENOTAZIONI!$A:$A,SMALL(PRENOTAZIONI!$AS:$AS,26)),"")</f>
        <v/>
      </c>
      <c r="U29" s="31" t="str">
        <f>IFERROR(INDEX(PRENOTAZIONI!$B:$B,SMALL(PRENOTAZIONI!$AS:$AS,26)),"")</f>
        <v/>
      </c>
      <c r="V29" s="32" t="str">
        <f t="shared" si="5"/>
        <v/>
      </c>
      <c r="W29" s="34" t="str">
        <f>IFERROR(INDEX(PRENOTAZIONI!$E:$E,SMALL(PRENOTAZIONI!$AS:$AS,26)),"")</f>
        <v/>
      </c>
      <c r="X29" s="34" t="str">
        <f>IFERROR(INDEX(PRENOTAZIONI!$F:$F,SMALL(PRENOTAZIONI!$AS:$AS,26)),"")</f>
        <v/>
      </c>
      <c r="Y29" s="35" t="str">
        <f>IFERROR(INDEX(PRENOTAZIONI!$H:$H,SMALL(PRENOTAZIONI!$AS:$AS,26)),"")</f>
        <v/>
      </c>
      <c r="Z29" s="34" t="str">
        <f>IFERROR(INDEX(PRENOTAZIONI!$K:$K,SMALL(PRENOTAZIONI!$AS:$AS,26)),"")</f>
        <v/>
      </c>
      <c r="AA29" s="34"/>
      <c r="AB29" s="34"/>
      <c r="AC29" s="40" t="str">
        <f t="shared" si="6"/>
        <v/>
      </c>
      <c r="AD29" s="41" t="str">
        <f t="shared" si="7"/>
        <v/>
      </c>
    </row>
    <row r="30" spans="1:42" ht="22" customHeight="1" x14ac:dyDescent="0.2">
      <c r="A30" s="31" t="str">
        <f>IFERROR(INDEX(PRENOTAZIONI!$A:$A,SMALL(PRENOTAZIONI!$AE:$AE,27)),"")</f>
        <v/>
      </c>
      <c r="B30" s="31" t="str">
        <f>IFERROR(INDEX(PRENOTAZIONI!$B:$B,SMALL(PRENOTAZIONI!$AE:$AE,27)),"")</f>
        <v/>
      </c>
      <c r="C30" s="32" t="str">
        <f t="shared" si="0"/>
        <v/>
      </c>
      <c r="D30" s="34" t="str">
        <f>IFERROR(INDEX(PRENOTAZIONI!$E:$E,SMALL(PRENOTAZIONI!$AE:$AE,27)),"")</f>
        <v/>
      </c>
      <c r="E30" s="34" t="str">
        <f>IFERROR(INDEX(PRENOTAZIONI!$F:$F,SMALL(PRENOTAZIONI!$AE:$AE,27)),"")</f>
        <v/>
      </c>
      <c r="F30" s="34" t="str">
        <f>IFERROR(INDEX(PRENOTAZIONI!$G:$G,SMALL(PRENOTAZIONI!$AE:$AE,27)),"")</f>
        <v/>
      </c>
      <c r="G30" s="35" t="str">
        <f>IFERROR(INDEX(PRENOTAZIONI!$H:$H,SMALL(PRENOTAZIONI!$AE:$AE,27)),"")</f>
        <v/>
      </c>
      <c r="H30" s="146" t="str">
        <f t="shared" si="1"/>
        <v/>
      </c>
      <c r="I30" s="35" t="str">
        <f t="shared" si="8"/>
        <v/>
      </c>
      <c r="J30" s="149" t="str">
        <f t="shared" si="9"/>
        <v/>
      </c>
      <c r="K30" s="34" t="str">
        <f>IFERROR(INDEX(PRENOTAZIONI!$K:$K,SMALL(PRENOTAZIONI!$AE:$AE,27)),"")</f>
        <v/>
      </c>
      <c r="L30" s="35" t="str">
        <f>IFERROR(INDEX(PRENOTAZIONI!$L:$L,SMALL(PRENOTAZIONI!$AE:$AE,27)),"")</f>
        <v/>
      </c>
      <c r="M30" s="150" t="str">
        <f t="shared" si="2"/>
        <v/>
      </c>
      <c r="N30" s="35" t="str">
        <f t="shared" si="3"/>
        <v/>
      </c>
      <c r="O30" s="35"/>
      <c r="P30" s="43"/>
      <c r="Q30" s="150" t="str">
        <f t="shared" si="4"/>
        <v/>
      </c>
      <c r="R30" s="47" t="str">
        <f>IFERROR(INDEX(PRENOTAZIONI!$R:$R,SMALL(PRENOTAZIONI!$AE:$AE,27)),"")</f>
        <v/>
      </c>
      <c r="S30" s="101"/>
      <c r="T30" s="99" t="str">
        <f>IFERROR(INDEX(PRENOTAZIONI!$A:$A,SMALL(PRENOTAZIONI!$AS:$AS,27)),"")</f>
        <v/>
      </c>
      <c r="U30" s="31" t="str">
        <f>IFERROR(INDEX(PRENOTAZIONI!$B:$B,SMALL(PRENOTAZIONI!$AS:$AS,27)),"")</f>
        <v/>
      </c>
      <c r="V30" s="32" t="str">
        <f t="shared" si="5"/>
        <v/>
      </c>
      <c r="W30" s="34" t="str">
        <f>IFERROR(INDEX(PRENOTAZIONI!$E:$E,SMALL(PRENOTAZIONI!$AS:$AS,27)),"")</f>
        <v/>
      </c>
      <c r="X30" s="34" t="str">
        <f>IFERROR(INDEX(PRENOTAZIONI!$F:$F,SMALL(PRENOTAZIONI!$AS:$AS,27)),"")</f>
        <v/>
      </c>
      <c r="Y30" s="35" t="str">
        <f>IFERROR(INDEX(PRENOTAZIONI!$H:$H,SMALL(PRENOTAZIONI!$AS:$AS,27)),"")</f>
        <v/>
      </c>
      <c r="Z30" s="34" t="str">
        <f>IFERROR(INDEX(PRENOTAZIONI!$K:$K,SMALL(PRENOTAZIONI!$AS:$AS,27)),"")</f>
        <v/>
      </c>
      <c r="AA30" s="34"/>
      <c r="AB30" s="34"/>
      <c r="AC30" s="40" t="str">
        <f t="shared" si="6"/>
        <v/>
      </c>
      <c r="AD30" s="41" t="str">
        <f t="shared" si="7"/>
        <v/>
      </c>
    </row>
    <row r="31" spans="1:42" ht="22" customHeight="1" x14ac:dyDescent="0.2">
      <c r="A31" s="31" t="str">
        <f>IFERROR(INDEX(PRENOTAZIONI!$A:$A,SMALL(PRENOTAZIONI!$AE:$AE,28)),"")</f>
        <v/>
      </c>
      <c r="B31" s="31" t="str">
        <f>IFERROR(INDEX(PRENOTAZIONI!$B:$B,SMALL(PRENOTAZIONI!$AE:$AE,28)),"")</f>
        <v/>
      </c>
      <c r="C31" s="32" t="str">
        <f t="shared" si="0"/>
        <v/>
      </c>
      <c r="D31" s="34" t="str">
        <f>IFERROR(INDEX(PRENOTAZIONI!$E:$E,SMALL(PRENOTAZIONI!$AE:$AE,28)),"")</f>
        <v/>
      </c>
      <c r="E31" s="34" t="str">
        <f>IFERROR(INDEX(PRENOTAZIONI!$F:$F,SMALL(PRENOTAZIONI!$AE:$AE,28)),"")</f>
        <v/>
      </c>
      <c r="F31" s="34" t="str">
        <f>IFERROR(INDEX(PRENOTAZIONI!$G:$G,SMALL(PRENOTAZIONI!$AE:$AE,28)),"")</f>
        <v/>
      </c>
      <c r="G31" s="35" t="str">
        <f>IFERROR(INDEX(PRENOTAZIONI!$H:$H,SMALL(PRENOTAZIONI!$AE:$AE,28)),"")</f>
        <v/>
      </c>
      <c r="H31" s="146" t="str">
        <f t="shared" si="1"/>
        <v/>
      </c>
      <c r="I31" s="35" t="str">
        <f t="shared" si="8"/>
        <v/>
      </c>
      <c r="J31" s="149" t="str">
        <f t="shared" si="9"/>
        <v/>
      </c>
      <c r="K31" s="34" t="str">
        <f>IFERROR(INDEX(PRENOTAZIONI!$K:$K,SMALL(PRENOTAZIONI!$AE:$AE,28)),"")</f>
        <v/>
      </c>
      <c r="L31" s="35" t="str">
        <f>IFERROR(INDEX(PRENOTAZIONI!$L:$L,SMALL(PRENOTAZIONI!$AE:$AE,28)),"")</f>
        <v/>
      </c>
      <c r="M31" s="150" t="str">
        <f t="shared" si="2"/>
        <v/>
      </c>
      <c r="N31" s="35" t="str">
        <f t="shared" si="3"/>
        <v/>
      </c>
      <c r="O31" s="35"/>
      <c r="P31" s="43"/>
      <c r="Q31" s="150" t="str">
        <f t="shared" si="4"/>
        <v/>
      </c>
      <c r="R31" s="47" t="str">
        <f>IFERROR(INDEX(PRENOTAZIONI!$R:$R,SMALL(PRENOTAZIONI!$AE:$AE,28)),"")</f>
        <v/>
      </c>
      <c r="S31" s="101"/>
      <c r="T31" s="99" t="str">
        <f>IFERROR(INDEX(PRENOTAZIONI!$A:$A,SMALL(PRENOTAZIONI!$AS:$AS,28)),"")</f>
        <v/>
      </c>
      <c r="U31" s="31" t="str">
        <f>IFERROR(INDEX(PRENOTAZIONI!$B:$B,SMALL(PRENOTAZIONI!$AS:$AS,28)),"")</f>
        <v/>
      </c>
      <c r="V31" s="32" t="str">
        <f t="shared" si="5"/>
        <v/>
      </c>
      <c r="W31" s="34" t="str">
        <f>IFERROR(INDEX(PRENOTAZIONI!$E:$E,SMALL(PRENOTAZIONI!$AS:$AS,28)),"")</f>
        <v/>
      </c>
      <c r="X31" s="34" t="str">
        <f>IFERROR(INDEX(PRENOTAZIONI!$F:$F,SMALL(PRENOTAZIONI!$AS:$AS,28)),"")</f>
        <v/>
      </c>
      <c r="Y31" s="35" t="str">
        <f>IFERROR(INDEX(PRENOTAZIONI!$H:$H,SMALL(PRENOTAZIONI!$AS:$AS,28)),"")</f>
        <v/>
      </c>
      <c r="Z31" s="34" t="str">
        <f>IFERROR(INDEX(PRENOTAZIONI!$K:$K,SMALL(PRENOTAZIONI!$AS:$AS,28)),"")</f>
        <v/>
      </c>
      <c r="AA31" s="34"/>
      <c r="AB31" s="34"/>
      <c r="AC31" s="40" t="str">
        <f t="shared" si="6"/>
        <v/>
      </c>
      <c r="AD31" s="41" t="str">
        <f t="shared" si="7"/>
        <v/>
      </c>
    </row>
    <row r="32" spans="1:42" ht="22" customHeight="1" x14ac:dyDescent="0.2">
      <c r="A32" s="31" t="str">
        <f>IFERROR(INDEX(PRENOTAZIONI!$A:$A,SMALL(PRENOTAZIONI!$AE:$AE,29)),"")</f>
        <v/>
      </c>
      <c r="B32" s="31" t="str">
        <f>IFERROR(INDEX(PRENOTAZIONI!$B:$B,SMALL(PRENOTAZIONI!$AE:$AE,29)),"")</f>
        <v/>
      </c>
      <c r="C32" s="32" t="str">
        <f t="shared" si="0"/>
        <v/>
      </c>
      <c r="D32" s="34" t="str">
        <f>IFERROR(INDEX(PRENOTAZIONI!$E:$E,SMALL(PRENOTAZIONI!$AE:$AE,29)),"")</f>
        <v/>
      </c>
      <c r="E32" s="34" t="str">
        <f>IFERROR(INDEX(PRENOTAZIONI!$F:$F,SMALL(PRENOTAZIONI!$AE:$AE,29)),"")</f>
        <v/>
      </c>
      <c r="F32" s="34" t="str">
        <f>IFERROR(INDEX(PRENOTAZIONI!$G:$G,SMALL(PRENOTAZIONI!$AE:$AE,29)),"")</f>
        <v/>
      </c>
      <c r="G32" s="35" t="str">
        <f>IFERROR(INDEX(PRENOTAZIONI!$H:$H,SMALL(PRENOTAZIONI!$AE:$AE,29)),"")</f>
        <v/>
      </c>
      <c r="H32" s="146" t="str">
        <f t="shared" si="1"/>
        <v/>
      </c>
      <c r="I32" s="35" t="str">
        <f t="shared" si="8"/>
        <v/>
      </c>
      <c r="J32" s="149" t="str">
        <f t="shared" si="9"/>
        <v/>
      </c>
      <c r="K32" s="34" t="str">
        <f>IFERROR(INDEX(PRENOTAZIONI!$K:$K,SMALL(PRENOTAZIONI!$AE:$AE,29)),"")</f>
        <v/>
      </c>
      <c r="L32" s="35" t="str">
        <f>IFERROR(INDEX(PRENOTAZIONI!$L:$L,SMALL(PRENOTAZIONI!$AE:$AE,29)),"")</f>
        <v/>
      </c>
      <c r="M32" s="150" t="str">
        <f t="shared" si="2"/>
        <v/>
      </c>
      <c r="N32" s="35" t="str">
        <f t="shared" si="3"/>
        <v/>
      </c>
      <c r="O32" s="35"/>
      <c r="P32" s="43"/>
      <c r="Q32" s="150" t="str">
        <f t="shared" si="4"/>
        <v/>
      </c>
      <c r="R32" s="47" t="str">
        <f>IFERROR(INDEX(PRENOTAZIONI!$R:$R,SMALL(PRENOTAZIONI!$AE:$AE,29)),"")</f>
        <v/>
      </c>
      <c r="S32" s="101"/>
      <c r="T32" s="99" t="str">
        <f>IFERROR(INDEX(PRENOTAZIONI!$A:$A,SMALL(PRENOTAZIONI!$AS:$AS,29)),"")</f>
        <v/>
      </c>
      <c r="U32" s="31" t="str">
        <f>IFERROR(INDEX(PRENOTAZIONI!$B:$B,SMALL(PRENOTAZIONI!$AS:$AS,29)),"")</f>
        <v/>
      </c>
      <c r="V32" s="32" t="str">
        <f t="shared" si="5"/>
        <v/>
      </c>
      <c r="W32" s="34" t="str">
        <f>IFERROR(INDEX(PRENOTAZIONI!$E:$E,SMALL(PRENOTAZIONI!$AS:$AS,29)),"")</f>
        <v/>
      </c>
      <c r="X32" s="34" t="str">
        <f>IFERROR(INDEX(PRENOTAZIONI!$F:$F,SMALL(PRENOTAZIONI!$AS:$AS,29)),"")</f>
        <v/>
      </c>
      <c r="Y32" s="35" t="str">
        <f>IFERROR(INDEX(PRENOTAZIONI!$H:$H,SMALL(PRENOTAZIONI!$AS:$AS,29)),"")</f>
        <v/>
      </c>
      <c r="Z32" s="34" t="str">
        <f>IFERROR(INDEX(PRENOTAZIONI!$K:$K,SMALL(PRENOTAZIONI!$AS:$AS,29)),"")</f>
        <v/>
      </c>
      <c r="AA32" s="34"/>
      <c r="AB32" s="34"/>
      <c r="AC32" s="40" t="str">
        <f t="shared" si="6"/>
        <v/>
      </c>
      <c r="AD32" s="41" t="str">
        <f t="shared" si="7"/>
        <v/>
      </c>
    </row>
    <row r="33" spans="1:30" ht="22" customHeight="1" x14ac:dyDescent="0.2">
      <c r="A33" s="31" t="str">
        <f>IFERROR(INDEX(PRENOTAZIONI!$A:$A,SMALL(PRENOTAZIONI!$AE:$AE,30)),"")</f>
        <v/>
      </c>
      <c r="B33" s="31" t="str">
        <f>IFERROR(INDEX(PRENOTAZIONI!$B:$B,SMALL(PRENOTAZIONI!$AE:$AE,30)),"")</f>
        <v/>
      </c>
      <c r="C33" s="32" t="str">
        <f t="shared" si="0"/>
        <v/>
      </c>
      <c r="D33" s="34" t="str">
        <f>IFERROR(INDEX(PRENOTAZIONI!$E:$E,SMALL(PRENOTAZIONI!$AE:$AE,30)),"")</f>
        <v/>
      </c>
      <c r="E33" s="34" t="str">
        <f>IFERROR(INDEX(PRENOTAZIONI!$F:$F,SMALL(PRENOTAZIONI!$AE:$AE,30)),"")</f>
        <v/>
      </c>
      <c r="F33" s="34" t="str">
        <f>IFERROR(INDEX(PRENOTAZIONI!$G:$G,SMALL(PRENOTAZIONI!$AE:$AE,30)),"")</f>
        <v/>
      </c>
      <c r="G33" s="35" t="str">
        <f>IFERROR(INDEX(PRENOTAZIONI!$H:$H,SMALL(PRENOTAZIONI!$AE:$AE,30)),"")</f>
        <v/>
      </c>
      <c r="H33" s="146" t="str">
        <f t="shared" si="1"/>
        <v/>
      </c>
      <c r="I33" s="35" t="str">
        <f t="shared" si="8"/>
        <v/>
      </c>
      <c r="J33" s="149" t="str">
        <f t="shared" si="9"/>
        <v/>
      </c>
      <c r="K33" s="34" t="str">
        <f>IFERROR(INDEX(PRENOTAZIONI!$K:$K,SMALL(PRENOTAZIONI!$AE:$AE,30)),"")</f>
        <v/>
      </c>
      <c r="L33" s="35" t="str">
        <f>IFERROR(INDEX(PRENOTAZIONI!$L:$L,SMALL(PRENOTAZIONI!$AE:$AE,30)),"")</f>
        <v/>
      </c>
      <c r="M33" s="150" t="str">
        <f t="shared" si="2"/>
        <v/>
      </c>
      <c r="N33" s="35" t="str">
        <f t="shared" si="3"/>
        <v/>
      </c>
      <c r="O33" s="35"/>
      <c r="P33" s="43"/>
      <c r="Q33" s="150" t="str">
        <f t="shared" si="4"/>
        <v/>
      </c>
      <c r="R33" s="47" t="str">
        <f>IFERROR(INDEX(PRENOTAZIONI!$R:$R,SMALL(PRENOTAZIONI!$AE:$AE,30)),"")</f>
        <v/>
      </c>
      <c r="S33" s="101"/>
      <c r="T33" s="99" t="str">
        <f>IFERROR(INDEX(PRENOTAZIONI!$A:$A,SMALL(PRENOTAZIONI!$AS:$AS,30)),"")</f>
        <v/>
      </c>
      <c r="U33" s="31" t="str">
        <f>IFERROR(INDEX(PRENOTAZIONI!$B:$B,SMALL(PRENOTAZIONI!$AS:$AS,30)),"")</f>
        <v/>
      </c>
      <c r="V33" s="32" t="str">
        <f t="shared" si="5"/>
        <v/>
      </c>
      <c r="W33" s="34" t="str">
        <f>IFERROR(INDEX(PRENOTAZIONI!$E:$E,SMALL(PRENOTAZIONI!$AS:$AS,30)),"")</f>
        <v/>
      </c>
      <c r="X33" s="34" t="str">
        <f>IFERROR(INDEX(PRENOTAZIONI!$F:$F,SMALL(PRENOTAZIONI!$AS:$AS,30)),"")</f>
        <v/>
      </c>
      <c r="Y33" s="35" t="str">
        <f>IFERROR(INDEX(PRENOTAZIONI!$H:$H,SMALL(PRENOTAZIONI!$AS:$AS,30)),"")</f>
        <v/>
      </c>
      <c r="Z33" s="34" t="str">
        <f>IFERROR(INDEX(PRENOTAZIONI!$K:$K,SMALL(PRENOTAZIONI!$AS:$AS,30)),"")</f>
        <v/>
      </c>
      <c r="AA33" s="34"/>
      <c r="AB33" s="34"/>
      <c r="AC33" s="40" t="str">
        <f t="shared" si="6"/>
        <v/>
      </c>
      <c r="AD33" s="41" t="str">
        <f t="shared" si="7"/>
        <v/>
      </c>
    </row>
    <row r="34" spans="1:30" ht="24" customHeight="1" x14ac:dyDescent="0.2">
      <c r="A34" s="31" t="str">
        <f>IFERROR(INDEX(PRENOTAZIONI!$A:$A,SMALL(PRENOTAZIONI!$AE:$AE,31)),"")</f>
        <v/>
      </c>
      <c r="B34" s="31" t="str">
        <f>IFERROR(INDEX(PRENOTAZIONI!$B:$B,SMALL(PRENOTAZIONI!$AE:$AE,31)),"")</f>
        <v/>
      </c>
      <c r="C34" s="32" t="str">
        <f t="shared" si="0"/>
        <v/>
      </c>
      <c r="D34" s="34" t="str">
        <f>IFERROR(INDEX(PRENOTAZIONI!$E:$E,SMALL(PRENOTAZIONI!$AE:$AE,31)),"")</f>
        <v/>
      </c>
      <c r="E34" s="34" t="str">
        <f>IFERROR(INDEX(PRENOTAZIONI!$F:$F,SMALL(PRENOTAZIONI!$AE:$AE,31)),"")</f>
        <v/>
      </c>
      <c r="F34" s="34" t="str">
        <f>IFERROR(INDEX(PRENOTAZIONI!$G:$G,SMALL(PRENOTAZIONI!$AE:$AE,31)),"")</f>
        <v/>
      </c>
      <c r="G34" s="35" t="str">
        <f>IFERROR(INDEX(PRENOTAZIONI!$H:$H,SMALL(PRENOTAZIONI!$AE:$AE,31)),"")</f>
        <v/>
      </c>
      <c r="H34" s="146" t="str">
        <f t="shared" si="1"/>
        <v/>
      </c>
      <c r="I34" s="35" t="str">
        <f t="shared" si="8"/>
        <v/>
      </c>
      <c r="J34" s="149" t="str">
        <f t="shared" si="9"/>
        <v/>
      </c>
      <c r="K34" s="34" t="str">
        <f>IFERROR(INDEX(PRENOTAZIONI!$K:$K,SMALL(PRENOTAZIONI!$AE:$AE,31)),"")</f>
        <v/>
      </c>
      <c r="L34" s="35" t="str">
        <f>IFERROR(INDEX(PRENOTAZIONI!$L:$L,SMALL(PRENOTAZIONI!$AE:$AE,31)),"")</f>
        <v/>
      </c>
      <c r="M34" s="150" t="str">
        <f t="shared" si="2"/>
        <v/>
      </c>
      <c r="N34" s="35" t="str">
        <f t="shared" si="3"/>
        <v/>
      </c>
      <c r="O34" s="35"/>
      <c r="P34" s="43"/>
      <c r="Q34" s="150" t="str">
        <f t="shared" si="4"/>
        <v/>
      </c>
      <c r="R34" s="47" t="str">
        <f>IFERROR(INDEX(PRENOTAZIONI!$R:$R,SMALL(PRENOTAZIONI!$AE:$AE,31)),"")</f>
        <v/>
      </c>
      <c r="S34" s="49"/>
      <c r="T34" s="84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IFERROR(INDEX(PRENOTAZIONI!$A:$A,SMALL(PRENOTAZIONI!$AE:$AE,32)),"")</f>
        <v/>
      </c>
      <c r="B35" s="31" t="str">
        <f>IFERROR(INDEX(PRENOTAZIONI!$B:$B,SMALL(PRENOTAZIONI!$AE:$AE,32)),"")</f>
        <v/>
      </c>
      <c r="C35" s="32" t="str">
        <f t="shared" si="0"/>
        <v/>
      </c>
      <c r="D35" s="34" t="str">
        <f>IFERROR(INDEX(PRENOTAZIONI!$E:$E,SMALL(PRENOTAZIONI!$AE:$AE,32)),"")</f>
        <v/>
      </c>
      <c r="E35" s="34" t="str">
        <f>IFERROR(INDEX(PRENOTAZIONI!$F:$F,SMALL(PRENOTAZIONI!$AE:$AE,32)),"")</f>
        <v/>
      </c>
      <c r="F35" s="34" t="str">
        <f>IFERROR(INDEX(PRENOTAZIONI!$G:$G,SMALL(PRENOTAZIONI!$AE:$AE,32)),"")</f>
        <v/>
      </c>
      <c r="G35" s="35" t="str">
        <f>IFERROR(INDEX(PRENOTAZIONI!$H:$H,SMALL(PRENOTAZIONI!$AE:$AE,32)),"")</f>
        <v/>
      </c>
      <c r="H35" s="146" t="str">
        <f t="shared" si="1"/>
        <v/>
      </c>
      <c r="I35" s="35" t="str">
        <f t="shared" si="8"/>
        <v/>
      </c>
      <c r="J35" s="149" t="str">
        <f t="shared" si="9"/>
        <v/>
      </c>
      <c r="K35" s="34" t="str">
        <f>IFERROR(INDEX(PRENOTAZIONI!$K:$K,SMALL(PRENOTAZIONI!$AE:$AE,32)),"")</f>
        <v/>
      </c>
      <c r="L35" s="35" t="str">
        <f>IFERROR(INDEX(PRENOTAZIONI!$L:$L,SMALL(PRENOTAZIONI!$AE:$AE,32)),"")</f>
        <v/>
      </c>
      <c r="M35" s="150" t="str">
        <f t="shared" si="2"/>
        <v/>
      </c>
      <c r="N35" s="35" t="str">
        <f t="shared" si="3"/>
        <v/>
      </c>
      <c r="O35" s="35"/>
      <c r="P35" s="43"/>
      <c r="Q35" s="150" t="str">
        <f t="shared" si="4"/>
        <v/>
      </c>
      <c r="R35" s="47" t="str">
        <f>IFERROR(INDEX(PRENOTAZIONI!$R:$R,SMALL(PRENOTAZIONI!$AE:$AE,32)),"")</f>
        <v/>
      </c>
      <c r="T35" s="78"/>
    </row>
    <row r="36" spans="1:30" ht="22" customHeight="1" x14ac:dyDescent="0.25">
      <c r="A36" s="31" t="str">
        <f>IFERROR(INDEX(PRENOTAZIONI!$A:$A,SMALL(PRENOTAZIONI!$AE:$AE,33)),"")</f>
        <v/>
      </c>
      <c r="B36" s="31" t="str">
        <f>IFERROR(INDEX(PRENOTAZIONI!$B:$B,SMALL(PRENOTAZIONI!$AE:$AE,33)),"")</f>
        <v/>
      </c>
      <c r="C36" s="32" t="str">
        <f t="shared" ref="C36:C63" si="11">IF(A36&lt;&gt;"",B36-A36,"")</f>
        <v/>
      </c>
      <c r="D36" s="34" t="str">
        <f>IFERROR(INDEX(PRENOTAZIONI!$E:$E,SMALL(PRENOTAZIONI!$AE:$AE,33)),"")</f>
        <v/>
      </c>
      <c r="E36" s="34" t="str">
        <f>IFERROR(INDEX(PRENOTAZIONI!$F:$F,SMALL(PRENOTAZIONI!$AE:$AE,33)),"")</f>
        <v/>
      </c>
      <c r="F36" s="34" t="str">
        <f>IFERROR(INDEX(PRENOTAZIONI!$G:$G,SMALL(PRENOTAZIONI!$AE:$AE,33)),"")</f>
        <v/>
      </c>
      <c r="G36" s="35" t="str">
        <f>IFERROR(INDEX(PRENOTAZIONI!$H:$H,SMALL(PRENOTAZIONI!$AE:$AE,33)),"")</f>
        <v/>
      </c>
      <c r="H36" s="146" t="str">
        <f t="shared" ref="H36:H63" si="12">IF(AND(G36&lt;&gt;"",C36&lt;&gt;"",C36&lt;&gt;0),G36/C36,"")</f>
        <v/>
      </c>
      <c r="I36" s="35" t="str">
        <f t="shared" si="8"/>
        <v/>
      </c>
      <c r="J36" s="149" t="str">
        <f t="shared" ref="J36:J63" si="13">IF(H36&lt;&gt;"",H36*0.22,"")</f>
        <v/>
      </c>
      <c r="K36" s="34" t="str">
        <f>IFERROR(INDEX(PRENOTAZIONI!$K:$K,SMALL(PRENOTAZIONI!$AE:$AE,33)),"")</f>
        <v/>
      </c>
      <c r="L36" s="35" t="str">
        <f>IFERROR(INDEX(PRENOTAZIONI!$L:$L,SMALL(PRENOTAZIONI!$AE:$AE,33)),"")</f>
        <v/>
      </c>
      <c r="M36" s="150" t="str">
        <f t="shared" ref="M36:M63" si="14">IF(G36&lt;&gt;"",G36*0.21,"")</f>
        <v/>
      </c>
      <c r="N36" s="35" t="str">
        <f t="shared" ref="N36:N63" si="15">IF(G36&lt;&gt;"",G36*0.25,"")</f>
        <v/>
      </c>
      <c r="O36" s="35"/>
      <c r="P36" s="43"/>
      <c r="Q36" s="150" t="str">
        <f t="shared" ref="Q36:Q63" si="16">IF(G36&lt;&gt;"",G36-I36-J36-M36-N36-O36,"")</f>
        <v/>
      </c>
      <c r="R36" s="47" t="str">
        <f>IFERROR(INDEX(PRENOTAZIONI!$R:$R,SMALL(PRENOTAZIONI!$AE:$AE,33)),"")</f>
        <v/>
      </c>
      <c r="T36" s="78"/>
    </row>
    <row r="37" spans="1:30" ht="22" customHeight="1" x14ac:dyDescent="0.25">
      <c r="A37" s="31" t="str">
        <f>IFERROR(INDEX(PRENOTAZIONI!$A:$A,SMALL(PRENOTAZIONI!$AE:$AE,34)),"")</f>
        <v/>
      </c>
      <c r="B37" s="31" t="str">
        <f>IFERROR(INDEX(PRENOTAZIONI!$B:$B,SMALL(PRENOTAZIONI!$AE:$AE,34)),"")</f>
        <v/>
      </c>
      <c r="C37" s="32" t="str">
        <f t="shared" si="11"/>
        <v/>
      </c>
      <c r="D37" s="34" t="str">
        <f>IFERROR(INDEX(PRENOTAZIONI!$E:$E,SMALL(PRENOTAZIONI!$AE:$AE,34)),"")</f>
        <v/>
      </c>
      <c r="E37" s="34" t="str">
        <f>IFERROR(INDEX(PRENOTAZIONI!$F:$F,SMALL(PRENOTAZIONI!$AE:$AE,34)),"")</f>
        <v/>
      </c>
      <c r="F37" s="34" t="str">
        <f>IFERROR(INDEX(PRENOTAZIONI!$G:$G,SMALL(PRENOTAZIONI!$AE:$AE,34)),"")</f>
        <v/>
      </c>
      <c r="G37" s="35" t="str">
        <f>IFERROR(INDEX(PRENOTAZIONI!$H:$H,SMALL(PRENOTAZIONI!$AE:$AE,34)),"")</f>
        <v/>
      </c>
      <c r="H37" s="146" t="str">
        <f t="shared" si="12"/>
        <v/>
      </c>
      <c r="I37" s="35" t="str">
        <f t="shared" si="8"/>
        <v/>
      </c>
      <c r="J37" s="149" t="str">
        <f t="shared" si="13"/>
        <v/>
      </c>
      <c r="K37" s="34" t="str">
        <f>IFERROR(INDEX(PRENOTAZIONI!$K:$K,SMALL(PRENOTAZIONI!$AE:$AE,34)),"")</f>
        <v/>
      </c>
      <c r="L37" s="35" t="str">
        <f>IFERROR(INDEX(PRENOTAZIONI!$L:$L,SMALL(PRENOTAZIONI!$AE:$AE,34)),"")</f>
        <v/>
      </c>
      <c r="M37" s="150" t="str">
        <f t="shared" si="14"/>
        <v/>
      </c>
      <c r="N37" s="35" t="str">
        <f t="shared" si="15"/>
        <v/>
      </c>
      <c r="O37" s="35"/>
      <c r="P37" s="43"/>
      <c r="Q37" s="150" t="str">
        <f t="shared" si="16"/>
        <v/>
      </c>
      <c r="R37" s="47" t="str">
        <f>IFERROR(INDEX(PRENOTAZIONI!$R:$R,SMALL(PRENOTAZIONI!$AE:$AE,34)),"")</f>
        <v/>
      </c>
      <c r="T37" s="78"/>
    </row>
    <row r="38" spans="1:30" ht="22" customHeight="1" x14ac:dyDescent="0.25">
      <c r="A38" s="31" t="str">
        <f>IFERROR(INDEX(PRENOTAZIONI!$A:$A,SMALL(PRENOTAZIONI!$AE:$AE,35)),"")</f>
        <v/>
      </c>
      <c r="B38" s="31" t="str">
        <f>IFERROR(INDEX(PRENOTAZIONI!$B:$B,SMALL(PRENOTAZIONI!$AE:$AE,35)),"")</f>
        <v/>
      </c>
      <c r="C38" s="32" t="str">
        <f t="shared" si="11"/>
        <v/>
      </c>
      <c r="D38" s="34" t="str">
        <f>IFERROR(INDEX(PRENOTAZIONI!$E:$E,SMALL(PRENOTAZIONI!$AE:$AE,35)),"")</f>
        <v/>
      </c>
      <c r="E38" s="34" t="str">
        <f>IFERROR(INDEX(PRENOTAZIONI!$F:$F,SMALL(PRENOTAZIONI!$AE:$AE,35)),"")</f>
        <v/>
      </c>
      <c r="F38" s="34" t="str">
        <f>IFERROR(INDEX(PRENOTAZIONI!$G:$G,SMALL(PRENOTAZIONI!$AE:$AE,35)),"")</f>
        <v/>
      </c>
      <c r="G38" s="35" t="str">
        <f>IFERROR(INDEX(PRENOTAZIONI!$H:$H,SMALL(PRENOTAZIONI!$AE:$AE,35)),"")</f>
        <v/>
      </c>
      <c r="H38" s="146" t="str">
        <f t="shared" si="12"/>
        <v/>
      </c>
      <c r="I38" s="35" t="str">
        <f t="shared" ref="I38:I63" si="17">IF(G38="","",IF(NOT(ISERROR(SEARCH("diretta",F38))),0,IF(NOT(ISERROR(SEARCH("booking",F38))),G38*0.15,IF(NOT(ISERROR(SEARCH("airbnb",F38))),G38*0.155,""))))</f>
        <v/>
      </c>
      <c r="J38" s="149" t="str">
        <f t="shared" si="13"/>
        <v/>
      </c>
      <c r="K38" s="34" t="str">
        <f>IFERROR(INDEX(PRENOTAZIONI!$K:$K,SMALL(PRENOTAZIONI!$AE:$AE,35)),"")</f>
        <v/>
      </c>
      <c r="L38" s="35" t="str">
        <f>IFERROR(INDEX(PRENOTAZIONI!$L:$L,SMALL(PRENOTAZIONI!$AE:$AE,35)),"")</f>
        <v/>
      </c>
      <c r="M38" s="150" t="str">
        <f t="shared" si="14"/>
        <v/>
      </c>
      <c r="N38" s="35" t="str">
        <f t="shared" si="15"/>
        <v/>
      </c>
      <c r="O38" s="35"/>
      <c r="P38" s="43"/>
      <c r="Q38" s="150" t="str">
        <f t="shared" si="16"/>
        <v/>
      </c>
      <c r="R38" s="47" t="str">
        <f>IFERROR(INDEX(PRENOTAZIONI!$R:$R,SMALL(PRENOTAZIONI!$AE:$AE,35)),"")</f>
        <v/>
      </c>
      <c r="T38" s="78"/>
    </row>
    <row r="39" spans="1:30" ht="22" customHeight="1" x14ac:dyDescent="0.25">
      <c r="A39" s="31" t="str">
        <f>IFERROR(INDEX(PRENOTAZIONI!$A:$A,SMALL(PRENOTAZIONI!$AE:$AE,36)),"")</f>
        <v/>
      </c>
      <c r="B39" s="31" t="str">
        <f>IFERROR(INDEX(PRENOTAZIONI!$B:$B,SMALL(PRENOTAZIONI!$AE:$AE,36)),"")</f>
        <v/>
      </c>
      <c r="C39" s="32" t="str">
        <f t="shared" si="11"/>
        <v/>
      </c>
      <c r="D39" s="34" t="str">
        <f>IFERROR(INDEX(PRENOTAZIONI!$E:$E,SMALL(PRENOTAZIONI!$AE:$AE,36)),"")</f>
        <v/>
      </c>
      <c r="E39" s="34" t="str">
        <f>IFERROR(INDEX(PRENOTAZIONI!$F:$F,SMALL(PRENOTAZIONI!$AE:$AE,36)),"")</f>
        <v/>
      </c>
      <c r="F39" s="34" t="str">
        <f>IFERROR(INDEX(PRENOTAZIONI!$G:$G,SMALL(PRENOTAZIONI!$AE:$AE,36)),"")</f>
        <v/>
      </c>
      <c r="G39" s="35" t="str">
        <f>IFERROR(INDEX(PRENOTAZIONI!$H:$H,SMALL(PRENOTAZIONI!$AE:$AE,36)),"")</f>
        <v/>
      </c>
      <c r="H39" s="146" t="str">
        <f t="shared" si="12"/>
        <v/>
      </c>
      <c r="I39" s="35" t="str">
        <f t="shared" si="17"/>
        <v/>
      </c>
      <c r="J39" s="149" t="str">
        <f t="shared" si="13"/>
        <v/>
      </c>
      <c r="K39" s="34" t="str">
        <f>IFERROR(INDEX(PRENOTAZIONI!$K:$K,SMALL(PRENOTAZIONI!$AE:$AE,36)),"")</f>
        <v/>
      </c>
      <c r="L39" s="35" t="str">
        <f>IFERROR(INDEX(PRENOTAZIONI!$L:$L,SMALL(PRENOTAZIONI!$AE:$AE,36)),"")</f>
        <v/>
      </c>
      <c r="M39" s="150" t="str">
        <f t="shared" si="14"/>
        <v/>
      </c>
      <c r="N39" s="35" t="str">
        <f t="shared" si="15"/>
        <v/>
      </c>
      <c r="O39" s="35"/>
      <c r="P39" s="43"/>
      <c r="Q39" s="150" t="str">
        <f t="shared" si="16"/>
        <v/>
      </c>
      <c r="R39" s="47" t="str">
        <f>IFERROR(INDEX(PRENOTAZIONI!$R:$R,SMALL(PRENOTAZIONI!$AE:$AE,36)),"")</f>
        <v/>
      </c>
      <c r="T39" s="78"/>
    </row>
    <row r="40" spans="1:30" ht="22" customHeight="1" x14ac:dyDescent="0.25">
      <c r="A40" s="31" t="str">
        <f>IFERROR(INDEX(PRENOTAZIONI!$A:$A,SMALL(PRENOTAZIONI!$AE:$AE,37)),"")</f>
        <v/>
      </c>
      <c r="B40" s="31" t="str">
        <f>IFERROR(INDEX(PRENOTAZIONI!$B:$B,SMALL(PRENOTAZIONI!$AE:$AE,37)),"")</f>
        <v/>
      </c>
      <c r="C40" s="32" t="str">
        <f t="shared" si="11"/>
        <v/>
      </c>
      <c r="D40" s="34" t="str">
        <f>IFERROR(INDEX(PRENOTAZIONI!$E:$E,SMALL(PRENOTAZIONI!$AE:$AE,37)),"")</f>
        <v/>
      </c>
      <c r="E40" s="34" t="str">
        <f>IFERROR(INDEX(PRENOTAZIONI!$F:$F,SMALL(PRENOTAZIONI!$AE:$AE,37)),"")</f>
        <v/>
      </c>
      <c r="F40" s="34" t="str">
        <f>IFERROR(INDEX(PRENOTAZIONI!$G:$G,SMALL(PRENOTAZIONI!$AE:$AE,37)),"")</f>
        <v/>
      </c>
      <c r="G40" s="35" t="str">
        <f>IFERROR(INDEX(PRENOTAZIONI!$H:$H,SMALL(PRENOTAZIONI!$AE:$AE,37)),"")</f>
        <v/>
      </c>
      <c r="H40" s="146" t="str">
        <f t="shared" si="12"/>
        <v/>
      </c>
      <c r="I40" s="35" t="str">
        <f t="shared" si="17"/>
        <v/>
      </c>
      <c r="J40" s="149" t="str">
        <f t="shared" si="13"/>
        <v/>
      </c>
      <c r="K40" s="34" t="str">
        <f>IFERROR(INDEX(PRENOTAZIONI!$K:$K,SMALL(PRENOTAZIONI!$AE:$AE,37)),"")</f>
        <v/>
      </c>
      <c r="L40" s="35" t="str">
        <f>IFERROR(INDEX(PRENOTAZIONI!$L:$L,SMALL(PRENOTAZIONI!$AE:$AE,37)),"")</f>
        <v/>
      </c>
      <c r="M40" s="150" t="str">
        <f t="shared" si="14"/>
        <v/>
      </c>
      <c r="N40" s="35" t="str">
        <f t="shared" si="15"/>
        <v/>
      </c>
      <c r="O40" s="35"/>
      <c r="P40" s="43"/>
      <c r="Q40" s="150" t="str">
        <f t="shared" si="16"/>
        <v/>
      </c>
      <c r="R40" s="47" t="str">
        <f>IFERROR(INDEX(PRENOTAZIONI!$R:$R,SMALL(PRENOTAZIONI!$AE:$AE,37)),"")</f>
        <v/>
      </c>
      <c r="T40" s="78"/>
    </row>
    <row r="41" spans="1:30" ht="22" customHeight="1" x14ac:dyDescent="0.25">
      <c r="A41" s="31" t="str">
        <f>IFERROR(INDEX(PRENOTAZIONI!$A:$A,SMALL(PRENOTAZIONI!$AE:$AE,38)),"")</f>
        <v/>
      </c>
      <c r="B41" s="31" t="str">
        <f>IFERROR(INDEX(PRENOTAZIONI!$B:$B,SMALL(PRENOTAZIONI!$AE:$AE,38)),"")</f>
        <v/>
      </c>
      <c r="C41" s="32" t="str">
        <f t="shared" si="11"/>
        <v/>
      </c>
      <c r="D41" s="34" t="str">
        <f>IFERROR(INDEX(PRENOTAZIONI!$E:$E,SMALL(PRENOTAZIONI!$AE:$AE,38)),"")</f>
        <v/>
      </c>
      <c r="E41" s="34" t="str">
        <f>IFERROR(INDEX(PRENOTAZIONI!$F:$F,SMALL(PRENOTAZIONI!$AE:$AE,38)),"")</f>
        <v/>
      </c>
      <c r="F41" s="34" t="str">
        <f>IFERROR(INDEX(PRENOTAZIONI!$G:$G,SMALL(PRENOTAZIONI!$AE:$AE,38)),"")</f>
        <v/>
      </c>
      <c r="G41" s="35" t="str">
        <f>IFERROR(INDEX(PRENOTAZIONI!$H:$H,SMALL(PRENOTAZIONI!$AE:$AE,38)),"")</f>
        <v/>
      </c>
      <c r="H41" s="146" t="str">
        <f t="shared" si="12"/>
        <v/>
      </c>
      <c r="I41" s="35" t="str">
        <f t="shared" si="17"/>
        <v/>
      </c>
      <c r="J41" s="149" t="str">
        <f t="shared" si="13"/>
        <v/>
      </c>
      <c r="K41" s="34" t="str">
        <f>IFERROR(INDEX(PRENOTAZIONI!$K:$K,SMALL(PRENOTAZIONI!$AE:$AE,38)),"")</f>
        <v/>
      </c>
      <c r="L41" s="35" t="str">
        <f>IFERROR(INDEX(PRENOTAZIONI!$L:$L,SMALL(PRENOTAZIONI!$AE:$AE,38)),"")</f>
        <v/>
      </c>
      <c r="M41" s="150" t="str">
        <f t="shared" si="14"/>
        <v/>
      </c>
      <c r="N41" s="35" t="str">
        <f t="shared" si="15"/>
        <v/>
      </c>
      <c r="O41" s="35"/>
      <c r="P41" s="43"/>
      <c r="Q41" s="150" t="str">
        <f t="shared" si="16"/>
        <v/>
      </c>
      <c r="R41" s="47" t="str">
        <f>IFERROR(INDEX(PRENOTAZIONI!$R:$R,SMALL(PRENOTAZIONI!$AE:$AE,38)),"")</f>
        <v/>
      </c>
      <c r="T41" s="78"/>
    </row>
    <row r="42" spans="1:30" ht="22" customHeight="1" x14ac:dyDescent="0.25">
      <c r="A42" s="31" t="str">
        <f>IFERROR(INDEX(PRENOTAZIONI!$A:$A,SMALL(PRENOTAZIONI!$AE:$AE,39)),"")</f>
        <v/>
      </c>
      <c r="B42" s="31" t="str">
        <f>IFERROR(INDEX(PRENOTAZIONI!$B:$B,SMALL(PRENOTAZIONI!$AE:$AE,39)),"")</f>
        <v/>
      </c>
      <c r="C42" s="32" t="str">
        <f t="shared" si="11"/>
        <v/>
      </c>
      <c r="D42" s="34" t="str">
        <f>IFERROR(INDEX(PRENOTAZIONI!$E:$E,SMALL(PRENOTAZIONI!$AE:$AE,39)),"")</f>
        <v/>
      </c>
      <c r="E42" s="34" t="str">
        <f>IFERROR(INDEX(PRENOTAZIONI!$F:$F,SMALL(PRENOTAZIONI!$AE:$AE,39)),"")</f>
        <v/>
      </c>
      <c r="F42" s="34" t="str">
        <f>IFERROR(INDEX(PRENOTAZIONI!$G:$G,SMALL(PRENOTAZIONI!$AE:$AE,39)),"")</f>
        <v/>
      </c>
      <c r="G42" s="35" t="str">
        <f>IFERROR(INDEX(PRENOTAZIONI!$H:$H,SMALL(PRENOTAZIONI!$AE:$AE,39)),"")</f>
        <v/>
      </c>
      <c r="H42" s="146" t="str">
        <f t="shared" si="12"/>
        <v/>
      </c>
      <c r="I42" s="35" t="str">
        <f t="shared" si="17"/>
        <v/>
      </c>
      <c r="J42" s="149" t="str">
        <f t="shared" si="13"/>
        <v/>
      </c>
      <c r="K42" s="34" t="str">
        <f>IFERROR(INDEX(PRENOTAZIONI!$K:$K,SMALL(PRENOTAZIONI!$AE:$AE,39)),"")</f>
        <v/>
      </c>
      <c r="L42" s="35" t="str">
        <f>IFERROR(INDEX(PRENOTAZIONI!$L:$L,SMALL(PRENOTAZIONI!$AE:$AE,39)),"")</f>
        <v/>
      </c>
      <c r="M42" s="150" t="str">
        <f t="shared" si="14"/>
        <v/>
      </c>
      <c r="N42" s="35" t="str">
        <f t="shared" si="15"/>
        <v/>
      </c>
      <c r="O42" s="35"/>
      <c r="P42" s="43"/>
      <c r="Q42" s="150" t="str">
        <f t="shared" si="16"/>
        <v/>
      </c>
      <c r="R42" s="47" t="str">
        <f>IFERROR(INDEX(PRENOTAZIONI!$R:$R,SMALL(PRENOTAZIONI!$AE:$AE,39)),"")</f>
        <v/>
      </c>
      <c r="T42" s="78"/>
    </row>
    <row r="43" spans="1:30" ht="22" customHeight="1" x14ac:dyDescent="0.25">
      <c r="A43" s="31" t="str">
        <f>IFERROR(INDEX(PRENOTAZIONI!$A:$A,SMALL(PRENOTAZIONI!$AE:$AE,40)),"")</f>
        <v/>
      </c>
      <c r="B43" s="31" t="str">
        <f>IFERROR(INDEX(PRENOTAZIONI!$B:$B,SMALL(PRENOTAZIONI!$AE:$AE,40)),"")</f>
        <v/>
      </c>
      <c r="C43" s="32" t="str">
        <f t="shared" si="11"/>
        <v/>
      </c>
      <c r="D43" s="34" t="str">
        <f>IFERROR(INDEX(PRENOTAZIONI!$E:$E,SMALL(PRENOTAZIONI!$AE:$AE,40)),"")</f>
        <v/>
      </c>
      <c r="E43" s="34" t="str">
        <f>IFERROR(INDEX(PRENOTAZIONI!$F:$F,SMALL(PRENOTAZIONI!$AE:$AE,40)),"")</f>
        <v/>
      </c>
      <c r="F43" s="34" t="str">
        <f>IFERROR(INDEX(PRENOTAZIONI!$G:$G,SMALL(PRENOTAZIONI!$AE:$AE,40)),"")</f>
        <v/>
      </c>
      <c r="G43" s="35" t="str">
        <f>IFERROR(INDEX(PRENOTAZIONI!$H:$H,SMALL(PRENOTAZIONI!$AE:$AE,40)),"")</f>
        <v/>
      </c>
      <c r="H43" s="146" t="str">
        <f t="shared" si="12"/>
        <v/>
      </c>
      <c r="I43" s="35" t="str">
        <f t="shared" si="17"/>
        <v/>
      </c>
      <c r="J43" s="149" t="str">
        <f t="shared" si="13"/>
        <v/>
      </c>
      <c r="K43" s="34" t="str">
        <f>IFERROR(INDEX(PRENOTAZIONI!$K:$K,SMALL(PRENOTAZIONI!$AE:$AE,40)),"")</f>
        <v/>
      </c>
      <c r="L43" s="35" t="str">
        <f>IFERROR(INDEX(PRENOTAZIONI!$L:$L,SMALL(PRENOTAZIONI!$AE:$AE,40)),"")</f>
        <v/>
      </c>
      <c r="M43" s="150" t="str">
        <f t="shared" si="14"/>
        <v/>
      </c>
      <c r="N43" s="35" t="str">
        <f t="shared" si="15"/>
        <v/>
      </c>
      <c r="O43" s="35"/>
      <c r="P43" s="43"/>
      <c r="Q43" s="150" t="str">
        <f t="shared" si="16"/>
        <v/>
      </c>
      <c r="R43" s="47" t="str">
        <f>IFERROR(INDEX(PRENOTAZIONI!$R:$R,SMALL(PRENOTAZIONI!$AE:$AE,40)),"")</f>
        <v/>
      </c>
      <c r="T43" s="78"/>
    </row>
    <row r="44" spans="1:30" ht="22" customHeight="1" x14ac:dyDescent="0.25">
      <c r="A44" s="31" t="str">
        <f>IFERROR(INDEX(PRENOTAZIONI!$A:$A,SMALL(PRENOTAZIONI!$AE:$AE,41)),"")</f>
        <v/>
      </c>
      <c r="B44" s="31" t="str">
        <f>IFERROR(INDEX(PRENOTAZIONI!$B:$B,SMALL(PRENOTAZIONI!$AE:$AE,41)),"")</f>
        <v/>
      </c>
      <c r="C44" s="32" t="str">
        <f t="shared" si="11"/>
        <v/>
      </c>
      <c r="D44" s="34" t="str">
        <f>IFERROR(INDEX(PRENOTAZIONI!$E:$E,SMALL(PRENOTAZIONI!$AE:$AE,41)),"")</f>
        <v/>
      </c>
      <c r="E44" s="34" t="str">
        <f>IFERROR(INDEX(PRENOTAZIONI!$F:$F,SMALL(PRENOTAZIONI!$AE:$AE,41)),"")</f>
        <v/>
      </c>
      <c r="F44" s="34" t="str">
        <f>IFERROR(INDEX(PRENOTAZIONI!$G:$G,SMALL(PRENOTAZIONI!$AE:$AE,41)),"")</f>
        <v/>
      </c>
      <c r="G44" s="35" t="str">
        <f>IFERROR(INDEX(PRENOTAZIONI!$H:$H,SMALL(PRENOTAZIONI!$AE:$AE,41)),"")</f>
        <v/>
      </c>
      <c r="H44" s="146" t="str">
        <f t="shared" si="12"/>
        <v/>
      </c>
      <c r="I44" s="35" t="str">
        <f t="shared" si="17"/>
        <v/>
      </c>
      <c r="J44" s="149" t="str">
        <f t="shared" si="13"/>
        <v/>
      </c>
      <c r="K44" s="34" t="str">
        <f>IFERROR(INDEX(PRENOTAZIONI!$K:$K,SMALL(PRENOTAZIONI!$AE:$AE,41)),"")</f>
        <v/>
      </c>
      <c r="L44" s="35" t="str">
        <f>IFERROR(INDEX(PRENOTAZIONI!$L:$L,SMALL(PRENOTAZIONI!$AE:$AE,41)),"")</f>
        <v/>
      </c>
      <c r="M44" s="150" t="str">
        <f t="shared" si="14"/>
        <v/>
      </c>
      <c r="N44" s="35" t="str">
        <f t="shared" si="15"/>
        <v/>
      </c>
      <c r="O44" s="35"/>
      <c r="P44" s="43"/>
      <c r="Q44" s="150" t="str">
        <f t="shared" si="16"/>
        <v/>
      </c>
      <c r="R44" s="47" t="str">
        <f>IFERROR(INDEX(PRENOTAZIONI!$R:$R,SMALL(PRENOTAZIONI!$AE:$AE,41)),"")</f>
        <v/>
      </c>
      <c r="T44" s="78"/>
    </row>
    <row r="45" spans="1:30" ht="22" customHeight="1" x14ac:dyDescent="0.25">
      <c r="A45" s="31" t="str">
        <f>IFERROR(INDEX(PRENOTAZIONI!$A:$A,SMALL(PRENOTAZIONI!$AE:$AE,42)),"")</f>
        <v/>
      </c>
      <c r="B45" s="31" t="str">
        <f>IFERROR(INDEX(PRENOTAZIONI!$B:$B,SMALL(PRENOTAZIONI!$AE:$AE,42)),"")</f>
        <v/>
      </c>
      <c r="C45" s="32" t="str">
        <f t="shared" si="11"/>
        <v/>
      </c>
      <c r="D45" s="34" t="str">
        <f>IFERROR(INDEX(PRENOTAZIONI!$E:$E,SMALL(PRENOTAZIONI!$AE:$AE,42)),"")</f>
        <v/>
      </c>
      <c r="E45" s="34" t="str">
        <f>IFERROR(INDEX(PRENOTAZIONI!$F:$F,SMALL(PRENOTAZIONI!$AE:$AE,42)),"")</f>
        <v/>
      </c>
      <c r="F45" s="34" t="str">
        <f>IFERROR(INDEX(PRENOTAZIONI!$G:$G,SMALL(PRENOTAZIONI!$AE:$AE,42)),"")</f>
        <v/>
      </c>
      <c r="G45" s="35" t="str">
        <f>IFERROR(INDEX(PRENOTAZIONI!$H:$H,SMALL(PRENOTAZIONI!$AE:$AE,42)),"")</f>
        <v/>
      </c>
      <c r="H45" s="146" t="str">
        <f t="shared" si="12"/>
        <v/>
      </c>
      <c r="I45" s="35" t="str">
        <f t="shared" si="17"/>
        <v/>
      </c>
      <c r="J45" s="149" t="str">
        <f t="shared" si="13"/>
        <v/>
      </c>
      <c r="K45" s="34" t="str">
        <f>IFERROR(INDEX(PRENOTAZIONI!$K:$K,SMALL(PRENOTAZIONI!$AE:$AE,42)),"")</f>
        <v/>
      </c>
      <c r="L45" s="35" t="str">
        <f>IFERROR(INDEX(PRENOTAZIONI!$L:$L,SMALL(PRENOTAZIONI!$AE:$AE,42)),"")</f>
        <v/>
      </c>
      <c r="M45" s="150" t="str">
        <f t="shared" si="14"/>
        <v/>
      </c>
      <c r="N45" s="35" t="str">
        <f t="shared" si="15"/>
        <v/>
      </c>
      <c r="O45" s="35"/>
      <c r="P45" s="43"/>
      <c r="Q45" s="150" t="str">
        <f t="shared" si="16"/>
        <v/>
      </c>
      <c r="R45" s="47" t="str">
        <f>IFERROR(INDEX(PRENOTAZIONI!$R:$R,SMALL(PRENOTAZIONI!$AE:$AE,42)),"")</f>
        <v/>
      </c>
      <c r="T45" s="78"/>
    </row>
    <row r="46" spans="1:30" ht="22" customHeight="1" x14ac:dyDescent="0.25">
      <c r="A46" s="31" t="str">
        <f>IFERROR(INDEX(PRENOTAZIONI!$A:$A,SMALL(PRENOTAZIONI!$AE:$AE,43)),"")</f>
        <v/>
      </c>
      <c r="B46" s="31" t="str">
        <f>IFERROR(INDEX(PRENOTAZIONI!$B:$B,SMALL(PRENOTAZIONI!$AE:$AE,43)),"")</f>
        <v/>
      </c>
      <c r="C46" s="32" t="str">
        <f t="shared" si="11"/>
        <v/>
      </c>
      <c r="D46" s="34" t="str">
        <f>IFERROR(INDEX(PRENOTAZIONI!$E:$E,SMALL(PRENOTAZIONI!$AE:$AE,43)),"")</f>
        <v/>
      </c>
      <c r="E46" s="34" t="str">
        <f>IFERROR(INDEX(PRENOTAZIONI!$F:$F,SMALL(PRENOTAZIONI!$AE:$AE,43)),"")</f>
        <v/>
      </c>
      <c r="F46" s="34" t="str">
        <f>IFERROR(INDEX(PRENOTAZIONI!$G:$G,SMALL(PRENOTAZIONI!$AE:$AE,43)),"")</f>
        <v/>
      </c>
      <c r="G46" s="35" t="str">
        <f>IFERROR(INDEX(PRENOTAZIONI!$H:$H,SMALL(PRENOTAZIONI!$AE:$AE,43)),"")</f>
        <v/>
      </c>
      <c r="H46" s="146" t="str">
        <f t="shared" si="12"/>
        <v/>
      </c>
      <c r="I46" s="35" t="str">
        <f t="shared" si="17"/>
        <v/>
      </c>
      <c r="J46" s="149" t="str">
        <f t="shared" si="13"/>
        <v/>
      </c>
      <c r="K46" s="34" t="str">
        <f>IFERROR(INDEX(PRENOTAZIONI!$K:$K,SMALL(PRENOTAZIONI!$AE:$AE,43)),"")</f>
        <v/>
      </c>
      <c r="L46" s="35" t="str">
        <f>IFERROR(INDEX(PRENOTAZIONI!$L:$L,SMALL(PRENOTAZIONI!$AE:$AE,43)),"")</f>
        <v/>
      </c>
      <c r="M46" s="150" t="str">
        <f t="shared" si="14"/>
        <v/>
      </c>
      <c r="N46" s="35" t="str">
        <f t="shared" si="15"/>
        <v/>
      </c>
      <c r="O46" s="35"/>
      <c r="P46" s="43"/>
      <c r="Q46" s="150" t="str">
        <f t="shared" si="16"/>
        <v/>
      </c>
      <c r="R46" s="47" t="str">
        <f>IFERROR(INDEX(PRENOTAZIONI!$R:$R,SMALL(PRENOTAZIONI!$AE:$AE,43)),"")</f>
        <v/>
      </c>
      <c r="T46" s="78"/>
    </row>
    <row r="47" spans="1:30" ht="22" customHeight="1" x14ac:dyDescent="0.25">
      <c r="A47" s="31" t="str">
        <f>IFERROR(INDEX(PRENOTAZIONI!$A:$A,SMALL(PRENOTAZIONI!$AE:$AE,44)),"")</f>
        <v/>
      </c>
      <c r="B47" s="31" t="str">
        <f>IFERROR(INDEX(PRENOTAZIONI!$B:$B,SMALL(PRENOTAZIONI!$AE:$AE,44)),"")</f>
        <v/>
      </c>
      <c r="C47" s="32" t="str">
        <f t="shared" si="11"/>
        <v/>
      </c>
      <c r="D47" s="34" t="str">
        <f>IFERROR(INDEX(PRENOTAZIONI!$E:$E,SMALL(PRENOTAZIONI!$AE:$AE,44)),"")</f>
        <v/>
      </c>
      <c r="E47" s="34" t="str">
        <f>IFERROR(INDEX(PRENOTAZIONI!$F:$F,SMALL(PRENOTAZIONI!$AE:$AE,44)),"")</f>
        <v/>
      </c>
      <c r="F47" s="34" t="str">
        <f>IFERROR(INDEX(PRENOTAZIONI!$G:$G,SMALL(PRENOTAZIONI!$AE:$AE,44)),"")</f>
        <v/>
      </c>
      <c r="G47" s="35" t="str">
        <f>IFERROR(INDEX(PRENOTAZIONI!$H:$H,SMALL(PRENOTAZIONI!$AE:$AE,44)),"")</f>
        <v/>
      </c>
      <c r="H47" s="146" t="str">
        <f t="shared" si="12"/>
        <v/>
      </c>
      <c r="I47" s="35" t="str">
        <f t="shared" si="17"/>
        <v/>
      </c>
      <c r="J47" s="149" t="str">
        <f t="shared" si="13"/>
        <v/>
      </c>
      <c r="K47" s="34" t="str">
        <f>IFERROR(INDEX(PRENOTAZIONI!$K:$K,SMALL(PRENOTAZIONI!$AE:$AE,44)),"")</f>
        <v/>
      </c>
      <c r="L47" s="35" t="str">
        <f>IFERROR(INDEX(PRENOTAZIONI!$L:$L,SMALL(PRENOTAZIONI!$AE:$AE,44)),"")</f>
        <v/>
      </c>
      <c r="M47" s="150" t="str">
        <f t="shared" si="14"/>
        <v/>
      </c>
      <c r="N47" s="35" t="str">
        <f t="shared" si="15"/>
        <v/>
      </c>
      <c r="O47" s="35"/>
      <c r="P47" s="43"/>
      <c r="Q47" s="150" t="str">
        <f t="shared" si="16"/>
        <v/>
      </c>
      <c r="R47" s="47" t="str">
        <f>IFERROR(INDEX(PRENOTAZIONI!$R:$R,SMALL(PRENOTAZIONI!$AE:$AE,44)),"")</f>
        <v/>
      </c>
      <c r="T47" s="78"/>
    </row>
    <row r="48" spans="1:30" ht="22" customHeight="1" x14ac:dyDescent="0.25">
      <c r="A48" s="31" t="str">
        <f>IFERROR(INDEX(PRENOTAZIONI!$A:$A,SMALL(PRENOTAZIONI!$AE:$AE,45)),"")</f>
        <v/>
      </c>
      <c r="B48" s="31" t="str">
        <f>IFERROR(INDEX(PRENOTAZIONI!$B:$B,SMALL(PRENOTAZIONI!$AE:$AE,45)),"")</f>
        <v/>
      </c>
      <c r="C48" s="32" t="str">
        <f t="shared" si="11"/>
        <v/>
      </c>
      <c r="D48" s="34" t="str">
        <f>IFERROR(INDEX(PRENOTAZIONI!$E:$E,SMALL(PRENOTAZIONI!$AE:$AE,45)),"")</f>
        <v/>
      </c>
      <c r="E48" s="34" t="str">
        <f>IFERROR(INDEX(PRENOTAZIONI!$F:$F,SMALL(PRENOTAZIONI!$AE:$AE,45)),"")</f>
        <v/>
      </c>
      <c r="F48" s="34" t="str">
        <f>IFERROR(INDEX(PRENOTAZIONI!$G:$G,SMALL(PRENOTAZIONI!$AE:$AE,45)),"")</f>
        <v/>
      </c>
      <c r="G48" s="35" t="str">
        <f>IFERROR(INDEX(PRENOTAZIONI!$H:$H,SMALL(PRENOTAZIONI!$AE:$AE,45)),"")</f>
        <v/>
      </c>
      <c r="H48" s="146" t="str">
        <f t="shared" si="12"/>
        <v/>
      </c>
      <c r="I48" s="35" t="str">
        <f t="shared" si="17"/>
        <v/>
      </c>
      <c r="J48" s="149" t="str">
        <f t="shared" si="13"/>
        <v/>
      </c>
      <c r="K48" s="34" t="str">
        <f>IFERROR(INDEX(PRENOTAZIONI!$K:$K,SMALL(PRENOTAZIONI!$AE:$AE,45)),"")</f>
        <v/>
      </c>
      <c r="L48" s="35" t="str">
        <f>IFERROR(INDEX(PRENOTAZIONI!$L:$L,SMALL(PRENOTAZIONI!$AE:$AE,45)),"")</f>
        <v/>
      </c>
      <c r="M48" s="150" t="str">
        <f t="shared" si="14"/>
        <v/>
      </c>
      <c r="N48" s="35" t="str">
        <f t="shared" si="15"/>
        <v/>
      </c>
      <c r="O48" s="35"/>
      <c r="P48" s="43"/>
      <c r="Q48" s="150" t="str">
        <f t="shared" si="16"/>
        <v/>
      </c>
      <c r="R48" s="47" t="str">
        <f>IFERROR(INDEX(PRENOTAZIONI!$R:$R,SMALL(PRENOTAZIONI!$AE:$AE,45)),"")</f>
        <v/>
      </c>
      <c r="T48" s="78"/>
    </row>
    <row r="49" spans="1:20" ht="22" customHeight="1" x14ac:dyDescent="0.25">
      <c r="A49" s="31" t="str">
        <f>IFERROR(INDEX(PRENOTAZIONI!$A:$A,SMALL(PRENOTAZIONI!$AE:$AE,46)),"")</f>
        <v/>
      </c>
      <c r="B49" s="31" t="str">
        <f>IFERROR(INDEX(PRENOTAZIONI!$B:$B,SMALL(PRENOTAZIONI!$AE:$AE,46)),"")</f>
        <v/>
      </c>
      <c r="C49" s="32" t="str">
        <f t="shared" si="11"/>
        <v/>
      </c>
      <c r="D49" s="34" t="str">
        <f>IFERROR(INDEX(PRENOTAZIONI!$E:$E,SMALL(PRENOTAZIONI!$AE:$AE,46)),"")</f>
        <v/>
      </c>
      <c r="E49" s="34" t="str">
        <f>IFERROR(INDEX(PRENOTAZIONI!$F:$F,SMALL(PRENOTAZIONI!$AE:$AE,46)),"")</f>
        <v/>
      </c>
      <c r="F49" s="34" t="str">
        <f>IFERROR(INDEX(PRENOTAZIONI!$G:$G,SMALL(PRENOTAZIONI!$AE:$AE,46)),"")</f>
        <v/>
      </c>
      <c r="G49" s="35" t="str">
        <f>IFERROR(INDEX(PRENOTAZIONI!$H:$H,SMALL(PRENOTAZIONI!$AE:$AE,46)),"")</f>
        <v/>
      </c>
      <c r="H49" s="146" t="str">
        <f t="shared" si="12"/>
        <v/>
      </c>
      <c r="I49" s="35" t="str">
        <f t="shared" si="17"/>
        <v/>
      </c>
      <c r="J49" s="149" t="str">
        <f t="shared" si="13"/>
        <v/>
      </c>
      <c r="K49" s="34" t="str">
        <f>IFERROR(INDEX(PRENOTAZIONI!$K:$K,SMALL(PRENOTAZIONI!$AE:$AE,46)),"")</f>
        <v/>
      </c>
      <c r="L49" s="35" t="str">
        <f>IFERROR(INDEX(PRENOTAZIONI!$L:$L,SMALL(PRENOTAZIONI!$AE:$AE,46)),"")</f>
        <v/>
      </c>
      <c r="M49" s="150" t="str">
        <f t="shared" si="14"/>
        <v/>
      </c>
      <c r="N49" s="35" t="str">
        <f t="shared" si="15"/>
        <v/>
      </c>
      <c r="O49" s="35"/>
      <c r="P49" s="43"/>
      <c r="Q49" s="150" t="str">
        <f t="shared" si="16"/>
        <v/>
      </c>
      <c r="R49" s="47" t="str">
        <f>IFERROR(INDEX(PRENOTAZIONI!$R:$R,SMALL(PRENOTAZIONI!$AE:$AE,46)),"")</f>
        <v/>
      </c>
      <c r="T49" s="78"/>
    </row>
    <row r="50" spans="1:20" ht="22" customHeight="1" x14ac:dyDescent="0.25">
      <c r="A50" s="31" t="str">
        <f>IFERROR(INDEX(PRENOTAZIONI!$A:$A,SMALL(PRENOTAZIONI!$AE:$AE,47)),"")</f>
        <v/>
      </c>
      <c r="B50" s="31" t="str">
        <f>IFERROR(INDEX(PRENOTAZIONI!$B:$B,SMALL(PRENOTAZIONI!$AE:$AE,47)),"")</f>
        <v/>
      </c>
      <c r="C50" s="32" t="str">
        <f t="shared" si="11"/>
        <v/>
      </c>
      <c r="D50" s="34" t="str">
        <f>IFERROR(INDEX(PRENOTAZIONI!$E:$E,SMALL(PRENOTAZIONI!$AE:$AE,47)),"")</f>
        <v/>
      </c>
      <c r="E50" s="34" t="str">
        <f>IFERROR(INDEX(PRENOTAZIONI!$F:$F,SMALL(PRENOTAZIONI!$AE:$AE,47)),"")</f>
        <v/>
      </c>
      <c r="F50" s="34" t="str">
        <f>IFERROR(INDEX(PRENOTAZIONI!$G:$G,SMALL(PRENOTAZIONI!$AE:$AE,47)),"")</f>
        <v/>
      </c>
      <c r="G50" s="35" t="str">
        <f>IFERROR(INDEX(PRENOTAZIONI!$H:$H,SMALL(PRENOTAZIONI!$AE:$AE,47)),"")</f>
        <v/>
      </c>
      <c r="H50" s="146" t="str">
        <f t="shared" si="12"/>
        <v/>
      </c>
      <c r="I50" s="35" t="str">
        <f t="shared" si="17"/>
        <v/>
      </c>
      <c r="J50" s="149" t="str">
        <f t="shared" si="13"/>
        <v/>
      </c>
      <c r="K50" s="34" t="str">
        <f>IFERROR(INDEX(PRENOTAZIONI!$K:$K,SMALL(PRENOTAZIONI!$AE:$AE,47)),"")</f>
        <v/>
      </c>
      <c r="L50" s="35" t="str">
        <f>IFERROR(INDEX(PRENOTAZIONI!$L:$L,SMALL(PRENOTAZIONI!$AE:$AE,47)),"")</f>
        <v/>
      </c>
      <c r="M50" s="150" t="str">
        <f t="shared" si="14"/>
        <v/>
      </c>
      <c r="N50" s="35" t="str">
        <f t="shared" si="15"/>
        <v/>
      </c>
      <c r="O50" s="35"/>
      <c r="P50" s="43"/>
      <c r="Q50" s="150" t="str">
        <f t="shared" si="16"/>
        <v/>
      </c>
      <c r="R50" s="47" t="str">
        <f>IFERROR(INDEX(PRENOTAZIONI!$R:$R,SMALL(PRENOTAZIONI!$AE:$AE,47)),"")</f>
        <v/>
      </c>
      <c r="T50" s="78"/>
    </row>
    <row r="51" spans="1:20" ht="22" customHeight="1" x14ac:dyDescent="0.25">
      <c r="A51" s="31" t="str">
        <f>IFERROR(INDEX(PRENOTAZIONI!$A:$A,SMALL(PRENOTAZIONI!$AE:$AE,48)),"")</f>
        <v/>
      </c>
      <c r="B51" s="31" t="str">
        <f>IFERROR(INDEX(PRENOTAZIONI!$B:$B,SMALL(PRENOTAZIONI!$AE:$AE,48)),"")</f>
        <v/>
      </c>
      <c r="C51" s="32" t="str">
        <f t="shared" si="11"/>
        <v/>
      </c>
      <c r="D51" s="34" t="str">
        <f>IFERROR(INDEX(PRENOTAZIONI!$E:$E,SMALL(PRENOTAZIONI!$AE:$AE,48)),"")</f>
        <v/>
      </c>
      <c r="E51" s="34" t="str">
        <f>IFERROR(INDEX(PRENOTAZIONI!$F:$F,SMALL(PRENOTAZIONI!$AE:$AE,48)),"")</f>
        <v/>
      </c>
      <c r="F51" s="34" t="str">
        <f>IFERROR(INDEX(PRENOTAZIONI!$G:$G,SMALL(PRENOTAZIONI!$AE:$AE,48)),"")</f>
        <v/>
      </c>
      <c r="G51" s="35" t="str">
        <f>IFERROR(INDEX(PRENOTAZIONI!$H:$H,SMALL(PRENOTAZIONI!$AE:$AE,48)),"")</f>
        <v/>
      </c>
      <c r="H51" s="146" t="str">
        <f t="shared" si="12"/>
        <v/>
      </c>
      <c r="I51" s="35" t="str">
        <f t="shared" si="17"/>
        <v/>
      </c>
      <c r="J51" s="149" t="str">
        <f t="shared" si="13"/>
        <v/>
      </c>
      <c r="K51" s="34" t="str">
        <f>IFERROR(INDEX(PRENOTAZIONI!$K:$K,SMALL(PRENOTAZIONI!$AE:$AE,48)),"")</f>
        <v/>
      </c>
      <c r="L51" s="35" t="str">
        <f>IFERROR(INDEX(PRENOTAZIONI!$L:$L,SMALL(PRENOTAZIONI!$AE:$AE,48)),"")</f>
        <v/>
      </c>
      <c r="M51" s="150" t="str">
        <f t="shared" si="14"/>
        <v/>
      </c>
      <c r="N51" s="35" t="str">
        <f t="shared" si="15"/>
        <v/>
      </c>
      <c r="O51" s="35"/>
      <c r="P51" s="43"/>
      <c r="Q51" s="150" t="str">
        <f t="shared" si="16"/>
        <v/>
      </c>
      <c r="R51" s="47" t="str">
        <f>IFERROR(INDEX(PRENOTAZIONI!$R:$R,SMALL(PRENOTAZIONI!$AE:$AE,48)),"")</f>
        <v/>
      </c>
      <c r="T51" s="78"/>
    </row>
    <row r="52" spans="1:20" ht="22" customHeight="1" x14ac:dyDescent="0.25">
      <c r="A52" s="31" t="str">
        <f>IFERROR(INDEX(PRENOTAZIONI!$A:$A,SMALL(PRENOTAZIONI!$AE:$AE,49)),"")</f>
        <v/>
      </c>
      <c r="B52" s="31" t="str">
        <f>IFERROR(INDEX(PRENOTAZIONI!$B:$B,SMALL(PRENOTAZIONI!$AE:$AE,49)),"")</f>
        <v/>
      </c>
      <c r="C52" s="32" t="str">
        <f t="shared" si="11"/>
        <v/>
      </c>
      <c r="D52" s="34" t="str">
        <f>IFERROR(INDEX(PRENOTAZIONI!$E:$E,SMALL(PRENOTAZIONI!$AE:$AE,49)),"")</f>
        <v/>
      </c>
      <c r="E52" s="34" t="str">
        <f>IFERROR(INDEX(PRENOTAZIONI!$F:$F,SMALL(PRENOTAZIONI!$AE:$AE,49)),"")</f>
        <v/>
      </c>
      <c r="F52" s="34" t="str">
        <f>IFERROR(INDEX(PRENOTAZIONI!$G:$G,SMALL(PRENOTAZIONI!$AE:$AE,49)),"")</f>
        <v/>
      </c>
      <c r="G52" s="35" t="str">
        <f>IFERROR(INDEX(PRENOTAZIONI!$H:$H,SMALL(PRENOTAZIONI!$AE:$AE,49)),"")</f>
        <v/>
      </c>
      <c r="H52" s="146" t="str">
        <f t="shared" si="12"/>
        <v/>
      </c>
      <c r="I52" s="35" t="str">
        <f t="shared" si="17"/>
        <v/>
      </c>
      <c r="J52" s="149" t="str">
        <f t="shared" si="13"/>
        <v/>
      </c>
      <c r="K52" s="34" t="str">
        <f>IFERROR(INDEX(PRENOTAZIONI!$K:$K,SMALL(PRENOTAZIONI!$AE:$AE,49)),"")</f>
        <v/>
      </c>
      <c r="L52" s="35" t="str">
        <f>IFERROR(INDEX(PRENOTAZIONI!$L:$L,SMALL(PRENOTAZIONI!$AE:$AE,49)),"")</f>
        <v/>
      </c>
      <c r="M52" s="150" t="str">
        <f t="shared" si="14"/>
        <v/>
      </c>
      <c r="N52" s="35" t="str">
        <f t="shared" si="15"/>
        <v/>
      </c>
      <c r="O52" s="35"/>
      <c r="P52" s="43"/>
      <c r="Q52" s="150" t="str">
        <f t="shared" si="16"/>
        <v/>
      </c>
      <c r="R52" s="47" t="str">
        <f>IFERROR(INDEX(PRENOTAZIONI!$R:$R,SMALL(PRENOTAZIONI!$AE:$AE,49)),"")</f>
        <v/>
      </c>
      <c r="T52" s="78"/>
    </row>
    <row r="53" spans="1:20" ht="22" customHeight="1" x14ac:dyDescent="0.25">
      <c r="A53" s="31" t="str">
        <f>IFERROR(INDEX(PRENOTAZIONI!$A:$A,SMALL(PRENOTAZIONI!$AE:$AE,50)),"")</f>
        <v/>
      </c>
      <c r="B53" s="31" t="str">
        <f>IFERROR(INDEX(PRENOTAZIONI!$B:$B,SMALL(PRENOTAZIONI!$AE:$AE,50)),"")</f>
        <v/>
      </c>
      <c r="C53" s="32" t="str">
        <f t="shared" si="11"/>
        <v/>
      </c>
      <c r="D53" s="34" t="str">
        <f>IFERROR(INDEX(PRENOTAZIONI!$E:$E,SMALL(PRENOTAZIONI!$AE:$AE,50)),"")</f>
        <v/>
      </c>
      <c r="E53" s="34" t="str">
        <f>IFERROR(INDEX(PRENOTAZIONI!$F:$F,SMALL(PRENOTAZIONI!$AE:$AE,50)),"")</f>
        <v/>
      </c>
      <c r="F53" s="34" t="str">
        <f>IFERROR(INDEX(PRENOTAZIONI!$G:$G,SMALL(PRENOTAZIONI!$AE:$AE,50)),"")</f>
        <v/>
      </c>
      <c r="G53" s="35" t="str">
        <f>IFERROR(INDEX(PRENOTAZIONI!$H:$H,SMALL(PRENOTAZIONI!$AE:$AE,50)),"")</f>
        <v/>
      </c>
      <c r="H53" s="146" t="str">
        <f t="shared" si="12"/>
        <v/>
      </c>
      <c r="I53" s="35" t="str">
        <f t="shared" si="17"/>
        <v/>
      </c>
      <c r="J53" s="149" t="str">
        <f t="shared" si="13"/>
        <v/>
      </c>
      <c r="K53" s="34" t="str">
        <f>IFERROR(INDEX(PRENOTAZIONI!$K:$K,SMALL(PRENOTAZIONI!$AE:$AE,50)),"")</f>
        <v/>
      </c>
      <c r="L53" s="35" t="str">
        <f>IFERROR(INDEX(PRENOTAZIONI!$L:$L,SMALL(PRENOTAZIONI!$AE:$AE,50)),"")</f>
        <v/>
      </c>
      <c r="M53" s="150" t="str">
        <f t="shared" si="14"/>
        <v/>
      </c>
      <c r="N53" s="35" t="str">
        <f t="shared" si="15"/>
        <v/>
      </c>
      <c r="O53" s="35"/>
      <c r="P53" s="43"/>
      <c r="Q53" s="150" t="str">
        <f t="shared" si="16"/>
        <v/>
      </c>
      <c r="R53" s="47" t="str">
        <f>IFERROR(INDEX(PRENOTAZIONI!$R:$R,SMALL(PRENOTAZIONI!$AE:$AE,50)),"")</f>
        <v/>
      </c>
      <c r="T53" s="78"/>
    </row>
    <row r="54" spans="1:20" ht="22" customHeight="1" x14ac:dyDescent="0.25">
      <c r="A54" s="31" t="str">
        <f>IFERROR(INDEX(PRENOTAZIONI!$A:$A,SMALL(PRENOTAZIONI!$AE:$AE,51)),"")</f>
        <v/>
      </c>
      <c r="B54" s="31" t="str">
        <f>IFERROR(INDEX(PRENOTAZIONI!$B:$B,SMALL(PRENOTAZIONI!$AE:$AE,51)),"")</f>
        <v/>
      </c>
      <c r="C54" s="32" t="str">
        <f t="shared" si="11"/>
        <v/>
      </c>
      <c r="D54" s="34" t="str">
        <f>IFERROR(INDEX(PRENOTAZIONI!$E:$E,SMALL(PRENOTAZIONI!$AE:$AE,51)),"")</f>
        <v/>
      </c>
      <c r="E54" s="34" t="str">
        <f>IFERROR(INDEX(PRENOTAZIONI!$F:$F,SMALL(PRENOTAZIONI!$AE:$AE,51)),"")</f>
        <v/>
      </c>
      <c r="F54" s="34" t="str">
        <f>IFERROR(INDEX(PRENOTAZIONI!$G:$G,SMALL(PRENOTAZIONI!$AE:$AE,51)),"")</f>
        <v/>
      </c>
      <c r="G54" s="35" t="str">
        <f>IFERROR(INDEX(PRENOTAZIONI!$H:$H,SMALL(PRENOTAZIONI!$AE:$AE,51)),"")</f>
        <v/>
      </c>
      <c r="H54" s="146" t="str">
        <f t="shared" si="12"/>
        <v/>
      </c>
      <c r="I54" s="35" t="str">
        <f t="shared" si="17"/>
        <v/>
      </c>
      <c r="J54" s="149" t="str">
        <f t="shared" si="13"/>
        <v/>
      </c>
      <c r="K54" s="34" t="str">
        <f>IFERROR(INDEX(PRENOTAZIONI!$K:$K,SMALL(PRENOTAZIONI!$AE:$AE,51)),"")</f>
        <v/>
      </c>
      <c r="L54" s="35" t="str">
        <f>IFERROR(INDEX(PRENOTAZIONI!$L:$L,SMALL(PRENOTAZIONI!$AE:$AE,51)),"")</f>
        <v/>
      </c>
      <c r="M54" s="150" t="str">
        <f t="shared" si="14"/>
        <v/>
      </c>
      <c r="N54" s="35" t="str">
        <f t="shared" si="15"/>
        <v/>
      </c>
      <c r="O54" s="35"/>
      <c r="P54" s="43"/>
      <c r="Q54" s="150" t="str">
        <f t="shared" si="16"/>
        <v/>
      </c>
      <c r="R54" s="47" t="str">
        <f>IFERROR(INDEX(PRENOTAZIONI!$R:$R,SMALL(PRENOTAZIONI!$AE:$AE,51)),"")</f>
        <v/>
      </c>
      <c r="T54" s="78"/>
    </row>
    <row r="55" spans="1:20" ht="22" customHeight="1" x14ac:dyDescent="0.25">
      <c r="A55" s="31" t="str">
        <f>IFERROR(INDEX(PRENOTAZIONI!$A:$A,SMALL(PRENOTAZIONI!$AE:$AE,52)),"")</f>
        <v/>
      </c>
      <c r="B55" s="31" t="str">
        <f>IFERROR(INDEX(PRENOTAZIONI!$B:$B,SMALL(PRENOTAZIONI!$AE:$AE,52)),"")</f>
        <v/>
      </c>
      <c r="C55" s="32" t="str">
        <f t="shared" si="11"/>
        <v/>
      </c>
      <c r="D55" s="34" t="str">
        <f>IFERROR(INDEX(PRENOTAZIONI!$E:$E,SMALL(PRENOTAZIONI!$AE:$AE,52)),"")</f>
        <v/>
      </c>
      <c r="E55" s="34" t="str">
        <f>IFERROR(INDEX(PRENOTAZIONI!$F:$F,SMALL(PRENOTAZIONI!$AE:$AE,52)),"")</f>
        <v/>
      </c>
      <c r="F55" s="34" t="str">
        <f>IFERROR(INDEX(PRENOTAZIONI!$G:$G,SMALL(PRENOTAZIONI!$AE:$AE,52)),"")</f>
        <v/>
      </c>
      <c r="G55" s="35" t="str">
        <f>IFERROR(INDEX(PRENOTAZIONI!$H:$H,SMALL(PRENOTAZIONI!$AE:$AE,52)),"")</f>
        <v/>
      </c>
      <c r="H55" s="146" t="str">
        <f t="shared" si="12"/>
        <v/>
      </c>
      <c r="I55" s="35" t="str">
        <f t="shared" si="17"/>
        <v/>
      </c>
      <c r="J55" s="149" t="str">
        <f t="shared" si="13"/>
        <v/>
      </c>
      <c r="K55" s="34" t="str">
        <f>IFERROR(INDEX(PRENOTAZIONI!$K:$K,SMALL(PRENOTAZIONI!$AE:$AE,52)),"")</f>
        <v/>
      </c>
      <c r="L55" s="35" t="str">
        <f>IFERROR(INDEX(PRENOTAZIONI!$L:$L,SMALL(PRENOTAZIONI!$AE:$AE,52)),"")</f>
        <v/>
      </c>
      <c r="M55" s="150" t="str">
        <f t="shared" si="14"/>
        <v/>
      </c>
      <c r="N55" s="35" t="str">
        <f t="shared" si="15"/>
        <v/>
      </c>
      <c r="O55" s="35"/>
      <c r="P55" s="43"/>
      <c r="Q55" s="150" t="str">
        <f t="shared" si="16"/>
        <v/>
      </c>
      <c r="R55" s="47" t="str">
        <f>IFERROR(INDEX(PRENOTAZIONI!$R:$R,SMALL(PRENOTAZIONI!$AE:$AE,52)),"")</f>
        <v/>
      </c>
      <c r="T55" s="78"/>
    </row>
    <row r="56" spans="1:20" ht="22" customHeight="1" x14ac:dyDescent="0.25">
      <c r="A56" s="31" t="str">
        <f>IFERROR(INDEX(PRENOTAZIONI!$A:$A,SMALL(PRENOTAZIONI!$AE:$AE,53)),"")</f>
        <v/>
      </c>
      <c r="B56" s="31" t="str">
        <f>IFERROR(INDEX(PRENOTAZIONI!$B:$B,SMALL(PRENOTAZIONI!$AE:$AE,53)),"")</f>
        <v/>
      </c>
      <c r="C56" s="32" t="str">
        <f t="shared" si="11"/>
        <v/>
      </c>
      <c r="D56" s="34" t="str">
        <f>IFERROR(INDEX(PRENOTAZIONI!$E:$E,SMALL(PRENOTAZIONI!$AE:$AE,53)),"")</f>
        <v/>
      </c>
      <c r="E56" s="34" t="str">
        <f>IFERROR(INDEX(PRENOTAZIONI!$F:$F,SMALL(PRENOTAZIONI!$AE:$AE,53)),"")</f>
        <v/>
      </c>
      <c r="F56" s="34" t="str">
        <f>IFERROR(INDEX(PRENOTAZIONI!$G:$G,SMALL(PRENOTAZIONI!$AE:$AE,53)),"")</f>
        <v/>
      </c>
      <c r="G56" s="35" t="str">
        <f>IFERROR(INDEX(PRENOTAZIONI!$H:$H,SMALL(PRENOTAZIONI!$AE:$AE,53)),"")</f>
        <v/>
      </c>
      <c r="H56" s="146" t="str">
        <f t="shared" si="12"/>
        <v/>
      </c>
      <c r="I56" s="35" t="str">
        <f t="shared" si="17"/>
        <v/>
      </c>
      <c r="J56" s="149" t="str">
        <f t="shared" si="13"/>
        <v/>
      </c>
      <c r="K56" s="34" t="str">
        <f>IFERROR(INDEX(PRENOTAZIONI!$K:$K,SMALL(PRENOTAZIONI!$AE:$AE,53)),"")</f>
        <v/>
      </c>
      <c r="L56" s="35" t="str">
        <f>IFERROR(INDEX(PRENOTAZIONI!$L:$L,SMALL(PRENOTAZIONI!$AE:$AE,53)),"")</f>
        <v/>
      </c>
      <c r="M56" s="150" t="str">
        <f t="shared" si="14"/>
        <v/>
      </c>
      <c r="N56" s="35" t="str">
        <f t="shared" si="15"/>
        <v/>
      </c>
      <c r="O56" s="35"/>
      <c r="P56" s="43"/>
      <c r="Q56" s="150" t="str">
        <f t="shared" si="16"/>
        <v/>
      </c>
      <c r="R56" s="47" t="str">
        <f>IFERROR(INDEX(PRENOTAZIONI!$R:$R,SMALL(PRENOTAZIONI!$AE:$AE,53)),"")</f>
        <v/>
      </c>
      <c r="T56" s="78"/>
    </row>
    <row r="57" spans="1:20" ht="22" customHeight="1" x14ac:dyDescent="0.25">
      <c r="A57" s="31" t="str">
        <f>IFERROR(INDEX(PRENOTAZIONI!$A:$A,SMALL(PRENOTAZIONI!$AE:$AE,54)),"")</f>
        <v/>
      </c>
      <c r="B57" s="31" t="str">
        <f>IFERROR(INDEX(PRENOTAZIONI!$B:$B,SMALL(PRENOTAZIONI!$AE:$AE,54)),"")</f>
        <v/>
      </c>
      <c r="C57" s="32" t="str">
        <f t="shared" si="11"/>
        <v/>
      </c>
      <c r="D57" s="34" t="str">
        <f>IFERROR(INDEX(PRENOTAZIONI!$E:$E,SMALL(PRENOTAZIONI!$AE:$AE,54)),"")</f>
        <v/>
      </c>
      <c r="E57" s="34" t="str">
        <f>IFERROR(INDEX(PRENOTAZIONI!$F:$F,SMALL(PRENOTAZIONI!$AE:$AE,54)),"")</f>
        <v/>
      </c>
      <c r="F57" s="34" t="str">
        <f>IFERROR(INDEX(PRENOTAZIONI!$G:$G,SMALL(PRENOTAZIONI!$AE:$AE,54)),"")</f>
        <v/>
      </c>
      <c r="G57" s="35" t="str">
        <f>IFERROR(INDEX(PRENOTAZIONI!$H:$H,SMALL(PRENOTAZIONI!$AE:$AE,54)),"")</f>
        <v/>
      </c>
      <c r="H57" s="146" t="str">
        <f t="shared" si="12"/>
        <v/>
      </c>
      <c r="I57" s="35" t="str">
        <f t="shared" si="17"/>
        <v/>
      </c>
      <c r="J57" s="149" t="str">
        <f t="shared" si="13"/>
        <v/>
      </c>
      <c r="K57" s="34" t="str">
        <f>IFERROR(INDEX(PRENOTAZIONI!$K:$K,SMALL(PRENOTAZIONI!$AE:$AE,54)),"")</f>
        <v/>
      </c>
      <c r="L57" s="35" t="str">
        <f>IFERROR(INDEX(PRENOTAZIONI!$L:$L,SMALL(PRENOTAZIONI!$AE:$AE,54)),"")</f>
        <v/>
      </c>
      <c r="M57" s="150" t="str">
        <f t="shared" si="14"/>
        <v/>
      </c>
      <c r="N57" s="35" t="str">
        <f t="shared" si="15"/>
        <v/>
      </c>
      <c r="O57" s="35"/>
      <c r="P57" s="43"/>
      <c r="Q57" s="150" t="str">
        <f t="shared" si="16"/>
        <v/>
      </c>
      <c r="R57" s="47" t="str">
        <f>IFERROR(INDEX(PRENOTAZIONI!$R:$R,SMALL(PRENOTAZIONI!$AE:$AE,54)),"")</f>
        <v/>
      </c>
      <c r="T57" s="78"/>
    </row>
    <row r="58" spans="1:20" ht="22" customHeight="1" x14ac:dyDescent="0.25">
      <c r="A58" s="31" t="str">
        <f>IFERROR(INDEX(PRENOTAZIONI!$A:$A,SMALL(PRENOTAZIONI!$AE:$AE,55)),"")</f>
        <v/>
      </c>
      <c r="B58" s="31" t="str">
        <f>IFERROR(INDEX(PRENOTAZIONI!$B:$B,SMALL(PRENOTAZIONI!$AE:$AE,55)),"")</f>
        <v/>
      </c>
      <c r="C58" s="32" t="str">
        <f t="shared" si="11"/>
        <v/>
      </c>
      <c r="D58" s="34" t="str">
        <f>IFERROR(INDEX(PRENOTAZIONI!$E:$E,SMALL(PRENOTAZIONI!$AE:$AE,55)),"")</f>
        <v/>
      </c>
      <c r="E58" s="34" t="str">
        <f>IFERROR(INDEX(PRENOTAZIONI!$F:$F,SMALL(PRENOTAZIONI!$AE:$AE,55)),"")</f>
        <v/>
      </c>
      <c r="F58" s="34" t="str">
        <f>IFERROR(INDEX(PRENOTAZIONI!$G:$G,SMALL(PRENOTAZIONI!$AE:$AE,55)),"")</f>
        <v/>
      </c>
      <c r="G58" s="35" t="str">
        <f>IFERROR(INDEX(PRENOTAZIONI!$H:$H,SMALL(PRENOTAZIONI!$AE:$AE,55)),"")</f>
        <v/>
      </c>
      <c r="H58" s="146" t="str">
        <f t="shared" si="12"/>
        <v/>
      </c>
      <c r="I58" s="35" t="str">
        <f t="shared" si="17"/>
        <v/>
      </c>
      <c r="J58" s="149" t="str">
        <f t="shared" si="13"/>
        <v/>
      </c>
      <c r="K58" s="34" t="str">
        <f>IFERROR(INDEX(PRENOTAZIONI!$K:$K,SMALL(PRENOTAZIONI!$AE:$AE,55)),"")</f>
        <v/>
      </c>
      <c r="L58" s="35" t="str">
        <f>IFERROR(INDEX(PRENOTAZIONI!$L:$L,SMALL(PRENOTAZIONI!$AE:$AE,55)),"")</f>
        <v/>
      </c>
      <c r="M58" s="150" t="str">
        <f t="shared" si="14"/>
        <v/>
      </c>
      <c r="N58" s="35" t="str">
        <f t="shared" si="15"/>
        <v/>
      </c>
      <c r="O58" s="35"/>
      <c r="P58" s="43"/>
      <c r="Q58" s="150" t="str">
        <f t="shared" si="16"/>
        <v/>
      </c>
      <c r="R58" s="47" t="str">
        <f>IFERROR(INDEX(PRENOTAZIONI!$R:$R,SMALL(PRENOTAZIONI!$AE:$AE,55)),"")</f>
        <v/>
      </c>
      <c r="T58" s="78"/>
    </row>
    <row r="59" spans="1:20" ht="22" customHeight="1" x14ac:dyDescent="0.25">
      <c r="A59" s="31" t="str">
        <f>IFERROR(INDEX(PRENOTAZIONI!$A:$A,SMALL(PRENOTAZIONI!$AE:$AE,56)),"")</f>
        <v/>
      </c>
      <c r="B59" s="31" t="str">
        <f>IFERROR(INDEX(PRENOTAZIONI!$B:$B,SMALL(PRENOTAZIONI!$AE:$AE,56)),"")</f>
        <v/>
      </c>
      <c r="C59" s="32" t="str">
        <f t="shared" si="11"/>
        <v/>
      </c>
      <c r="D59" s="34" t="str">
        <f>IFERROR(INDEX(PRENOTAZIONI!$E:$E,SMALL(PRENOTAZIONI!$AE:$AE,56)),"")</f>
        <v/>
      </c>
      <c r="E59" s="34" t="str">
        <f>IFERROR(INDEX(PRENOTAZIONI!$F:$F,SMALL(PRENOTAZIONI!$AE:$AE,56)),"")</f>
        <v/>
      </c>
      <c r="F59" s="34" t="str">
        <f>IFERROR(INDEX(PRENOTAZIONI!$G:$G,SMALL(PRENOTAZIONI!$AE:$AE,56)),"")</f>
        <v/>
      </c>
      <c r="G59" s="35" t="str">
        <f>IFERROR(INDEX(PRENOTAZIONI!$H:$H,SMALL(PRENOTAZIONI!$AE:$AE,56)),"")</f>
        <v/>
      </c>
      <c r="H59" s="146" t="str">
        <f t="shared" si="12"/>
        <v/>
      </c>
      <c r="I59" s="35" t="str">
        <f t="shared" si="17"/>
        <v/>
      </c>
      <c r="J59" s="149" t="str">
        <f t="shared" si="13"/>
        <v/>
      </c>
      <c r="K59" s="34" t="str">
        <f>IFERROR(INDEX(PRENOTAZIONI!$K:$K,SMALL(PRENOTAZIONI!$AE:$AE,56)),"")</f>
        <v/>
      </c>
      <c r="L59" s="35" t="str">
        <f>IFERROR(INDEX(PRENOTAZIONI!$L:$L,SMALL(PRENOTAZIONI!$AE:$AE,56)),"")</f>
        <v/>
      </c>
      <c r="M59" s="150" t="str">
        <f t="shared" si="14"/>
        <v/>
      </c>
      <c r="N59" s="35" t="str">
        <f t="shared" si="15"/>
        <v/>
      </c>
      <c r="O59" s="35"/>
      <c r="P59" s="35"/>
      <c r="Q59" s="150" t="str">
        <f t="shared" si="16"/>
        <v/>
      </c>
      <c r="R59" s="47" t="str">
        <f>IFERROR(INDEX(PRENOTAZIONI!$R:$R,SMALL(PRENOTAZIONI!$AE:$AE,56)),"")</f>
        <v/>
      </c>
      <c r="T59" s="78"/>
    </row>
    <row r="60" spans="1:20" ht="22" customHeight="1" x14ac:dyDescent="0.25">
      <c r="A60" s="31" t="str">
        <f>IFERROR(INDEX(PRENOTAZIONI!$A:$A,SMALL(PRENOTAZIONI!$AE:$AE,57)),"")</f>
        <v/>
      </c>
      <c r="B60" s="31" t="str">
        <f>IFERROR(INDEX(PRENOTAZIONI!$B:$B,SMALL(PRENOTAZIONI!$AE:$AE,57)),"")</f>
        <v/>
      </c>
      <c r="C60" s="32" t="str">
        <f t="shared" si="11"/>
        <v/>
      </c>
      <c r="D60" s="34" t="str">
        <f>IFERROR(INDEX(PRENOTAZIONI!$E:$E,SMALL(PRENOTAZIONI!$AE:$AE,57)),"")</f>
        <v/>
      </c>
      <c r="E60" s="34" t="str">
        <f>IFERROR(INDEX(PRENOTAZIONI!$F:$F,SMALL(PRENOTAZIONI!$AE:$AE,57)),"")</f>
        <v/>
      </c>
      <c r="F60" s="34" t="str">
        <f>IFERROR(INDEX(PRENOTAZIONI!$G:$G,SMALL(PRENOTAZIONI!$AE:$AE,57)),"")</f>
        <v/>
      </c>
      <c r="G60" s="35" t="str">
        <f>IFERROR(INDEX(PRENOTAZIONI!$H:$H,SMALL(PRENOTAZIONI!$AE:$AE,57)),"")</f>
        <v/>
      </c>
      <c r="H60" s="146" t="str">
        <f t="shared" si="12"/>
        <v/>
      </c>
      <c r="I60" s="35" t="str">
        <f t="shared" si="17"/>
        <v/>
      </c>
      <c r="J60" s="149" t="str">
        <f t="shared" si="13"/>
        <v/>
      </c>
      <c r="K60" s="34" t="str">
        <f>IFERROR(INDEX(PRENOTAZIONI!$K:$K,SMALL(PRENOTAZIONI!$AE:$AE,57)),"")</f>
        <v/>
      </c>
      <c r="L60" s="35" t="str">
        <f>IFERROR(INDEX(PRENOTAZIONI!$L:$L,SMALL(PRENOTAZIONI!$AE:$AE,57)),"")</f>
        <v/>
      </c>
      <c r="M60" s="150" t="str">
        <f t="shared" si="14"/>
        <v/>
      </c>
      <c r="N60" s="35" t="str">
        <f t="shared" si="15"/>
        <v/>
      </c>
      <c r="O60" s="35"/>
      <c r="P60" s="35"/>
      <c r="Q60" s="150" t="str">
        <f t="shared" si="16"/>
        <v/>
      </c>
      <c r="R60" s="47" t="str">
        <f>IFERROR(INDEX(PRENOTAZIONI!$R:$R,SMALL(PRENOTAZIONI!$AE:$AE,57)),"")</f>
        <v/>
      </c>
      <c r="T60" s="78"/>
    </row>
    <row r="61" spans="1:20" ht="22" customHeight="1" x14ac:dyDescent="0.25">
      <c r="A61" s="31" t="str">
        <f>IFERROR(INDEX(PRENOTAZIONI!$A:$A,SMALL(PRENOTAZIONI!$AE:$AE,58)),"")</f>
        <v/>
      </c>
      <c r="B61" s="31" t="str">
        <f>IFERROR(INDEX(PRENOTAZIONI!$B:$B,SMALL(PRENOTAZIONI!$AE:$AE,58)),"")</f>
        <v/>
      </c>
      <c r="C61" s="32" t="str">
        <f t="shared" si="11"/>
        <v/>
      </c>
      <c r="D61" s="34" t="str">
        <f>IFERROR(INDEX(PRENOTAZIONI!$E:$E,SMALL(PRENOTAZIONI!$AE:$AE,58)),"")</f>
        <v/>
      </c>
      <c r="E61" s="34" t="str">
        <f>IFERROR(INDEX(PRENOTAZIONI!$F:$F,SMALL(PRENOTAZIONI!$AE:$AE,58)),"")</f>
        <v/>
      </c>
      <c r="F61" s="34" t="str">
        <f>IFERROR(INDEX(PRENOTAZIONI!$G:$G,SMALL(PRENOTAZIONI!$AE:$AE,58)),"")</f>
        <v/>
      </c>
      <c r="G61" s="35" t="str">
        <f>IFERROR(INDEX(PRENOTAZIONI!$H:$H,SMALL(PRENOTAZIONI!$AE:$AE,58)),"")</f>
        <v/>
      </c>
      <c r="H61" s="146" t="str">
        <f t="shared" si="12"/>
        <v/>
      </c>
      <c r="I61" s="35" t="str">
        <f t="shared" si="17"/>
        <v/>
      </c>
      <c r="J61" s="149" t="str">
        <f t="shared" si="13"/>
        <v/>
      </c>
      <c r="K61" s="34" t="str">
        <f>IFERROR(INDEX(PRENOTAZIONI!$K:$K,SMALL(PRENOTAZIONI!$AE:$AE,58)),"")</f>
        <v/>
      </c>
      <c r="L61" s="35" t="str">
        <f>IFERROR(INDEX(PRENOTAZIONI!$L:$L,SMALL(PRENOTAZIONI!$AE:$AE,58)),"")</f>
        <v/>
      </c>
      <c r="M61" s="150" t="str">
        <f t="shared" si="14"/>
        <v/>
      </c>
      <c r="N61" s="35" t="str">
        <f t="shared" si="15"/>
        <v/>
      </c>
      <c r="O61" s="35"/>
      <c r="P61" s="35"/>
      <c r="Q61" s="150" t="str">
        <f t="shared" si="16"/>
        <v/>
      </c>
      <c r="R61" s="47" t="str">
        <f>IFERROR(INDEX(PRENOTAZIONI!$R:$R,SMALL(PRENOTAZIONI!$AE:$AE,58)),"")</f>
        <v/>
      </c>
      <c r="T61" s="78"/>
    </row>
    <row r="62" spans="1:20" ht="22" customHeight="1" x14ac:dyDescent="0.25">
      <c r="A62" s="31" t="str">
        <f>IFERROR(INDEX(PRENOTAZIONI!$A:$A,SMALL(PRENOTAZIONI!$AE:$AE,59)),"")</f>
        <v/>
      </c>
      <c r="B62" s="31" t="str">
        <f>IFERROR(INDEX(PRENOTAZIONI!$B:$B,SMALL(PRENOTAZIONI!$AE:$AE,59)),"")</f>
        <v/>
      </c>
      <c r="C62" s="32" t="str">
        <f t="shared" si="11"/>
        <v/>
      </c>
      <c r="D62" s="34" t="str">
        <f>IFERROR(INDEX(PRENOTAZIONI!$E:$E,SMALL(PRENOTAZIONI!$AE:$AE,59)),"")</f>
        <v/>
      </c>
      <c r="E62" s="34" t="str">
        <f>IFERROR(INDEX(PRENOTAZIONI!$F:$F,SMALL(PRENOTAZIONI!$AE:$AE,59)),"")</f>
        <v/>
      </c>
      <c r="F62" s="34" t="str">
        <f>IFERROR(INDEX(PRENOTAZIONI!$G:$G,SMALL(PRENOTAZIONI!$AE:$AE,59)),"")</f>
        <v/>
      </c>
      <c r="G62" s="35" t="str">
        <f>IFERROR(INDEX(PRENOTAZIONI!$H:$H,SMALL(PRENOTAZIONI!$AE:$AE,59)),"")</f>
        <v/>
      </c>
      <c r="H62" s="146" t="str">
        <f t="shared" si="12"/>
        <v/>
      </c>
      <c r="I62" s="35" t="str">
        <f t="shared" si="17"/>
        <v/>
      </c>
      <c r="J62" s="149" t="str">
        <f t="shared" si="13"/>
        <v/>
      </c>
      <c r="K62" s="34" t="str">
        <f>IFERROR(INDEX(PRENOTAZIONI!$K:$K,SMALL(PRENOTAZIONI!$AE:$AE,59)),"")</f>
        <v/>
      </c>
      <c r="L62" s="35" t="str">
        <f>IFERROR(INDEX(PRENOTAZIONI!$L:$L,SMALL(PRENOTAZIONI!$AE:$AE,59)),"")</f>
        <v/>
      </c>
      <c r="M62" s="150" t="str">
        <f t="shared" si="14"/>
        <v/>
      </c>
      <c r="N62" s="35" t="str">
        <f t="shared" si="15"/>
        <v/>
      </c>
      <c r="O62" s="35"/>
      <c r="P62" s="35"/>
      <c r="Q62" s="150" t="str">
        <f t="shared" si="16"/>
        <v/>
      </c>
      <c r="R62" s="47" t="str">
        <f>IFERROR(INDEX(PRENOTAZIONI!$R:$R,SMALL(PRENOTAZIONI!$AE:$AE,59)),"")</f>
        <v/>
      </c>
      <c r="T62" s="78"/>
    </row>
    <row r="63" spans="1:20" ht="22" customHeight="1" x14ac:dyDescent="0.25">
      <c r="A63" s="31" t="str">
        <f>IFERROR(INDEX(PRENOTAZIONI!$A:$A,SMALL(PRENOTAZIONI!$AE:$AE,60)),"")</f>
        <v/>
      </c>
      <c r="B63" s="31" t="str">
        <f>IFERROR(INDEX(PRENOTAZIONI!$B:$B,SMALL(PRENOTAZIONI!$AE:$AE,60)),"")</f>
        <v/>
      </c>
      <c r="C63" s="32" t="str">
        <f t="shared" si="11"/>
        <v/>
      </c>
      <c r="D63" s="34" t="str">
        <f>IFERROR(INDEX(PRENOTAZIONI!$E:$E,SMALL(PRENOTAZIONI!$AE:$AE,60)),"")</f>
        <v/>
      </c>
      <c r="E63" s="34" t="str">
        <f>IFERROR(INDEX(PRENOTAZIONI!$F:$F,SMALL(PRENOTAZIONI!$AE:$AE,60)),"")</f>
        <v/>
      </c>
      <c r="F63" s="34" t="str">
        <f>IFERROR(INDEX(PRENOTAZIONI!$G:$G,SMALL(PRENOTAZIONI!$AE:$AE,60)),"")</f>
        <v/>
      </c>
      <c r="G63" s="35" t="str">
        <f>IFERROR(INDEX(PRENOTAZIONI!$H:$H,SMALL(PRENOTAZIONI!$AE:$AE,60)),"")</f>
        <v/>
      </c>
      <c r="H63" s="146" t="str">
        <f t="shared" si="12"/>
        <v/>
      </c>
      <c r="I63" s="35" t="str">
        <f t="shared" si="17"/>
        <v/>
      </c>
      <c r="J63" s="149" t="str">
        <f t="shared" si="13"/>
        <v/>
      </c>
      <c r="K63" s="34" t="str">
        <f>IFERROR(INDEX(PRENOTAZIONI!$K:$K,SMALL(PRENOTAZIONI!$AE:$AE,60)),"")</f>
        <v/>
      </c>
      <c r="L63" s="35" t="str">
        <f>IFERROR(INDEX(PRENOTAZIONI!$L:$L,SMALL(PRENOTAZIONI!$AE:$AE,60)),"")</f>
        <v/>
      </c>
      <c r="M63" s="150" t="str">
        <f t="shared" si="14"/>
        <v/>
      </c>
      <c r="N63" s="35" t="str">
        <f t="shared" si="15"/>
        <v/>
      </c>
      <c r="O63" s="35"/>
      <c r="P63" s="35"/>
      <c r="Q63" s="150" t="str">
        <f t="shared" si="16"/>
        <v/>
      </c>
      <c r="R63" s="47" t="str">
        <f>IFERROR(INDEX(PRENOTAZIONI!$R:$R,SMALL(PRENOTAZIONI!$AE:$AE,60)),"")</f>
        <v/>
      </c>
      <c r="T63" s="78"/>
    </row>
    <row r="64" spans="1:20" ht="19" customHeight="1" x14ac:dyDescent="0.25">
      <c r="T64" s="78"/>
    </row>
    <row r="65" spans="20:20" ht="19" customHeight="1" x14ac:dyDescent="0.25">
      <c r="T65" s="78"/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H65"/>
  <sheetViews>
    <sheetView topLeftCell="O1" zoomScale="140" zoomScaleNormal="140" workbookViewId="0">
      <pane ySplit="3" topLeftCell="A4" activePane="bottomLeft" state="frozen"/>
      <selection pane="bottomLeft" activeCell="L5" sqref="L5:L9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9" width="11" customWidth="1"/>
    <col min="10" max="10" width="13" customWidth="1"/>
    <col min="11" max="11" width="17.6640625" bestFit="1" customWidth="1"/>
    <col min="12" max="12" width="10" customWidth="1"/>
    <col min="13" max="13" width="13" customWidth="1"/>
    <col min="14" max="14" width="10" customWidth="1"/>
    <col min="15" max="15" width="20" customWidth="1"/>
    <col min="16" max="16" width="12.5" bestFit="1" customWidth="1"/>
    <col min="17" max="17" width="18" style="93" customWidth="1"/>
    <col min="18" max="18" width="37.6640625" style="93" bestFit="1" customWidth="1"/>
    <col min="19" max="19" width="56.83203125" style="93" customWidth="1"/>
    <col min="20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3" width="8" customWidth="1"/>
    <col min="34" max="34" width="8.83203125" bestFit="1" customWidth="1"/>
    <col min="35" max="35" width="9.1640625" bestFit="1" customWidth="1"/>
    <col min="36" max="36" width="13.33203125" bestFit="1" customWidth="1"/>
    <col min="37" max="37" width="12.1640625" bestFit="1" customWidth="1"/>
    <col min="38" max="38" width="12" customWidth="1"/>
    <col min="39" max="41" width="11" customWidth="1"/>
    <col min="42" max="42" width="14.5" bestFit="1" customWidth="1"/>
  </cols>
  <sheetData>
    <row r="1" spans="1:60" ht="28" customHeight="1" x14ac:dyDescent="0.25">
      <c r="A1" s="1" t="s">
        <v>293</v>
      </c>
      <c r="B1" s="2"/>
      <c r="C1" s="2"/>
      <c r="D1" s="2"/>
      <c r="E1" s="2"/>
      <c r="F1" s="2"/>
      <c r="G1" s="2"/>
      <c r="I1" s="2"/>
      <c r="J1" s="148"/>
      <c r="K1" s="2"/>
      <c r="L1" s="2"/>
      <c r="M1" s="2"/>
      <c r="N1" s="2"/>
      <c r="O1" s="2"/>
      <c r="P1" s="2"/>
      <c r="Q1" s="2"/>
      <c r="R1" s="92"/>
      <c r="T1" s="78"/>
      <c r="AF1" s="38"/>
      <c r="AG1" s="110" t="s">
        <v>294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100"/>
      <c r="T3" s="98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thickBot="1" x14ac:dyDescent="0.25">
      <c r="A4" s="247">
        <f>IFERROR(INDEX(PRENOTAZIONI!$A:$A,SMALL(PRENOTAZIONI!$Y:$Y,1)),"")</f>
        <v>46183</v>
      </c>
      <c r="B4" s="248">
        <f>IFERROR(INDEX(PRENOTAZIONI!$B:$B,SMALL(PRENOTAZIONI!$Y:$Y,1)),"")</f>
        <v>46191</v>
      </c>
      <c r="C4" s="249">
        <f t="shared" ref="C4:C35" si="0">IF(A4&lt;&gt;"",B4-A4,"")</f>
        <v>8</v>
      </c>
      <c r="D4" s="250" t="str">
        <f>IFERROR(INDEX(PRENOTAZIONI!$E:$E,SMALL(PRENOTAZIONI!$Y:$Y,1)),"")</f>
        <v>francesco Paradisi</v>
      </c>
      <c r="E4" s="250" t="str">
        <f>IFERROR(INDEX(PRENOTAZIONI!$F:$F,SMALL(PRENOTAZIONI!$Y:$Y,1)),"")</f>
        <v>2 ad</v>
      </c>
      <c r="F4" s="250" t="str">
        <f>IFERROR(INDEX(PRENOTAZIONI!$G:$G,SMALL(PRENOTAZIONI!$Y:$Y,1)),"")</f>
        <v>booking.com</v>
      </c>
      <c r="G4" s="251">
        <f>IFERROR(INDEX(PRENOTAZIONI!$H:$H,SMALL(PRENOTAZIONI!$Y:$Y,1)),"")</f>
        <v>704.01</v>
      </c>
      <c r="H4" s="252">
        <f t="shared" ref="H4:H35" si="1">IF(AND(G4&lt;&gt;"",C4&lt;&gt;"",C4&lt;&gt;0),G4/C4,"")</f>
        <v>88.001249999999999</v>
      </c>
      <c r="I4" s="251">
        <f>IF(G4="","",IF(NOT(ISERROR(SEARCH("diretta",F4))),0,IF(NOT(ISERROR(SEARCH("booking",F4))),G4*0.15,IF(NOT(ISERROR(SEARCH("airbnb",F4))),G4*0.155,""))))</f>
        <v>105.6015</v>
      </c>
      <c r="J4" s="253">
        <f t="shared" ref="J4:J9" si="2">IF(I4&lt;&gt;"",I4*0.22,"")</f>
        <v>23.232330000000001</v>
      </c>
      <c r="K4" s="250" t="str">
        <f>IFERROR(INDEX(PRENOTAZIONI!$K:$K,SMALL(PRENOTAZIONI!$Y:$Y,1)),"")</f>
        <v>MASTER</v>
      </c>
      <c r="L4" s="251">
        <f>IFERROR(INDEX(PRENOTAZIONI!$L:$L,SMALL(PRENOTAZIONI!$Y:$Y,1)),"")</f>
        <v>16</v>
      </c>
      <c r="M4" s="254">
        <f t="shared" ref="M4:M35" si="3">IF(G4&lt;&gt;"",G4*0.21,"")</f>
        <v>147.84209999999999</v>
      </c>
      <c r="N4" s="251">
        <f t="shared" ref="N4:N35" si="4">IF(G4&lt;&gt;"",G4*0.25,"")</f>
        <v>176.0025</v>
      </c>
      <c r="O4" s="251">
        <v>60</v>
      </c>
      <c r="P4" s="255" t="s">
        <v>323</v>
      </c>
      <c r="Q4" s="254">
        <f t="shared" ref="Q4:Q35" si="5">IF(G4&lt;&gt;"",G4-I4-J4-M4-N4-O4,"")</f>
        <v>191.33157</v>
      </c>
      <c r="R4" s="256">
        <f>IFERROR(INDEX(PRENOTAZIONI!$R:$R,SMALL(PRENOTAZIONI!$Y:$Y,1)),"")</f>
        <v>0</v>
      </c>
      <c r="S4" s="221" t="s">
        <v>352</v>
      </c>
      <c r="T4" s="99" t="str">
        <f>IFERROR(INDEX(PRENOTAZIONI!$A:$A,SMALL(PRENOTAZIONI!$AM:$AM,1)),"")</f>
        <v/>
      </c>
      <c r="U4" s="31" t="str">
        <f>IFERROR(INDEX(PRENOTAZIONI!$B:$B,SMALL(PRENOTAZIONI!$AM:$AM,1)),"")</f>
        <v/>
      </c>
      <c r="V4" s="32" t="str">
        <f t="shared" ref="V4:V33" si="6">IF(T4&lt;&gt;"",U4-T4,"")</f>
        <v/>
      </c>
      <c r="W4" s="34" t="str">
        <f>IFERROR(INDEX(PRENOTAZIONI!$E:$E,SMALL(PRENOTAZIONI!$AM:$AM,1)),"")</f>
        <v/>
      </c>
      <c r="X4" s="34" t="str">
        <f>IFERROR(INDEX(PRENOTAZIONI!$F:$F,SMALL(PRENOTAZIONI!$AM:$AM,1)),"")</f>
        <v/>
      </c>
      <c r="Y4" s="35" t="str">
        <f>IFERROR(INDEX(PRENOTAZIONI!$H:$H,SMALL(PRENOTAZIONI!$AM:$AM,1)),"")</f>
        <v/>
      </c>
      <c r="Z4" s="34" t="str">
        <f>IFERROR(INDEX(PRENOTAZIONI!$K:$K,SMALL(PRENOTAZIONI!$AM:$AM,1)),"")</f>
        <v/>
      </c>
      <c r="AA4" s="34"/>
      <c r="AB4" s="34"/>
      <c r="AC4" s="40" t="str">
        <f t="shared" ref="AC4:AC33" si="7">IF(X4&lt;&gt;"",X4*0.25,"")</f>
        <v/>
      </c>
      <c r="AD4" s="41" t="str">
        <f t="shared" ref="AD4:AD33" si="8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SUMPRODUCT((MONTH(PRENOTAZIONI!$A$3:$A$262)=1)*(YEAR(PRENOTAZIONI!$A$3:$A$262)=2026)*(PRENOTAZIONI!$D$3:$D$262="Miramare"))</f>
        <v>0</v>
      </c>
      <c r="AI4" s="114">
        <f>SUMPRODUCT((PRENOTAZIONI!$A$3:$A$262&lt;DATE(2026,2,1))*(PRENOTAZIONI!$B$3:$B$262&gt;DATE(2026,1,1))*(YEAR(PRENOTAZIONI!$A$3:$A$262)=2026)*(PRENOTAZIONI!$D$3:$D$262="Miramare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x14ac:dyDescent="0.2">
      <c r="A5" s="174">
        <f>IFERROR(INDEX(PRENOTAZIONI!$A:$A,SMALL(PRENOTAZIONI!$Y:$Y,2)),"")</f>
        <v>46207</v>
      </c>
      <c r="B5" s="175">
        <f>IFERROR(INDEX(PRENOTAZIONI!$B:$B,SMALL(PRENOTAZIONI!$Y:$Y,2)),"")</f>
        <v>46214</v>
      </c>
      <c r="C5" s="176">
        <f t="shared" si="0"/>
        <v>7</v>
      </c>
      <c r="D5" s="177" t="str">
        <f>IFERROR(INDEX(PRENOTAZIONI!$E:$E,SMALL(PRENOTAZIONI!$Y:$Y,2)),"")</f>
        <v>Simona Chieli</v>
      </c>
      <c r="E5" s="177" t="str">
        <f>IFERROR(INDEX(PRENOTAZIONI!$F:$F,SMALL(PRENOTAZIONI!$Y:$Y,2)),"")</f>
        <v>2 ad</v>
      </c>
      <c r="F5" s="177" t="str">
        <f>IFERROR(INDEX(PRENOTAZIONI!$G:$G,SMALL(PRENOTAZIONI!$Y:$Y,2)),"")</f>
        <v>booking.com</v>
      </c>
      <c r="G5" s="178">
        <f>IFERROR(INDEX(PRENOTAZIONI!$H:$H,SMALL(PRENOTAZIONI!$Y:$Y,2)),"")</f>
        <v>585.22</v>
      </c>
      <c r="H5" s="215">
        <f t="shared" si="1"/>
        <v>83.602857142857147</v>
      </c>
      <c r="I5" s="178">
        <f>IF(G5="","",IF(NOT(ISERROR(SEARCH("diretta",F5))),0,IF(NOT(ISERROR(SEARCH("booking",F5))),G5*0.15,IF(NOT(ISERROR(SEARCH("airbnb",F5))),G5*0.155,""))))</f>
        <v>87.783000000000001</v>
      </c>
      <c r="J5" s="179">
        <f t="shared" si="2"/>
        <v>19.312260000000002</v>
      </c>
      <c r="K5" s="177" t="str">
        <f>IFERROR(INDEX(PRENOTAZIONI!$K:$K,SMALL(PRENOTAZIONI!$Y:$Y,2)),"")</f>
        <v>MASTER E CASH</v>
      </c>
      <c r="L5" s="178">
        <f>IFERROR(INDEX(PRENOTAZIONI!$L:$L,SMALL(PRENOTAZIONI!$Y:$Y,2)),"")</f>
        <v>21</v>
      </c>
      <c r="M5" s="180">
        <f t="shared" si="3"/>
        <v>122.89620000000001</v>
      </c>
      <c r="N5" s="178">
        <f t="shared" si="4"/>
        <v>146.30500000000001</v>
      </c>
      <c r="O5" s="178"/>
      <c r="P5" s="181"/>
      <c r="Q5" s="180">
        <f t="shared" si="5"/>
        <v>208.92354</v>
      </c>
      <c r="R5" s="216" t="str">
        <f>IFERROR(INDEX(PRENOTAZIONI!$R:$R,SMALL(PRENOTAZIONI!$Y:$Y,2)),"")</f>
        <v>pagato 265 con carta e resto in contanti</v>
      </c>
      <c r="S5" s="221" t="s">
        <v>376</v>
      </c>
      <c r="T5" s="99" t="str">
        <f>IFERROR(INDEX(PRENOTAZIONI!$A:$A,SMALL(PRENOTAZIONI!$AM:$AM,2)),"")</f>
        <v/>
      </c>
      <c r="U5" s="31" t="str">
        <f>IFERROR(INDEX(PRENOTAZIONI!$B:$B,SMALL(PRENOTAZIONI!$AM:$AM,2)),"")</f>
        <v/>
      </c>
      <c r="V5" s="32" t="str">
        <f t="shared" si="6"/>
        <v/>
      </c>
      <c r="W5" s="34" t="str">
        <f>IFERROR(INDEX(PRENOTAZIONI!$E:$E,SMALL(PRENOTAZIONI!$AM:$AM,2)),"")</f>
        <v/>
      </c>
      <c r="X5" s="34" t="str">
        <f>IFERROR(INDEX(PRENOTAZIONI!$F:$F,SMALL(PRENOTAZIONI!$AM:$AM,2)),"")</f>
        <v/>
      </c>
      <c r="Y5" s="35" t="str">
        <f>IFERROR(INDEX(PRENOTAZIONI!$H:$H,SMALL(PRENOTAZIONI!$AM:$AM,2)),"")</f>
        <v/>
      </c>
      <c r="Z5" s="34" t="str">
        <f>IFERROR(INDEX(PRENOTAZIONI!$K:$K,SMALL(PRENOTAZIONI!$AM:$AM,2)),"")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SUMPRODUCT((MONTH(PRENOTAZIONI!$A$3:$A$262)=2)*(YEAR(PRENOTAZIONI!$A$3:$A$262)=2026)*(PRENOTAZIONI!$D$3:$D$262="Miramare"))</f>
        <v>0</v>
      </c>
      <c r="AI5" s="114">
        <f>SUMPRODUCT((PRENOTAZIONI!$A$3:$A$262&lt;DATE(2026,3,1))*(PRENOTAZIONI!$B$3:$B$262&gt;DATE(2026,2,1))*(YEAR(PRENOTAZIONI!$A$3:$A$262)=2026)*(PRENOTAZIONI!$D$3:$D$262="Miramare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183">
        <f>IFERROR(INDEX(PRENOTAZIONI!$A:$A,SMALL(PRENOTAZIONI!$Y:$Y,3)),"")</f>
        <v>46207</v>
      </c>
      <c r="B6" s="184">
        <f>IFERROR(INDEX(PRENOTAZIONI!$B:$B,SMALL(PRENOTAZIONI!$Y:$Y,3)),"")</f>
        <v>46214</v>
      </c>
      <c r="C6" s="185">
        <f t="shared" si="0"/>
        <v>7</v>
      </c>
      <c r="D6" s="186" t="str">
        <f>IFERROR(INDEX(PRENOTAZIONI!$E:$E,SMALL(PRENOTAZIONI!$Y:$Y,3)),"")</f>
        <v>Simona Chieli</v>
      </c>
      <c r="E6" s="186" t="str">
        <f>IFERROR(INDEX(PRENOTAZIONI!$F:$F,SMALL(PRENOTAZIONI!$Y:$Y,3)),"")</f>
        <v>1 ad</v>
      </c>
      <c r="F6" s="186" t="str">
        <f>IFERROR(INDEX(PRENOTAZIONI!$G:$G,SMALL(PRENOTAZIONI!$Y:$Y,3)),"")</f>
        <v>diretta</v>
      </c>
      <c r="G6" s="147">
        <f>IFERROR(INDEX(PRENOTAZIONI!$H:$H,SMALL(PRENOTAZIONI!$Y:$Y,3)),"")</f>
        <v>210</v>
      </c>
      <c r="H6" s="223">
        <f t="shared" si="1"/>
        <v>30</v>
      </c>
      <c r="I6" s="147">
        <f>IF(G6="","",IF(NOT(ISERROR(SEARCH("diretta",F6))),0,IF(NOT(ISERROR(SEARCH("booking",F6))),G6*0.15,IF(NOT(ISERROR(SEARCH("airbnb",F6))),G6*0.155,""))))</f>
        <v>0</v>
      </c>
      <c r="J6" s="187">
        <f t="shared" si="2"/>
        <v>0</v>
      </c>
      <c r="K6" s="186" t="str">
        <f>IFERROR(INDEX(PRENOTAZIONI!$K:$K,SMALL(PRENOTAZIONI!$Y:$Y,3)),"")</f>
        <v>MASTER E CASH</v>
      </c>
      <c r="L6" s="147">
        <f>IFERROR(INDEX(PRENOTAZIONI!$L:$L,SMALL(PRENOTAZIONI!$Y:$Y,3)),"")</f>
        <v>0</v>
      </c>
      <c r="M6" s="188">
        <f t="shared" si="3"/>
        <v>44.1</v>
      </c>
      <c r="N6" s="147">
        <f t="shared" si="4"/>
        <v>52.5</v>
      </c>
      <c r="O6" s="147"/>
      <c r="P6" s="189"/>
      <c r="Q6" s="188">
        <f t="shared" si="5"/>
        <v>113.4</v>
      </c>
      <c r="R6" s="47" t="str">
        <f>IFERROR(INDEX(PRENOTAZIONI!$R:$R,SMALL(PRENOTAZIONI!$Y:$Y,3)),"")</f>
        <v>aggiunta alla prenotazione di booking</v>
      </c>
      <c r="S6" s="224"/>
      <c r="T6" s="99" t="str">
        <f>IFERROR(INDEX(PRENOTAZIONI!$A:$A,SMALL(PRENOTAZIONI!$AM:$AM,3)),"")</f>
        <v/>
      </c>
      <c r="U6" s="31" t="str">
        <f>IFERROR(INDEX(PRENOTAZIONI!$B:$B,SMALL(PRENOTAZIONI!$AM:$AM,3)),"")</f>
        <v/>
      </c>
      <c r="V6" s="32" t="str">
        <f t="shared" si="6"/>
        <v/>
      </c>
      <c r="W6" s="34" t="str">
        <f>IFERROR(INDEX(PRENOTAZIONI!$E:$E,SMALL(PRENOTAZIONI!$AM:$AM,3)),"")</f>
        <v/>
      </c>
      <c r="X6" s="34" t="str">
        <f>IFERROR(INDEX(PRENOTAZIONI!$F:$F,SMALL(PRENOTAZIONI!$AM:$AM,3)),"")</f>
        <v/>
      </c>
      <c r="Y6" s="35" t="str">
        <f>IFERROR(INDEX(PRENOTAZIONI!$H:$H,SMALL(PRENOTAZIONI!$AM:$AM,3)),"")</f>
        <v/>
      </c>
      <c r="Z6" s="34" t="str">
        <f>IFERROR(INDEX(PRENOTAZIONI!$K:$K,SMALL(PRENOTAZIONI!$AM:$AM,3)),"")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SUMPRODUCT((MONTH(PRENOTAZIONI!$A$3:$A$262)=3)*(YEAR(PRENOTAZIONI!$A$3:$A$262)=2026)*(PRENOTAZIONI!$D$3:$D$262="Miramare"))</f>
        <v>0</v>
      </c>
      <c r="AI6" s="114">
        <f>SUMPRODUCT((PRENOTAZIONI!$A$3:$A$262&lt;DATE(2026,4,1))*(PRENOTAZIONI!$B$3:$B$262&gt;DATE(2026,3,1))*(YEAR(PRENOTAZIONI!$A$3:$A$262)=2026)*(PRENOTAZIONI!$D$3:$D$262="Miramare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183">
        <f>IFERROR(INDEX(PRENOTAZIONI!$A:$A,SMALL(PRENOTAZIONI!$Y:$Y,4)),"")</f>
        <v>46214</v>
      </c>
      <c r="B7" s="184">
        <f>IFERROR(INDEX(PRENOTAZIONI!$B:$B,SMALL(PRENOTAZIONI!$Y:$Y,4)),"")</f>
        <v>46220</v>
      </c>
      <c r="C7" s="185">
        <f t="shared" si="0"/>
        <v>6</v>
      </c>
      <c r="D7" s="186" t="str">
        <f>IFERROR(INDEX(PRENOTAZIONI!$E:$E,SMALL(PRENOTAZIONI!$Y:$Y,4)),"")</f>
        <v>Burko oleksi</v>
      </c>
      <c r="E7" s="186" t="str">
        <f>IFERROR(INDEX(PRENOTAZIONI!$F:$F,SMALL(PRENOTAZIONI!$Y:$Y,4)),"")</f>
        <v>2 ad + 3 b</v>
      </c>
      <c r="F7" s="186" t="str">
        <f>IFERROR(INDEX(PRENOTAZIONI!$G:$G,SMALL(PRENOTAZIONI!$Y:$Y,4)),"")</f>
        <v>booking.com</v>
      </c>
      <c r="G7" s="147">
        <f>IFERROR(INDEX(PRENOTAZIONI!$H:$H,SMALL(PRENOTAZIONI!$Y:$Y,4)),"")</f>
        <v>702.54</v>
      </c>
      <c r="H7" s="223">
        <f t="shared" si="1"/>
        <v>117.08999999999999</v>
      </c>
      <c r="I7" s="147">
        <f>IF(G7="","",IF(NOT(ISERROR(SEARCH("diretta",F7))),0,IF(NOT(ISERROR(SEARCH("booking",F7))),G7*0.15,IF(NOT(ISERROR(SEARCH("airbnb",F7))),G7*0.155,""))))</f>
        <v>105.38099999999999</v>
      </c>
      <c r="J7" s="187">
        <f t="shared" si="2"/>
        <v>23.183819999999997</v>
      </c>
      <c r="K7" s="186" t="str">
        <f>IFERROR(INDEX(PRENOTAZIONI!$K:$K,SMALL(PRENOTAZIONI!$Y:$Y,4)),"")</f>
        <v>contanti</v>
      </c>
      <c r="L7" s="147">
        <f>IFERROR(INDEX(PRENOTAZIONI!$L:$L,SMALL(PRENOTAZIONI!$Y:$Y,4)),"")</f>
        <v>12</v>
      </c>
      <c r="M7" s="188">
        <f t="shared" si="3"/>
        <v>147.5334</v>
      </c>
      <c r="N7" s="147">
        <f t="shared" si="4"/>
        <v>175.63499999999999</v>
      </c>
      <c r="O7" s="147"/>
      <c r="P7" s="189"/>
      <c r="Q7" s="188">
        <f t="shared" si="5"/>
        <v>250.80678</v>
      </c>
      <c r="R7" s="47">
        <f>IFERROR(INDEX(PRENOTAZIONI!$R:$R,SMALL(PRENOTAZIONI!$Y:$Y,4)),"")</f>
        <v>0</v>
      </c>
      <c r="S7" s="224"/>
      <c r="T7" s="99" t="str">
        <f>IFERROR(INDEX(PRENOTAZIONI!$A:$A,SMALL(PRENOTAZIONI!$AM:$AM,4)),"")</f>
        <v/>
      </c>
      <c r="U7" s="31" t="str">
        <f>IFERROR(INDEX(PRENOTAZIONI!$B:$B,SMALL(PRENOTAZIONI!$AM:$AM,4)),"")</f>
        <v/>
      </c>
      <c r="V7" s="32" t="str">
        <f t="shared" si="6"/>
        <v/>
      </c>
      <c r="W7" s="34" t="str">
        <f>IFERROR(INDEX(PRENOTAZIONI!$E:$E,SMALL(PRENOTAZIONI!$AM:$AM,4)),"")</f>
        <v/>
      </c>
      <c r="X7" s="34" t="str">
        <f>IFERROR(INDEX(PRENOTAZIONI!$F:$F,SMALL(PRENOTAZIONI!$AM:$AM,4)),"")</f>
        <v/>
      </c>
      <c r="Y7" s="35" t="str">
        <f>IFERROR(INDEX(PRENOTAZIONI!$H:$H,SMALL(PRENOTAZIONI!$AM:$AM,4)),"")</f>
        <v/>
      </c>
      <c r="Z7" s="34" t="str">
        <f>IFERROR(INDEX(PRENOTAZIONI!$K:$K,SMALL(PRENOTAZIONI!$AM:$AM,4)),"")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SUMPRODUCT((MONTH(PRENOTAZIONI!$A$3:$A$262)=4)*(YEAR(PRENOTAZIONI!$A$3:$A$262)=2026)*(PRENOTAZIONI!$D$3:$D$262="Miramare"))</f>
        <v>0</v>
      </c>
      <c r="AI7" s="114">
        <f>SUMPRODUCT((PRENOTAZIONI!$A$3:$A$262&lt;DATE(2026,5,1))*(PRENOTAZIONI!$B$3:$B$262&gt;DATE(2026,4,1))*(YEAR(PRENOTAZIONI!$A$3:$A$262)=2026)*(PRENOTAZIONI!$D$3:$D$262="Miramare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183">
        <f>IFERROR(INDEX(PRENOTAZIONI!$A:$A,SMALL(PRENOTAZIONI!$Y:$Y,5)),"")</f>
        <v>46223</v>
      </c>
      <c r="B8" s="184">
        <f>IFERROR(INDEX(PRENOTAZIONI!$B:$B,SMALL(PRENOTAZIONI!$Y:$Y,5)),"")</f>
        <v>46231</v>
      </c>
      <c r="C8" s="185">
        <f t="shared" si="0"/>
        <v>8</v>
      </c>
      <c r="D8" s="186" t="str">
        <f>IFERROR(INDEX(PRENOTAZIONI!$E:$E,SMALL(PRENOTAZIONI!$Y:$Y,5)),"")</f>
        <v>Baracca Pasquale</v>
      </c>
      <c r="E8" s="186" t="str">
        <f>IFERROR(INDEX(PRENOTAZIONI!$F:$F,SMALL(PRENOTAZIONI!$Y:$Y,5)),"")</f>
        <v>4 ad</v>
      </c>
      <c r="F8" s="186" t="str">
        <f>IFERROR(INDEX(PRENOTAZIONI!$G:$G,SMALL(PRENOTAZIONI!$Y:$Y,5)),"")</f>
        <v>diretta</v>
      </c>
      <c r="G8" s="147">
        <f>IFERROR(INDEX(PRENOTAZIONI!$H:$H,SMALL(PRENOTAZIONI!$Y:$Y,5)),"")</f>
        <v>1552</v>
      </c>
      <c r="H8" s="223">
        <f t="shared" si="1"/>
        <v>194</v>
      </c>
      <c r="I8" s="147">
        <f t="shared" ref="I8:I39" si="9">IF(G8="","",IF(NOT(ISERROR(SEARCH("diretta",F8))),0,IF(NOT(ISERROR(SEARCH("booking",F8))),G8*0.15,IF(NOT(ISERROR(SEARCH("airbnb",F8))),G8*0.155,""))))</f>
        <v>0</v>
      </c>
      <c r="J8" s="187">
        <f t="shared" si="2"/>
        <v>0</v>
      </c>
      <c r="K8" s="186" t="str">
        <f>IFERROR(INDEX(PRENOTAZIONI!$K:$K,SMALL(PRENOTAZIONI!$Y:$Y,5)),"")</f>
        <v>BONIFICO</v>
      </c>
      <c r="L8" s="147">
        <f>IFERROR(INDEX(PRENOTAZIONI!$L:$L,SMALL(PRENOTAZIONI!$Y:$Y,5)),"")</f>
        <v>32</v>
      </c>
      <c r="M8" s="188">
        <f t="shared" si="3"/>
        <v>325.92</v>
      </c>
      <c r="N8" s="147">
        <f t="shared" si="4"/>
        <v>388</v>
      </c>
      <c r="O8" s="147"/>
      <c r="P8" s="189"/>
      <c r="Q8" s="188">
        <f t="shared" si="5"/>
        <v>838.07999999999993</v>
      </c>
      <c r="R8" s="47">
        <f>IFERROR(INDEX(PRENOTAZIONI!$R:$R,SMALL(PRENOTAZIONI!$Y:$Y,5)),"")</f>
        <v>0</v>
      </c>
      <c r="S8" s="224"/>
      <c r="T8" s="99" t="str">
        <f>IFERROR(INDEX(PRENOTAZIONI!$A:$A,SMALL(PRENOTAZIONI!$AM:$AM,5)),"")</f>
        <v/>
      </c>
      <c r="U8" s="31" t="str">
        <f>IFERROR(INDEX(PRENOTAZIONI!$B:$B,SMALL(PRENOTAZIONI!$AM:$AM,5)),"")</f>
        <v/>
      </c>
      <c r="V8" s="32" t="str">
        <f t="shared" si="6"/>
        <v/>
      </c>
      <c r="W8" s="34" t="str">
        <f>IFERROR(INDEX(PRENOTAZIONI!$E:$E,SMALL(PRENOTAZIONI!$AM:$AM,5)),"")</f>
        <v/>
      </c>
      <c r="X8" s="34" t="str">
        <f>IFERROR(INDEX(PRENOTAZIONI!$F:$F,SMALL(PRENOTAZIONI!$AM:$AM,5)),"")</f>
        <v/>
      </c>
      <c r="Y8" s="35" t="str">
        <f>IFERROR(INDEX(PRENOTAZIONI!$H:$H,SMALL(PRENOTAZIONI!$AM:$AM,5)),"")</f>
        <v/>
      </c>
      <c r="Z8" s="34" t="str">
        <f>IFERROR(INDEX(PRENOTAZIONI!$K:$K,SMALL(PRENOTAZIONI!$AM:$AM,5)),"")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SUMPRODUCT((MONTH(PRENOTAZIONI!$A$3:$A$262)=5)*(YEAR(PRENOTAZIONI!$A$3:$A$262)=2026)*(PRENOTAZIONI!$D$3:$D$262="Miramare"))</f>
        <v>0</v>
      </c>
      <c r="AI8" s="114">
        <f>SUMPRODUCT((PRENOTAZIONI!$A$3:$A$262&lt;DATE(2026,6,1))*(PRENOTAZIONI!$B$3:$B$262&gt;DATE(2026,5,1))*(YEAR(PRENOTAZIONI!$A$3:$A$262)=2026)*(PRENOTAZIONI!$D$3:$D$262="Miramare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thickBot="1" x14ac:dyDescent="0.25">
      <c r="A9" s="191">
        <f>IFERROR(INDEX(PRENOTAZIONI!$A:$A,SMALL(PRENOTAZIONI!$Y:$Y,6)),"")</f>
        <v>46231</v>
      </c>
      <c r="B9" s="192">
        <f>IFERROR(INDEX(PRENOTAZIONI!$B:$B,SMALL(PRENOTAZIONI!$Y:$Y,6)),"")</f>
        <v>46234</v>
      </c>
      <c r="C9" s="193">
        <f t="shared" si="0"/>
        <v>3</v>
      </c>
      <c r="D9" s="194" t="str">
        <f>IFERROR(INDEX(PRENOTAZIONI!$E:$E,SMALL(PRENOTAZIONI!$Y:$Y,6)),"")</f>
        <v>Baracca Pasquale</v>
      </c>
      <c r="E9" s="194" t="str">
        <f>IFERROR(INDEX(PRENOTAZIONI!$F:$F,SMALL(PRENOTAZIONI!$Y:$Y,6)),"")</f>
        <v>4 ad</v>
      </c>
      <c r="F9" s="194" t="str">
        <f>IFERROR(INDEX(PRENOTAZIONI!$G:$G,SMALL(PRENOTAZIONI!$Y:$Y,6)),"")</f>
        <v>diretta</v>
      </c>
      <c r="G9" s="195">
        <f>IFERROR(INDEX(PRENOTAZIONI!$H:$H,SMALL(PRENOTAZIONI!$Y:$Y,6)),"")</f>
        <v>582</v>
      </c>
      <c r="H9" s="218">
        <f t="shared" si="1"/>
        <v>194</v>
      </c>
      <c r="I9" s="195">
        <f t="shared" si="9"/>
        <v>0</v>
      </c>
      <c r="J9" s="196">
        <f t="shared" si="2"/>
        <v>0</v>
      </c>
      <c r="K9" s="194" t="str">
        <f>IFERROR(INDEX(PRENOTAZIONI!$K:$K,SMALL(PRENOTAZIONI!$Y:$Y,6)),"")</f>
        <v>BONIFICO</v>
      </c>
      <c r="L9" s="195">
        <f>IFERROR(INDEX(PRENOTAZIONI!$L:$L,SMALL(PRENOTAZIONI!$Y:$Y,6)),"")</f>
        <v>12</v>
      </c>
      <c r="M9" s="197">
        <f t="shared" si="3"/>
        <v>122.22</v>
      </c>
      <c r="N9" s="195">
        <f t="shared" si="4"/>
        <v>145.5</v>
      </c>
      <c r="O9" s="195"/>
      <c r="P9" s="198"/>
      <c r="Q9" s="197">
        <f t="shared" si="5"/>
        <v>314.27999999999997</v>
      </c>
      <c r="R9" s="219" t="str">
        <f>IFERROR(INDEX(PRENOTAZIONI!$R:$R,SMALL(PRENOTAZIONI!$Y:$Y,6)),"")</f>
        <v>prolungato soggiorno</v>
      </c>
      <c r="S9" s="222"/>
      <c r="T9" s="99" t="str">
        <f>IFERROR(INDEX(PRENOTAZIONI!$A:$A,SMALL(PRENOTAZIONI!$AM:$AM,6)),"")</f>
        <v/>
      </c>
      <c r="U9" s="31" t="str">
        <f>IFERROR(INDEX(PRENOTAZIONI!$B:$B,SMALL(PRENOTAZIONI!$AM:$AM,6)),"")</f>
        <v/>
      </c>
      <c r="V9" s="32" t="str">
        <f t="shared" si="6"/>
        <v/>
      </c>
      <c r="W9" s="34" t="str">
        <f>IFERROR(INDEX(PRENOTAZIONI!$E:$E,SMALL(PRENOTAZIONI!$AM:$AM,6)),"")</f>
        <v/>
      </c>
      <c r="X9" s="34" t="str">
        <f>IFERROR(INDEX(PRENOTAZIONI!$F:$F,SMALL(PRENOTAZIONI!$AM:$AM,6)),"")</f>
        <v/>
      </c>
      <c r="Y9" s="35" t="str">
        <f>IFERROR(INDEX(PRENOTAZIONI!$H:$H,SMALL(PRENOTAZIONI!$AM:$AM,6)),"")</f>
        <v/>
      </c>
      <c r="Z9" s="34" t="str">
        <f>IFERROR(INDEX(PRENOTAZIONI!$K:$K,SMALL(PRENOTAZIONI!$AM:$AM,6)),"")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SUMPRODUCT((MONTH(PRENOTAZIONI!$A$3:$A$262)=6)*(YEAR(PRENOTAZIONI!$A$3:$A$262)=2026)*(PRENOTAZIONI!$D$3:$D$262="Miramare"))</f>
        <v>1</v>
      </c>
      <c r="AI9" s="114">
        <f>SUMPRODUCT((PRENOTAZIONI!$A$3:$A$262&lt;DATE(2026,7,1))*(PRENOTAZIONI!$B$3:$B$262&gt;DATE(2026,6,1))*(YEAR(PRENOTAZIONI!$A$3:$A$262)=2026)*(PRENOTAZIONI!$D$3:$D$262="Miramare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8</v>
      </c>
      <c r="AJ9" s="151">
        <f>SUMIF(A4:A33,"&gt;="&amp;DATE(2026,6,1),G4:G33)-SUMIF(A4:A33,"&gt;="&amp;DATE(2026,7,1),G4:G33)</f>
        <v>704.01000000000022</v>
      </c>
      <c r="AK9" s="151">
        <f>SUMIF(A4:A33,"&gt;="&amp;DATE(2026,6,1),I4:I33)-SUMIF(A4:A33,"&gt;="&amp;DATE(2026,7,1),I4:I33)</f>
        <v>105.60149999999999</v>
      </c>
      <c r="AL9" s="151">
        <f>SUMIF(A4:A33,"&gt;="&amp;DATE(2026,6,1),L4:L33)-SUMIF(A4:A33,"&gt;="&amp;DATE(2026,7,1),L4:L33)</f>
        <v>16</v>
      </c>
      <c r="AM9" s="151">
        <f>SUMIF(A4:A33,"&gt;="&amp;DATE(2026,6,1),N4:N33)-SUMIF(A4:A33,"&gt;="&amp;DATE(2026,7,1),N4:N33)</f>
        <v>176.00250000000005</v>
      </c>
      <c r="AN9" s="152">
        <f>SUMIF(A4:A33,"&gt;="&amp;DATE(2026,6,1),M4:M33)-SUMIF(A4:A33,"&gt;="&amp;DATE(2026,7,1),M4:M33)</f>
        <v>147.84209999999985</v>
      </c>
      <c r="AO9" s="152">
        <f>SUMIF(A4:A33,"&gt;="&amp;DATE(2026,6,1),J4:J33)-SUMIF(A4:A33,"&gt;="&amp;DATE(2026,7,1),J4:J33)</f>
        <v>23.23232999999999</v>
      </c>
      <c r="AP9" s="153">
        <f>SUMIF(A4:A33,"&gt;="&amp;DATE(2026,6,1),Q4:Q33)-SUMIF(A4:A33,"&gt;="&amp;DATE(2026,7,1),Q4:Q33)</f>
        <v>191.33156999999983</v>
      </c>
    </row>
    <row r="10" spans="1:60" ht="20" customHeight="1" x14ac:dyDescent="0.2">
      <c r="A10" s="157">
        <f>IFERROR(INDEX(PRENOTAZIONI!$A:$A,SMALL(PRENOTAZIONI!$Y:$Y,7)),"")</f>
        <v>46235</v>
      </c>
      <c r="B10" s="157">
        <f>IFERROR(INDEX(PRENOTAZIONI!$B:$B,SMALL(PRENOTAZIONI!$Y:$Y,7)),"")</f>
        <v>46242</v>
      </c>
      <c r="C10" s="158">
        <f t="shared" si="0"/>
        <v>7</v>
      </c>
      <c r="D10" s="159" t="str">
        <f>IFERROR(INDEX(PRENOTAZIONI!$E:$E,SMALL(PRENOTAZIONI!$Y:$Y,7)),"")</f>
        <v xml:space="preserve">Napolitano Antonio </v>
      </c>
      <c r="E10" s="159" t="str">
        <f>IFERROR(INDEX(PRENOTAZIONI!$F:$F,SMALL(PRENOTAZIONI!$Y:$Y,7)),"")</f>
        <v>2 ad</v>
      </c>
      <c r="F10" s="159" t="str">
        <f>IFERROR(INDEX(PRENOTAZIONI!$G:$G,SMALL(PRENOTAZIONI!$Y:$Y,7)),"")</f>
        <v>booking.com</v>
      </c>
      <c r="G10" s="160">
        <f>IFERROR(INDEX(PRENOTAZIONI!$H:$H,SMALL(PRENOTAZIONI!$Y:$Y,7)),"")</f>
        <v>830.76</v>
      </c>
      <c r="H10" s="212">
        <f t="shared" si="1"/>
        <v>118.67999999999999</v>
      </c>
      <c r="I10" s="160">
        <f t="shared" si="9"/>
        <v>124.61399999999999</v>
      </c>
      <c r="J10" s="161">
        <f t="shared" ref="J10:J35" si="10">IF(H10&lt;&gt;"",H10*0.22,"")</f>
        <v>26.109599999999997</v>
      </c>
      <c r="K10" s="159" t="str">
        <f>IFERROR(INDEX(PRENOTAZIONI!$K:$K,SMALL(PRENOTAZIONI!$Y:$Y,7)),"")</f>
        <v>contanti</v>
      </c>
      <c r="L10" s="160">
        <f>IFERROR(INDEX(PRENOTAZIONI!$L:$L,SMALL(PRENOTAZIONI!$Y:$Y,7)),"")</f>
        <v>14</v>
      </c>
      <c r="M10" s="154">
        <f t="shared" si="3"/>
        <v>174.45959999999999</v>
      </c>
      <c r="N10" s="160">
        <f t="shared" si="4"/>
        <v>207.69</v>
      </c>
      <c r="O10" s="160"/>
      <c r="P10" s="162"/>
      <c r="Q10" s="154">
        <f t="shared" si="5"/>
        <v>297.88679999999994</v>
      </c>
      <c r="R10" s="209">
        <f>IFERROR(INDEX(PRENOTAZIONI!$R:$R,SMALL(PRENOTAZIONI!$Y:$Y,7)),"")</f>
        <v>0</v>
      </c>
      <c r="S10" s="101"/>
      <c r="T10" s="99" t="str">
        <f>IFERROR(INDEX(PRENOTAZIONI!$A:$A,SMALL(PRENOTAZIONI!$AM:$AM,7)),"")</f>
        <v/>
      </c>
      <c r="U10" s="31" t="str">
        <f>IFERROR(INDEX(PRENOTAZIONI!$B:$B,SMALL(PRENOTAZIONI!$AM:$AM,7)),"")</f>
        <v/>
      </c>
      <c r="V10" s="32" t="str">
        <f t="shared" si="6"/>
        <v/>
      </c>
      <c r="W10" s="34" t="str">
        <f>IFERROR(INDEX(PRENOTAZIONI!$E:$E,SMALL(PRENOTAZIONI!$AM:$AM,7)),"")</f>
        <v/>
      </c>
      <c r="X10" s="34" t="str">
        <f>IFERROR(INDEX(PRENOTAZIONI!$F:$F,SMALL(PRENOTAZIONI!$AM:$AM,7)),"")</f>
        <v/>
      </c>
      <c r="Y10" s="35" t="str">
        <f>IFERROR(INDEX(PRENOTAZIONI!$H:$H,SMALL(PRENOTAZIONI!$AM:$AM,7)),"")</f>
        <v/>
      </c>
      <c r="Z10" s="34" t="str">
        <f>IFERROR(INDEX(PRENOTAZIONI!$K:$K,SMALL(PRENOTAZIONI!$AM:$AM,7)),"")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SUMPRODUCT((MONTH(PRENOTAZIONI!$A$3:$A$262)=7)*(YEAR(PRENOTAZIONI!$A$3:$A$262)=2026)*(PRENOTAZIONI!$D$3:$D$262="Miramare"))</f>
        <v>5</v>
      </c>
      <c r="AI10" s="114">
        <f>SUMPRODUCT((PRENOTAZIONI!$A$3:$A$262&lt;DATE(2026,8,1))*(PRENOTAZIONI!$B$3:$B$262&gt;DATE(2026,7,1))*(YEAR(PRENOTAZIONI!$A$3:$A$262)=2026)*(PRENOTAZIONI!$D$3:$D$262="Miramare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31</v>
      </c>
      <c r="AJ10" s="151">
        <f>SUMIF(A4:A33,"&gt;="&amp;DATE(2026,7,1),G4:G33)-SUMIF(A4:A33,"&gt;="&amp;DATE(2026,8,1),G4:G33)</f>
        <v>3631.7600000000007</v>
      </c>
      <c r="AK10" s="151">
        <f>SUMIF(A4:A33,"&gt;="&amp;DATE(2026,7,1),I4:I33)-SUMIF(A4:A33,"&gt;="&amp;DATE(2026,8,1),I4:I33)</f>
        <v>193.16399999999999</v>
      </c>
      <c r="AL10" s="151">
        <f>SUMIF(A4:A33,"&gt;="&amp;DATE(2026,7,1),L4:L33)-SUMIF(A4:A33,"&gt;="&amp;DATE(2026,8,1),L4:L33)</f>
        <v>77</v>
      </c>
      <c r="AM10" s="151">
        <f>SUMIF(A4:A33,"&gt;="&amp;DATE(2026,7,1),N4:N33)-SUMIF(A4:A33,"&gt;="&amp;DATE(2026,8,1),N4:N33)</f>
        <v>907.94000000000017</v>
      </c>
      <c r="AN10" s="152">
        <f>SUMIF(A4:A33,"&gt;="&amp;DATE(2026,7,1),M4:M33)-SUMIF(A4:A33,"&gt;="&amp;DATE(2026,8,1),M4:M33)</f>
        <v>762.66960000000017</v>
      </c>
      <c r="AO10" s="152">
        <f>SUMIF(A4:A33,"&gt;="&amp;DATE(2026,7,1),J4:J33)-SUMIF(A4:A33,"&gt;="&amp;DATE(2026,8,1),J4:J33)</f>
        <v>42.496080000000006</v>
      </c>
      <c r="AP10" s="153">
        <f>SUMIF(A4:A33,"&gt;="&amp;DATE(2026,7,1),Q4:Q33)-SUMIF(A4:A33,"&gt;="&amp;DATE(2026,8,1),Q4:Q33)</f>
        <v>1725.4903200000003</v>
      </c>
    </row>
    <row r="11" spans="1:60" ht="20" customHeight="1" x14ac:dyDescent="0.2">
      <c r="A11" s="31">
        <f>IFERROR(INDEX(PRENOTAZIONI!$A:$A,SMALL(PRENOTAZIONI!$Y:$Y,8)),"")</f>
        <v>46242</v>
      </c>
      <c r="B11" s="31">
        <f>IFERROR(INDEX(PRENOTAZIONI!$B:$B,SMALL(PRENOTAZIONI!$Y:$Y,8)),"")</f>
        <v>46252</v>
      </c>
      <c r="C11" s="32">
        <f t="shared" si="0"/>
        <v>10</v>
      </c>
      <c r="D11" s="34" t="str">
        <f>IFERROR(INDEX(PRENOTAZIONI!$E:$E,SMALL(PRENOTAZIONI!$Y:$Y,8)),"")</f>
        <v>Andrea Tarozzi</v>
      </c>
      <c r="E11" s="34" t="str">
        <f>IFERROR(INDEX(PRENOTAZIONI!$F:$F,SMALL(PRENOTAZIONI!$Y:$Y,8)),"")</f>
        <v xml:space="preserve">2 ad </v>
      </c>
      <c r="F11" s="34" t="str">
        <f>IFERROR(INDEX(PRENOTAZIONI!$G:$G,SMALL(PRENOTAZIONI!$Y:$Y,8)),"")</f>
        <v>diretta</v>
      </c>
      <c r="G11" s="35">
        <f>IFERROR(INDEX(PRENOTAZIONI!$H:$H,SMALL(PRENOTAZIONI!$Y:$Y,8)),"")</f>
        <v>1000</v>
      </c>
      <c r="H11" s="146">
        <f t="shared" si="1"/>
        <v>100</v>
      </c>
      <c r="I11" s="35">
        <f t="shared" si="9"/>
        <v>0</v>
      </c>
      <c r="J11" s="149">
        <f t="shared" si="10"/>
        <v>22</v>
      </c>
      <c r="K11" s="34" t="str">
        <f>IFERROR(INDEX(PRENOTAZIONI!$K:$K,SMALL(PRENOTAZIONI!$Y:$Y,8)),"")</f>
        <v>contanti</v>
      </c>
      <c r="L11" s="35">
        <f>IFERROR(INDEX(PRENOTAZIONI!$L:$L,SMALL(PRENOTAZIONI!$Y:$Y,8)),"")</f>
        <v>20</v>
      </c>
      <c r="M11" s="150">
        <f t="shared" si="3"/>
        <v>210</v>
      </c>
      <c r="N11" s="35">
        <f t="shared" si="4"/>
        <v>250</v>
      </c>
      <c r="O11" s="35"/>
      <c r="P11" s="43"/>
      <c r="Q11" s="150">
        <f t="shared" si="5"/>
        <v>518</v>
      </c>
      <c r="R11" s="47">
        <f>IFERROR(INDEX(PRENOTAZIONI!$R:$R,SMALL(PRENOTAZIONI!$Y:$Y,8)),"")</f>
        <v>0</v>
      </c>
      <c r="S11" s="101"/>
      <c r="T11" s="99" t="str">
        <f>IFERROR(INDEX(PRENOTAZIONI!$A:$A,SMALL(PRENOTAZIONI!$AM:$AM,8)),"")</f>
        <v/>
      </c>
      <c r="U11" s="31" t="str">
        <f>IFERROR(INDEX(PRENOTAZIONI!$B:$B,SMALL(PRENOTAZIONI!$AM:$AM,8)),"")</f>
        <v/>
      </c>
      <c r="V11" s="32" t="str">
        <f t="shared" si="6"/>
        <v/>
      </c>
      <c r="W11" s="34" t="str">
        <f>IFERROR(INDEX(PRENOTAZIONI!$E:$E,SMALL(PRENOTAZIONI!$AM:$AM,8)),"")</f>
        <v/>
      </c>
      <c r="X11" s="34" t="str">
        <f>IFERROR(INDEX(PRENOTAZIONI!$F:$F,SMALL(PRENOTAZIONI!$AM:$AM,8)),"")</f>
        <v/>
      </c>
      <c r="Y11" s="35" t="str">
        <f>IFERROR(INDEX(PRENOTAZIONI!$H:$H,SMALL(PRENOTAZIONI!$AM:$AM,8)),"")</f>
        <v/>
      </c>
      <c r="Z11" s="34" t="str">
        <f>IFERROR(INDEX(PRENOTAZIONI!$K:$K,SMALL(PRENOTAZIONI!$AM:$AM,8)),"")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SUMPRODUCT((MONTH(PRENOTAZIONI!$A$3:$A$262)=8)*(YEAR(PRENOTAZIONI!$A$3:$A$262)=2026)*(PRENOTAZIONI!$D$3:$D$262="Miramare"))</f>
        <v>3</v>
      </c>
      <c r="AI11" s="114">
        <f>SUMPRODUCT((PRENOTAZIONI!$A$3:$A$262&lt;DATE(2026,9,1))*(PRENOTAZIONI!$B$3:$B$262&gt;DATE(2026,8,1))*(YEAR(PRENOTAZIONI!$A$3:$A$262)=2026)*(PRENOTAZIONI!$D$3:$D$262="Miramare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24</v>
      </c>
      <c r="AJ11" s="151">
        <f>SUMIF(A4:A33,"&gt;="&amp;DATE(2026,8,1),G4:G33)-SUMIF(A4:A33,"&gt;="&amp;DATE(2026,9,1),G4:G33)</f>
        <v>2834.36</v>
      </c>
      <c r="AK11" s="151">
        <f>SUMIF(A4:A33,"&gt;="&amp;DATE(2026,8,1),I4:I33)-SUMIF(A4:A33,"&gt;="&amp;DATE(2026,9,1),I4:I33)</f>
        <v>275.154</v>
      </c>
      <c r="AL11" s="151">
        <f>SUMIF(A4:A33,"&gt;="&amp;DATE(2026,8,1),L4:L33)-SUMIF(A4:A33,"&gt;="&amp;DATE(2026,9,1),L4:L33)</f>
        <v>34</v>
      </c>
      <c r="AM11" s="151">
        <f>SUMIF(A4:A33,"&gt;="&amp;DATE(2026,8,1),N4:N33)-SUMIF(A4:A33,"&gt;="&amp;DATE(2026,9,1),N4:N33)</f>
        <v>708.59</v>
      </c>
      <c r="AN11" s="152">
        <f>SUMIF(A4:A33,"&gt;="&amp;DATE(2026,8,1),M4:M33)-SUMIF(A4:A33,"&gt;="&amp;DATE(2026,9,1),M4:M33)</f>
        <v>595.21559999999999</v>
      </c>
      <c r="AO11" s="152">
        <f>SUMIF(A4:A33,"&gt;="&amp;DATE(2026,8,1),J4:J33)-SUMIF(A4:A33,"&gt;="&amp;DATE(2026,9,1),J4:J33)</f>
        <v>79.651314285714278</v>
      </c>
      <c r="AP11" s="153">
        <f>SUMIF(A4:A33,"&gt;="&amp;DATE(2026,8,1),Q4:Q33)-SUMIF(A4:A33,"&gt;="&amp;DATE(2026,9,1),Q4:Q33)</f>
        <v>1175.7490857142857</v>
      </c>
    </row>
    <row r="12" spans="1:60" ht="20" customHeight="1" x14ac:dyDescent="0.2">
      <c r="A12" s="31">
        <f>IFERROR(INDEX(PRENOTAZIONI!$A:$A,SMALL(PRENOTAZIONI!$Y:$Y,9)),"")</f>
        <v>46253</v>
      </c>
      <c r="B12" s="31">
        <f>IFERROR(INDEX(PRENOTAZIONI!$B:$B,SMALL(PRENOTAZIONI!$Y:$Y,9)),"")</f>
        <v>46260</v>
      </c>
      <c r="C12" s="32">
        <f t="shared" si="0"/>
        <v>7</v>
      </c>
      <c r="D12" s="34" t="str">
        <f>IFERROR(INDEX(PRENOTAZIONI!$E:$E,SMALL(PRENOTAZIONI!$Y:$Y,9)),"")</f>
        <v>Lara Olivieri</v>
      </c>
      <c r="E12" s="34" t="str">
        <f>IFERROR(INDEX(PRENOTAZIONI!$F:$F,SMALL(PRENOTAZIONI!$Y:$Y,9)),"")</f>
        <v>2 ad + 2 b</v>
      </c>
      <c r="F12" s="34" t="str">
        <f>IFERROR(INDEX(PRENOTAZIONI!$G:$G,SMALL(PRENOTAZIONI!$Y:$Y,9)),"")</f>
        <v>booking.com</v>
      </c>
      <c r="G12" s="35">
        <f>IFERROR(INDEX(PRENOTAZIONI!$H:$H,SMALL(PRENOTAZIONI!$Y:$Y,9)),"")</f>
        <v>1003.6</v>
      </c>
      <c r="H12" s="146">
        <f t="shared" si="1"/>
        <v>143.37142857142857</v>
      </c>
      <c r="I12" s="35">
        <f t="shared" si="9"/>
        <v>150.54</v>
      </c>
      <c r="J12" s="149">
        <f t="shared" si="10"/>
        <v>31.541714285714285</v>
      </c>
      <c r="K12" s="34">
        <f>IFERROR(INDEX(PRENOTAZIONI!$K:$K,SMALL(PRENOTAZIONI!$Y:$Y,9)),"")</f>
        <v>0</v>
      </c>
      <c r="L12" s="35">
        <f>IFERROR(INDEX(PRENOTAZIONI!$L:$L,SMALL(PRENOTAZIONI!$Y:$Y,9)),"")</f>
        <v>0</v>
      </c>
      <c r="M12" s="150">
        <f t="shared" si="3"/>
        <v>210.756</v>
      </c>
      <c r="N12" s="35">
        <f t="shared" si="4"/>
        <v>250.9</v>
      </c>
      <c r="O12" s="35"/>
      <c r="P12" s="43"/>
      <c r="Q12" s="150">
        <f t="shared" si="5"/>
        <v>359.8622857142858</v>
      </c>
      <c r="R12" s="47">
        <f>IFERROR(INDEX(PRENOTAZIONI!$R:$R,SMALL(PRENOTAZIONI!$Y:$Y,9)),"")</f>
        <v>0</v>
      </c>
      <c r="S12" s="101"/>
      <c r="T12" s="99" t="str">
        <f>IFERROR(INDEX(PRENOTAZIONI!$A:$A,SMALL(PRENOTAZIONI!$AM:$AM,9)),"")</f>
        <v/>
      </c>
      <c r="U12" s="31" t="str">
        <f>IFERROR(INDEX(PRENOTAZIONI!$B:$B,SMALL(PRENOTAZIONI!$AM:$AM,9)),"")</f>
        <v/>
      </c>
      <c r="V12" s="32" t="str">
        <f t="shared" si="6"/>
        <v/>
      </c>
      <c r="W12" s="34" t="str">
        <f>IFERROR(INDEX(PRENOTAZIONI!$E:$E,SMALL(PRENOTAZIONI!$AM:$AM,9)),"")</f>
        <v/>
      </c>
      <c r="X12" s="34" t="str">
        <f>IFERROR(INDEX(PRENOTAZIONI!$F:$F,SMALL(PRENOTAZIONI!$AM:$AM,9)),"")</f>
        <v/>
      </c>
      <c r="Y12" s="35" t="str">
        <f>IFERROR(INDEX(PRENOTAZIONI!$H:$H,SMALL(PRENOTAZIONI!$AM:$AM,9)),"")</f>
        <v/>
      </c>
      <c r="Z12" s="34" t="str">
        <f>IFERROR(INDEX(PRENOTAZIONI!$K:$K,SMALL(PRENOTAZIONI!$AM:$AM,9)),"")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SUMPRODUCT((MONTH(PRENOTAZIONI!$A$3:$A$262)=9)*(YEAR(PRENOTAZIONI!$A$3:$A$262)=2026)*(PRENOTAZIONI!$D$3:$D$262="Miramare"))</f>
        <v>0</v>
      </c>
      <c r="AI12" s="114">
        <f>SUMPRODUCT((PRENOTAZIONI!$A$3:$A$262&lt;DATE(2026,10,1))*(PRENOTAZIONI!$B$3:$B$262&gt;DATE(2026,9,1))*(YEAR(PRENOTAZIONI!$A$3:$A$262)=2026)*(PRENOTAZIONI!$D$3:$D$262="Miramare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IFERROR(INDEX(PRENOTAZIONI!$A:$A,SMALL(PRENOTAZIONI!$Y:$Y,10)),"")</f>
        <v/>
      </c>
      <c r="B13" s="31" t="str">
        <f>IFERROR(INDEX(PRENOTAZIONI!$B:$B,SMALL(PRENOTAZIONI!$Y:$Y,10)),"")</f>
        <v/>
      </c>
      <c r="C13" s="32" t="str">
        <f t="shared" si="0"/>
        <v/>
      </c>
      <c r="D13" s="34" t="str">
        <f>IFERROR(INDEX(PRENOTAZIONI!$E:$E,SMALL(PRENOTAZIONI!$Y:$Y,10)),"")</f>
        <v/>
      </c>
      <c r="E13" s="34" t="str">
        <f>IFERROR(INDEX(PRENOTAZIONI!$F:$F,SMALL(PRENOTAZIONI!$Y:$Y,10)),"")</f>
        <v/>
      </c>
      <c r="F13" s="34" t="str">
        <f>IFERROR(INDEX(PRENOTAZIONI!$G:$G,SMALL(PRENOTAZIONI!$Y:$Y,10)),"")</f>
        <v/>
      </c>
      <c r="G13" s="35" t="str">
        <f>IFERROR(INDEX(PRENOTAZIONI!$H:$H,SMALL(PRENOTAZIONI!$Y:$Y,10)),"")</f>
        <v/>
      </c>
      <c r="H13" s="146" t="str">
        <f t="shared" si="1"/>
        <v/>
      </c>
      <c r="I13" s="35" t="str">
        <f t="shared" si="9"/>
        <v/>
      </c>
      <c r="J13" s="149" t="str">
        <f t="shared" si="10"/>
        <v/>
      </c>
      <c r="K13" s="34" t="str">
        <f>IFERROR(INDEX(PRENOTAZIONI!$K:$K,SMALL(PRENOTAZIONI!$Y:$Y,10)),"")</f>
        <v/>
      </c>
      <c r="L13" s="35" t="str">
        <f>IFERROR(INDEX(PRENOTAZIONI!$L:$L,SMALL(PRENOTAZIONI!$Y:$Y,10)),"")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47" t="str">
        <f>IFERROR(INDEX(PRENOTAZIONI!$R:$R,SMALL(PRENOTAZIONI!$Y:$Y,10)),"")</f>
        <v/>
      </c>
      <c r="S13" s="101"/>
      <c r="T13" s="99" t="str">
        <f>IFERROR(INDEX(PRENOTAZIONI!$A:$A,SMALL(PRENOTAZIONI!$AM:$AM,10)),"")</f>
        <v/>
      </c>
      <c r="U13" s="31" t="str">
        <f>IFERROR(INDEX(PRENOTAZIONI!$B:$B,SMALL(PRENOTAZIONI!$AM:$AM,10)),"")</f>
        <v/>
      </c>
      <c r="V13" s="32" t="str">
        <f t="shared" si="6"/>
        <v/>
      </c>
      <c r="W13" s="34" t="str">
        <f>IFERROR(INDEX(PRENOTAZIONI!$E:$E,SMALL(PRENOTAZIONI!$AM:$AM,10)),"")</f>
        <v/>
      </c>
      <c r="X13" s="34" t="str">
        <f>IFERROR(INDEX(PRENOTAZIONI!$F:$F,SMALL(PRENOTAZIONI!$AM:$AM,10)),"")</f>
        <v/>
      </c>
      <c r="Y13" s="35" t="str">
        <f>IFERROR(INDEX(PRENOTAZIONI!$H:$H,SMALL(PRENOTAZIONI!$AM:$AM,10)),"")</f>
        <v/>
      </c>
      <c r="Z13" s="34" t="str">
        <f>IFERROR(INDEX(PRENOTAZIONI!$K:$K,SMALL(PRENOTAZIONI!$AM:$AM,10)),"")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SUMPRODUCT((MONTH(PRENOTAZIONI!$A$3:$A$262)=10)*(YEAR(PRENOTAZIONI!$A$3:$A$262)=2026)*(PRENOTAZIONI!$D$3:$D$262="Miramare"))</f>
        <v>0</v>
      </c>
      <c r="AI13" s="114">
        <f>SUMPRODUCT((PRENOTAZIONI!$A$3:$A$262&lt;DATE(2026,11,1))*(PRENOTAZIONI!$B$3:$B$262&gt;DATE(2026,10,1))*(YEAR(PRENOTAZIONI!$A$3:$A$262)=2026)*(PRENOTAZIONI!$D$3:$D$262="Miramare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IFERROR(INDEX(PRENOTAZIONI!$A:$A,SMALL(PRENOTAZIONI!$Y:$Y,11)),"")</f>
        <v/>
      </c>
      <c r="B14" s="31" t="str">
        <f>IFERROR(INDEX(PRENOTAZIONI!$B:$B,SMALL(PRENOTAZIONI!$Y:$Y,11)),"")</f>
        <v/>
      </c>
      <c r="C14" s="32" t="str">
        <f t="shared" si="0"/>
        <v/>
      </c>
      <c r="D14" s="34" t="str">
        <f>IFERROR(INDEX(PRENOTAZIONI!$E:$E,SMALL(PRENOTAZIONI!$Y:$Y,11)),"")</f>
        <v/>
      </c>
      <c r="E14" s="34" t="str">
        <f>IFERROR(INDEX(PRENOTAZIONI!$F:$F,SMALL(PRENOTAZIONI!$Y:$Y,11)),"")</f>
        <v/>
      </c>
      <c r="F14" s="34" t="str">
        <f>IFERROR(INDEX(PRENOTAZIONI!$G:$G,SMALL(PRENOTAZIONI!$Y:$Y,11)),"")</f>
        <v/>
      </c>
      <c r="G14" s="35" t="str">
        <f>IFERROR(INDEX(PRENOTAZIONI!$H:$H,SMALL(PRENOTAZIONI!$Y:$Y,11)),"")</f>
        <v/>
      </c>
      <c r="H14" s="146" t="str">
        <f t="shared" si="1"/>
        <v/>
      </c>
      <c r="I14" s="35" t="str">
        <f t="shared" si="9"/>
        <v/>
      </c>
      <c r="J14" s="149" t="str">
        <f t="shared" si="10"/>
        <v/>
      </c>
      <c r="K14" s="34" t="str">
        <f>IFERROR(INDEX(PRENOTAZIONI!$K:$K,SMALL(PRENOTAZIONI!$Y:$Y,11)),"")</f>
        <v/>
      </c>
      <c r="L14" s="35" t="str">
        <f>IFERROR(INDEX(PRENOTAZIONI!$L:$L,SMALL(PRENOTAZIONI!$Y:$Y,11)),"")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47" t="str">
        <f>IFERROR(INDEX(PRENOTAZIONI!$R:$R,SMALL(PRENOTAZIONI!$Y:$Y,11)),"")</f>
        <v/>
      </c>
      <c r="S14" s="101"/>
      <c r="T14" s="99" t="str">
        <f>IFERROR(INDEX(PRENOTAZIONI!$A:$A,SMALL(PRENOTAZIONI!$AM:$AM,11)),"")</f>
        <v/>
      </c>
      <c r="U14" s="31" t="str">
        <f>IFERROR(INDEX(PRENOTAZIONI!$B:$B,SMALL(PRENOTAZIONI!$AM:$AM,11)),"")</f>
        <v/>
      </c>
      <c r="V14" s="32" t="str">
        <f t="shared" si="6"/>
        <v/>
      </c>
      <c r="W14" s="34" t="str">
        <f>IFERROR(INDEX(PRENOTAZIONI!$E:$E,SMALL(PRENOTAZIONI!$AM:$AM,11)),"")</f>
        <v/>
      </c>
      <c r="X14" s="34" t="str">
        <f>IFERROR(INDEX(PRENOTAZIONI!$F:$F,SMALL(PRENOTAZIONI!$AM:$AM,11)),"")</f>
        <v/>
      </c>
      <c r="Y14" s="35" t="str">
        <f>IFERROR(INDEX(PRENOTAZIONI!$H:$H,SMALL(PRENOTAZIONI!$AM:$AM,11)),"")</f>
        <v/>
      </c>
      <c r="Z14" s="34" t="str">
        <f>IFERROR(INDEX(PRENOTAZIONI!$K:$K,SMALL(PRENOTAZIONI!$AM:$AM,11)),"")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SUMPRODUCT((MONTH(PRENOTAZIONI!$A$3:$A$262)=11)*(YEAR(PRENOTAZIONI!$A$3:$A$262)=2026)*(PRENOTAZIONI!$D$3:$D$262="Miramare"))</f>
        <v>0</v>
      </c>
      <c r="AI14" s="114">
        <f>SUMPRODUCT((PRENOTAZIONI!$A$3:$A$262&lt;DATE(2026,12,1))*(PRENOTAZIONI!$B$3:$B$262&gt;DATE(2026,11,1))*(YEAR(PRENOTAZIONI!$A$3:$A$262)=2026)*(PRENOTAZIONI!$D$3:$D$262="Miramare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IFERROR(INDEX(PRENOTAZIONI!$A:$A,SMALL(PRENOTAZIONI!$Y:$Y,12)),"")</f>
        <v/>
      </c>
      <c r="B15" s="31" t="str">
        <f>IFERROR(INDEX(PRENOTAZIONI!$B:$B,SMALL(PRENOTAZIONI!$Y:$Y,12)),"")</f>
        <v/>
      </c>
      <c r="C15" s="32" t="str">
        <f t="shared" si="0"/>
        <v/>
      </c>
      <c r="D15" s="34" t="str">
        <f>IFERROR(INDEX(PRENOTAZIONI!$E:$E,SMALL(PRENOTAZIONI!$Y:$Y,12)),"")</f>
        <v/>
      </c>
      <c r="E15" s="34" t="str">
        <f>IFERROR(INDEX(PRENOTAZIONI!$F:$F,SMALL(PRENOTAZIONI!$Y:$Y,12)),"")</f>
        <v/>
      </c>
      <c r="F15" s="34" t="str">
        <f>IFERROR(INDEX(PRENOTAZIONI!$G:$G,SMALL(PRENOTAZIONI!$Y:$Y,12)),"")</f>
        <v/>
      </c>
      <c r="G15" s="35" t="str">
        <f>IFERROR(INDEX(PRENOTAZIONI!$H:$H,SMALL(PRENOTAZIONI!$Y:$Y,12)),"")</f>
        <v/>
      </c>
      <c r="H15" s="146" t="str">
        <f t="shared" si="1"/>
        <v/>
      </c>
      <c r="I15" s="35" t="str">
        <f t="shared" si="9"/>
        <v/>
      </c>
      <c r="J15" s="149" t="str">
        <f t="shared" si="10"/>
        <v/>
      </c>
      <c r="K15" s="34" t="str">
        <f>IFERROR(INDEX(PRENOTAZIONI!$K:$K,SMALL(PRENOTAZIONI!$Y:$Y,12)),"")</f>
        <v/>
      </c>
      <c r="L15" s="35" t="str">
        <f>IFERROR(INDEX(PRENOTAZIONI!$L:$L,SMALL(PRENOTAZIONI!$Y:$Y,12)),"")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47" t="str">
        <f>IFERROR(INDEX(PRENOTAZIONI!$R:$R,SMALL(PRENOTAZIONI!$Y:$Y,12)),"")</f>
        <v/>
      </c>
      <c r="S15" s="101"/>
      <c r="T15" s="99" t="str">
        <f>IFERROR(INDEX(PRENOTAZIONI!$A:$A,SMALL(PRENOTAZIONI!$AM:$AM,12)),"")</f>
        <v/>
      </c>
      <c r="U15" s="31" t="str">
        <f>IFERROR(INDEX(PRENOTAZIONI!$B:$B,SMALL(PRENOTAZIONI!$AM:$AM,12)),"")</f>
        <v/>
      </c>
      <c r="V15" s="32" t="str">
        <f t="shared" si="6"/>
        <v/>
      </c>
      <c r="W15" s="34" t="str">
        <f>IFERROR(INDEX(PRENOTAZIONI!$E:$E,SMALL(PRENOTAZIONI!$AM:$AM,12)),"")</f>
        <v/>
      </c>
      <c r="X15" s="34" t="str">
        <f>IFERROR(INDEX(PRENOTAZIONI!$F:$F,SMALL(PRENOTAZIONI!$AM:$AM,12)),"")</f>
        <v/>
      </c>
      <c r="Y15" s="35" t="str">
        <f>IFERROR(INDEX(PRENOTAZIONI!$H:$H,SMALL(PRENOTAZIONI!$AM:$AM,12)),"")</f>
        <v/>
      </c>
      <c r="Z15" s="34" t="str">
        <f>IFERROR(INDEX(PRENOTAZIONI!$K:$K,SMALL(PRENOTAZIONI!$AM:$AM,12)),"")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SUMPRODUCT((MONTH(PRENOTAZIONI!$A$3:$A$262)=12)*(YEAR(PRENOTAZIONI!$A$3:$A$262)=2026)*(PRENOTAZIONI!$D$3:$D$262="Miramare"))</f>
        <v>0</v>
      </c>
      <c r="AI15" s="114">
        <f>SUMPRODUCT((PRENOTAZIONI!$A$3:$A$262&lt;DATE(2027,1,1))*(PRENOTAZIONI!$B$3:$B$262&gt;DATE(2026,12,1))*(YEAR(PRENOTAZIONI!$A$3:$A$262)=2026)*(PRENOTAZIONI!$D$3:$D$262="Miramare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IFERROR(INDEX(PRENOTAZIONI!$A:$A,SMALL(PRENOTAZIONI!$Y:$Y,13)),"")</f>
        <v/>
      </c>
      <c r="B16" s="31" t="str">
        <f>IFERROR(INDEX(PRENOTAZIONI!$B:$B,SMALL(PRENOTAZIONI!$Y:$Y,13)),"")</f>
        <v/>
      </c>
      <c r="C16" s="32" t="str">
        <f t="shared" si="0"/>
        <v/>
      </c>
      <c r="D16" s="34" t="str">
        <f>IFERROR(INDEX(PRENOTAZIONI!$E:$E,SMALL(PRENOTAZIONI!$Y:$Y,13)),"")</f>
        <v/>
      </c>
      <c r="E16" s="34" t="str">
        <f>IFERROR(INDEX(PRENOTAZIONI!$F:$F,SMALL(PRENOTAZIONI!$Y:$Y,13)),"")</f>
        <v/>
      </c>
      <c r="F16" s="34" t="str">
        <f>IFERROR(INDEX(PRENOTAZIONI!$G:$G,SMALL(PRENOTAZIONI!$Y:$Y,13)),"")</f>
        <v/>
      </c>
      <c r="G16" s="35" t="str">
        <f>IFERROR(INDEX(PRENOTAZIONI!$H:$H,SMALL(PRENOTAZIONI!$Y:$Y,13)),"")</f>
        <v/>
      </c>
      <c r="H16" s="146" t="str">
        <f t="shared" si="1"/>
        <v/>
      </c>
      <c r="I16" s="35" t="str">
        <f t="shared" si="9"/>
        <v/>
      </c>
      <c r="J16" s="149" t="str">
        <f t="shared" si="10"/>
        <v/>
      </c>
      <c r="K16" s="34" t="str">
        <f>IFERROR(INDEX(PRENOTAZIONI!$K:$K,SMALL(PRENOTAZIONI!$Y:$Y,13)),"")</f>
        <v/>
      </c>
      <c r="L16" s="35" t="str">
        <f>IFERROR(INDEX(PRENOTAZIONI!$L:$L,SMALL(PRENOTAZIONI!$Y:$Y,13)),"")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47" t="str">
        <f>IFERROR(INDEX(PRENOTAZIONI!$R:$R,SMALL(PRENOTAZIONI!$Y:$Y,13)),"")</f>
        <v/>
      </c>
      <c r="S16" s="101"/>
      <c r="T16" s="99" t="str">
        <f>IFERROR(INDEX(PRENOTAZIONI!$A:$A,SMALL(PRENOTAZIONI!$AM:$AM,13)),"")</f>
        <v/>
      </c>
      <c r="U16" s="31" t="str">
        <f>IFERROR(INDEX(PRENOTAZIONI!$B:$B,SMALL(PRENOTAZIONI!$AM:$AM,13)),"")</f>
        <v/>
      </c>
      <c r="V16" s="32" t="str">
        <f t="shared" si="6"/>
        <v/>
      </c>
      <c r="W16" s="34" t="str">
        <f>IFERROR(INDEX(PRENOTAZIONI!$E:$E,SMALL(PRENOTAZIONI!$AM:$AM,13)),"")</f>
        <v/>
      </c>
      <c r="X16" s="34" t="str">
        <f>IFERROR(INDEX(PRENOTAZIONI!$F:$F,SMALL(PRENOTAZIONI!$AM:$AM,13)),"")</f>
        <v/>
      </c>
      <c r="Y16" s="35" t="str">
        <f>IFERROR(INDEX(PRENOTAZIONI!$H:$H,SMALL(PRENOTAZIONI!$AM:$AM,13)),"")</f>
        <v/>
      </c>
      <c r="Z16" s="34" t="str">
        <f>IFERROR(INDEX(PRENOTAZIONI!$K:$K,SMALL(PRENOTAZIONI!$AM:$AM,13)),"")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225">
        <f t="shared" ref="AH16:AP16" si="11">SUM(AH4:AH15)</f>
        <v>9</v>
      </c>
      <c r="AI16" s="225">
        <f t="shared" si="11"/>
        <v>63</v>
      </c>
      <c r="AJ16" s="116">
        <f t="shared" si="11"/>
        <v>7170.130000000001</v>
      </c>
      <c r="AK16" s="116">
        <f t="shared" si="11"/>
        <v>573.91949999999997</v>
      </c>
      <c r="AL16" s="116">
        <f t="shared" si="11"/>
        <v>127</v>
      </c>
      <c r="AM16" s="116">
        <f t="shared" si="11"/>
        <v>1792.5325000000003</v>
      </c>
      <c r="AN16" s="116">
        <f t="shared" si="11"/>
        <v>1505.7273</v>
      </c>
      <c r="AO16" s="117">
        <f t="shared" si="11"/>
        <v>145.37972428571427</v>
      </c>
      <c r="AP16" s="117">
        <f t="shared" si="11"/>
        <v>3092.5709757142859</v>
      </c>
    </row>
    <row r="17" spans="1:42" ht="22" customHeight="1" x14ac:dyDescent="0.2">
      <c r="A17" s="31" t="str">
        <f>IFERROR(INDEX(PRENOTAZIONI!$A:$A,SMALL(PRENOTAZIONI!$Y:$Y,14)),"")</f>
        <v/>
      </c>
      <c r="B17" s="31" t="str">
        <f>IFERROR(INDEX(PRENOTAZIONI!$B:$B,SMALL(PRENOTAZIONI!$Y:$Y,14)),"")</f>
        <v/>
      </c>
      <c r="C17" s="32" t="str">
        <f t="shared" si="0"/>
        <v/>
      </c>
      <c r="D17" s="34" t="str">
        <f>IFERROR(INDEX(PRENOTAZIONI!$E:$E,SMALL(PRENOTAZIONI!$Y:$Y,14)),"")</f>
        <v/>
      </c>
      <c r="E17" s="34" t="str">
        <f>IFERROR(INDEX(PRENOTAZIONI!$F:$F,SMALL(PRENOTAZIONI!$Y:$Y,14)),"")</f>
        <v/>
      </c>
      <c r="F17" s="34" t="str">
        <f>IFERROR(INDEX(PRENOTAZIONI!$G:$G,SMALL(PRENOTAZIONI!$Y:$Y,14)),"")</f>
        <v/>
      </c>
      <c r="G17" s="35" t="str">
        <f>IFERROR(INDEX(PRENOTAZIONI!$H:$H,SMALL(PRENOTAZIONI!$Y:$Y,14)),"")</f>
        <v/>
      </c>
      <c r="H17" s="146" t="str">
        <f t="shared" si="1"/>
        <v/>
      </c>
      <c r="I17" s="35" t="str">
        <f t="shared" si="9"/>
        <v/>
      </c>
      <c r="J17" s="149" t="str">
        <f t="shared" si="10"/>
        <v/>
      </c>
      <c r="K17" s="34" t="str">
        <f>IFERROR(INDEX(PRENOTAZIONI!$K:$K,SMALL(PRENOTAZIONI!$Y:$Y,14)),"")</f>
        <v/>
      </c>
      <c r="L17" s="35" t="str">
        <f>IFERROR(INDEX(PRENOTAZIONI!$L:$L,SMALL(PRENOTAZIONI!$Y:$Y,14)),"")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47" t="str">
        <f>IFERROR(INDEX(PRENOTAZIONI!$R:$R,SMALL(PRENOTAZIONI!$Y:$Y,14)),"")</f>
        <v/>
      </c>
      <c r="S17" s="101"/>
      <c r="T17" s="99" t="str">
        <f>IFERROR(INDEX(PRENOTAZIONI!$A:$A,SMALL(PRENOTAZIONI!$AM:$AM,14)),"")</f>
        <v/>
      </c>
      <c r="U17" s="31" t="str">
        <f>IFERROR(INDEX(PRENOTAZIONI!$B:$B,SMALL(PRENOTAZIONI!$AM:$AM,14)),"")</f>
        <v/>
      </c>
      <c r="V17" s="32" t="str">
        <f t="shared" si="6"/>
        <v/>
      </c>
      <c r="W17" s="34" t="str">
        <f>IFERROR(INDEX(PRENOTAZIONI!$E:$E,SMALL(PRENOTAZIONI!$AM:$AM,14)),"")</f>
        <v/>
      </c>
      <c r="X17" s="34" t="str">
        <f>IFERROR(INDEX(PRENOTAZIONI!$F:$F,SMALL(PRENOTAZIONI!$AM:$AM,14)),"")</f>
        <v/>
      </c>
      <c r="Y17" s="35" t="str">
        <f>IFERROR(INDEX(PRENOTAZIONI!$H:$H,SMALL(PRENOTAZIONI!$AM:$AM,14)),"")</f>
        <v/>
      </c>
      <c r="Z17" s="34" t="str">
        <f>IFERROR(INDEX(PRENOTAZIONI!$K:$K,SMALL(PRENOTAZIONI!$AM:$AM,14)),"")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IFERROR(INDEX(PRENOTAZIONI!$A:$A,SMALL(PRENOTAZIONI!$Y:$Y,15)),"")</f>
        <v/>
      </c>
      <c r="B18" s="31" t="str">
        <f>IFERROR(INDEX(PRENOTAZIONI!$B:$B,SMALL(PRENOTAZIONI!$Y:$Y,15)),"")</f>
        <v/>
      </c>
      <c r="C18" s="32" t="str">
        <f t="shared" si="0"/>
        <v/>
      </c>
      <c r="D18" s="34" t="str">
        <f>IFERROR(INDEX(PRENOTAZIONI!$E:$E,SMALL(PRENOTAZIONI!$Y:$Y,15)),"")</f>
        <v/>
      </c>
      <c r="E18" s="34" t="str">
        <f>IFERROR(INDEX(PRENOTAZIONI!$F:$F,SMALL(PRENOTAZIONI!$Y:$Y,15)),"")</f>
        <v/>
      </c>
      <c r="F18" s="34" t="str">
        <f>IFERROR(INDEX(PRENOTAZIONI!$G:$G,SMALL(PRENOTAZIONI!$Y:$Y,15)),"")</f>
        <v/>
      </c>
      <c r="G18" s="35" t="str">
        <f>IFERROR(INDEX(PRENOTAZIONI!$H:$H,SMALL(PRENOTAZIONI!$Y:$Y,15)),"")</f>
        <v/>
      </c>
      <c r="H18" s="146" t="str">
        <f t="shared" si="1"/>
        <v/>
      </c>
      <c r="I18" s="35" t="str">
        <f t="shared" si="9"/>
        <v/>
      </c>
      <c r="J18" s="149" t="str">
        <f t="shared" si="10"/>
        <v/>
      </c>
      <c r="K18" s="34" t="str">
        <f>IFERROR(INDEX(PRENOTAZIONI!$K:$K,SMALL(PRENOTAZIONI!$Y:$Y,15)),"")</f>
        <v/>
      </c>
      <c r="L18" s="35" t="str">
        <f>IFERROR(INDEX(PRENOTAZIONI!$L:$L,SMALL(PRENOTAZIONI!$Y:$Y,15)),"")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47" t="str">
        <f>IFERROR(INDEX(PRENOTAZIONI!$R:$R,SMALL(PRENOTAZIONI!$Y:$Y,15)),"")</f>
        <v/>
      </c>
      <c r="S18" s="101"/>
      <c r="T18" s="99" t="str">
        <f>IFERROR(INDEX(PRENOTAZIONI!$A:$A,SMALL(PRENOTAZIONI!$AM:$AM,15)),"")</f>
        <v/>
      </c>
      <c r="U18" s="31" t="str">
        <f>IFERROR(INDEX(PRENOTAZIONI!$B:$B,SMALL(PRENOTAZIONI!$AM:$AM,15)),"")</f>
        <v/>
      </c>
      <c r="V18" s="32" t="str">
        <f t="shared" si="6"/>
        <v/>
      </c>
      <c r="W18" s="34" t="str">
        <f>IFERROR(INDEX(PRENOTAZIONI!$E:$E,SMALL(PRENOTAZIONI!$AM:$AM,15)),"")</f>
        <v/>
      </c>
      <c r="X18" s="34" t="str">
        <f>IFERROR(INDEX(PRENOTAZIONI!$F:$F,SMALL(PRENOTAZIONI!$AM:$AM,15)),"")</f>
        <v/>
      </c>
      <c r="Y18" s="35" t="str">
        <f>IFERROR(INDEX(PRENOTAZIONI!$H:$H,SMALL(PRENOTAZIONI!$AM:$AM,15)),"")</f>
        <v/>
      </c>
      <c r="Z18" s="34" t="str">
        <f>IFERROR(INDEX(PRENOTAZIONI!$K:$K,SMALL(PRENOTAZIONI!$AM:$AM,15)),"")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IFERROR(INDEX(PRENOTAZIONI!$A:$A,SMALL(PRENOTAZIONI!$Y:$Y,16)),"")</f>
        <v/>
      </c>
      <c r="B19" s="31" t="str">
        <f>IFERROR(INDEX(PRENOTAZIONI!$B:$B,SMALL(PRENOTAZIONI!$Y:$Y,16)),"")</f>
        <v/>
      </c>
      <c r="C19" s="32" t="str">
        <f t="shared" si="0"/>
        <v/>
      </c>
      <c r="D19" s="34" t="str">
        <f>IFERROR(INDEX(PRENOTAZIONI!$E:$E,SMALL(PRENOTAZIONI!$Y:$Y,16)),"")</f>
        <v/>
      </c>
      <c r="E19" s="34" t="str">
        <f>IFERROR(INDEX(PRENOTAZIONI!$F:$F,SMALL(PRENOTAZIONI!$Y:$Y,16)),"")</f>
        <v/>
      </c>
      <c r="F19" s="34" t="str">
        <f>IFERROR(INDEX(PRENOTAZIONI!$G:$G,SMALL(PRENOTAZIONI!$Y:$Y,16)),"")</f>
        <v/>
      </c>
      <c r="G19" s="35" t="str">
        <f>IFERROR(INDEX(PRENOTAZIONI!$H:$H,SMALL(PRENOTAZIONI!$Y:$Y,16)),"")</f>
        <v/>
      </c>
      <c r="H19" s="146" t="str">
        <f t="shared" si="1"/>
        <v/>
      </c>
      <c r="I19" s="35" t="str">
        <f t="shared" si="9"/>
        <v/>
      </c>
      <c r="J19" s="149" t="str">
        <f t="shared" si="10"/>
        <v/>
      </c>
      <c r="K19" s="34" t="str">
        <f>IFERROR(INDEX(PRENOTAZIONI!$K:$K,SMALL(PRENOTAZIONI!$Y:$Y,16)),"")</f>
        <v/>
      </c>
      <c r="L19" s="35" t="str">
        <f>IFERROR(INDEX(PRENOTAZIONI!$L:$L,SMALL(PRENOTAZIONI!$Y:$Y,16)),"")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47" t="str">
        <f>IFERROR(INDEX(PRENOTAZIONI!$R:$R,SMALL(PRENOTAZIONI!$Y:$Y,16)),"")</f>
        <v/>
      </c>
      <c r="S19" s="101"/>
      <c r="T19" s="99" t="str">
        <f>IFERROR(INDEX(PRENOTAZIONI!$A:$A,SMALL(PRENOTAZIONI!$AM:$AM,16)),"")</f>
        <v/>
      </c>
      <c r="U19" s="31" t="str">
        <f>IFERROR(INDEX(PRENOTAZIONI!$B:$B,SMALL(PRENOTAZIONI!$AM:$AM,16)),"")</f>
        <v/>
      </c>
      <c r="V19" s="32" t="str">
        <f t="shared" si="6"/>
        <v/>
      </c>
      <c r="W19" s="34" t="str">
        <f>IFERROR(INDEX(PRENOTAZIONI!$E:$E,SMALL(PRENOTAZIONI!$AM:$AM,16)),"")</f>
        <v/>
      </c>
      <c r="X19" s="34" t="str">
        <f>IFERROR(INDEX(PRENOTAZIONI!$F:$F,SMALL(PRENOTAZIONI!$AM:$AM,16)),"")</f>
        <v/>
      </c>
      <c r="Y19" s="35" t="str">
        <f>IFERROR(INDEX(PRENOTAZIONI!$H:$H,SMALL(PRENOTAZIONI!$AM:$AM,16)),"")</f>
        <v/>
      </c>
      <c r="Z19" s="34" t="str">
        <f>IFERROR(INDEX(PRENOTAZIONI!$K:$K,SMALL(PRENOTAZIONI!$AM:$AM,16)),"")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IFERROR(INDEX(PRENOTAZIONI!$A:$A,SMALL(PRENOTAZIONI!$Y:$Y,17)),"")</f>
        <v/>
      </c>
      <c r="B20" s="31" t="str">
        <f>IFERROR(INDEX(PRENOTAZIONI!$B:$B,SMALL(PRENOTAZIONI!$Y:$Y,17)),"")</f>
        <v/>
      </c>
      <c r="C20" s="32" t="str">
        <f t="shared" si="0"/>
        <v/>
      </c>
      <c r="D20" s="34" t="str">
        <f>IFERROR(INDEX(PRENOTAZIONI!$E:$E,SMALL(PRENOTAZIONI!$Y:$Y,17)),"")</f>
        <v/>
      </c>
      <c r="E20" s="34" t="str">
        <f>IFERROR(INDEX(PRENOTAZIONI!$F:$F,SMALL(PRENOTAZIONI!$Y:$Y,17)),"")</f>
        <v/>
      </c>
      <c r="F20" s="34" t="str">
        <f>IFERROR(INDEX(PRENOTAZIONI!$G:$G,SMALL(PRENOTAZIONI!$Y:$Y,17)),"")</f>
        <v/>
      </c>
      <c r="G20" s="35" t="str">
        <f>IFERROR(INDEX(PRENOTAZIONI!$H:$H,SMALL(PRENOTAZIONI!$Y:$Y,17)),"")</f>
        <v/>
      </c>
      <c r="H20" s="146" t="str">
        <f t="shared" si="1"/>
        <v/>
      </c>
      <c r="I20" s="35" t="str">
        <f t="shared" si="9"/>
        <v/>
      </c>
      <c r="J20" s="149" t="str">
        <f t="shared" si="10"/>
        <v/>
      </c>
      <c r="K20" s="34" t="str">
        <f>IFERROR(INDEX(PRENOTAZIONI!$K:$K,SMALL(PRENOTAZIONI!$Y:$Y,17)),"")</f>
        <v/>
      </c>
      <c r="L20" s="35" t="str">
        <f>IFERROR(INDEX(PRENOTAZIONI!$L:$L,SMALL(PRENOTAZIONI!$Y:$Y,17)),"")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47" t="str">
        <f>IFERROR(INDEX(PRENOTAZIONI!$R:$R,SMALL(PRENOTAZIONI!$Y:$Y,17)),"")</f>
        <v/>
      </c>
      <c r="S20" s="101"/>
      <c r="T20" s="99" t="str">
        <f>IFERROR(INDEX(PRENOTAZIONI!$A:$A,SMALL(PRENOTAZIONI!$AM:$AM,17)),"")</f>
        <v/>
      </c>
      <c r="U20" s="31" t="str">
        <f>IFERROR(INDEX(PRENOTAZIONI!$B:$B,SMALL(PRENOTAZIONI!$AM:$AM,17)),"")</f>
        <v/>
      </c>
      <c r="V20" s="32" t="str">
        <f t="shared" si="6"/>
        <v/>
      </c>
      <c r="W20" s="34" t="str">
        <f>IFERROR(INDEX(PRENOTAZIONI!$E:$E,SMALL(PRENOTAZIONI!$AM:$AM,17)),"")</f>
        <v/>
      </c>
      <c r="X20" s="34" t="str">
        <f>IFERROR(INDEX(PRENOTAZIONI!$F:$F,SMALL(PRENOTAZIONI!$AM:$AM,17)),"")</f>
        <v/>
      </c>
      <c r="Y20" s="35" t="str">
        <f>IFERROR(INDEX(PRENOTAZIONI!$H:$H,SMALL(PRENOTAZIONI!$AM:$AM,17)),"")</f>
        <v/>
      </c>
      <c r="Z20" s="34" t="str">
        <f>IFERROR(INDEX(PRENOTAZIONI!$K:$K,SMALL(PRENOTAZIONI!$AM:$AM,17)),"")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IFERROR(INDEX(PRENOTAZIONI!$A:$A,SMALL(PRENOTAZIONI!$Y:$Y,18)),"")</f>
        <v/>
      </c>
      <c r="B21" s="31" t="str">
        <f>IFERROR(INDEX(PRENOTAZIONI!$B:$B,SMALL(PRENOTAZIONI!$Y:$Y,18)),"")</f>
        <v/>
      </c>
      <c r="C21" s="32" t="str">
        <f t="shared" si="0"/>
        <v/>
      </c>
      <c r="D21" s="34" t="str">
        <f>IFERROR(INDEX(PRENOTAZIONI!$E:$E,SMALL(PRENOTAZIONI!$Y:$Y,18)),"")</f>
        <v/>
      </c>
      <c r="E21" s="34" t="str">
        <f>IFERROR(INDEX(PRENOTAZIONI!$F:$F,SMALL(PRENOTAZIONI!$Y:$Y,18)),"")</f>
        <v/>
      </c>
      <c r="F21" s="34" t="str">
        <f>IFERROR(INDEX(PRENOTAZIONI!$G:$G,SMALL(PRENOTAZIONI!$Y:$Y,18)),"")</f>
        <v/>
      </c>
      <c r="G21" s="35" t="str">
        <f>IFERROR(INDEX(PRENOTAZIONI!$H:$H,SMALL(PRENOTAZIONI!$Y:$Y,18)),"")</f>
        <v/>
      </c>
      <c r="H21" s="146" t="str">
        <f t="shared" si="1"/>
        <v/>
      </c>
      <c r="I21" s="35" t="str">
        <f t="shared" si="9"/>
        <v/>
      </c>
      <c r="J21" s="149" t="str">
        <f t="shared" si="10"/>
        <v/>
      </c>
      <c r="K21" s="34" t="str">
        <f>IFERROR(INDEX(PRENOTAZIONI!$K:$K,SMALL(PRENOTAZIONI!$Y:$Y,18)),"")</f>
        <v/>
      </c>
      <c r="L21" s="35" t="str">
        <f>IFERROR(INDEX(PRENOTAZIONI!$L:$L,SMALL(PRENOTAZIONI!$Y:$Y,18)),"")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47" t="str">
        <f>IFERROR(INDEX(PRENOTAZIONI!$R:$R,SMALL(PRENOTAZIONI!$Y:$Y,18)),"")</f>
        <v/>
      </c>
      <c r="S21" s="101"/>
      <c r="T21" s="99" t="str">
        <f>IFERROR(INDEX(PRENOTAZIONI!$A:$A,SMALL(PRENOTAZIONI!$AM:$AM,18)),"")</f>
        <v/>
      </c>
      <c r="U21" s="31" t="str">
        <f>IFERROR(INDEX(PRENOTAZIONI!$B:$B,SMALL(PRENOTAZIONI!$AM:$AM,18)),"")</f>
        <v/>
      </c>
      <c r="V21" s="32" t="str">
        <f t="shared" si="6"/>
        <v/>
      </c>
      <c r="W21" s="34" t="str">
        <f>IFERROR(INDEX(PRENOTAZIONI!$E:$E,SMALL(PRENOTAZIONI!$AM:$AM,18)),"")</f>
        <v/>
      </c>
      <c r="X21" s="34" t="str">
        <f>IFERROR(INDEX(PRENOTAZIONI!$F:$F,SMALL(PRENOTAZIONI!$AM:$AM,18)),"")</f>
        <v/>
      </c>
      <c r="Y21" s="35" t="str">
        <f>IFERROR(INDEX(PRENOTAZIONI!$H:$H,SMALL(PRENOTAZIONI!$AM:$AM,18)),"")</f>
        <v/>
      </c>
      <c r="Z21" s="34" t="str">
        <f>IFERROR(INDEX(PRENOTAZIONI!$K:$K,SMALL(PRENOTAZIONI!$AM:$AM,18)),"")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IFERROR(INDEX(PRENOTAZIONI!$A:$A,SMALL(PRENOTAZIONI!$Y:$Y,19)),"")</f>
        <v/>
      </c>
      <c r="B22" s="31" t="str">
        <f>IFERROR(INDEX(PRENOTAZIONI!$B:$B,SMALL(PRENOTAZIONI!$Y:$Y,19)),"")</f>
        <v/>
      </c>
      <c r="C22" s="32" t="str">
        <f t="shared" si="0"/>
        <v/>
      </c>
      <c r="D22" s="34" t="str">
        <f>IFERROR(INDEX(PRENOTAZIONI!$E:$E,SMALL(PRENOTAZIONI!$Y:$Y,19)),"")</f>
        <v/>
      </c>
      <c r="E22" s="34" t="str">
        <f>IFERROR(INDEX(PRENOTAZIONI!$F:$F,SMALL(PRENOTAZIONI!$Y:$Y,19)),"")</f>
        <v/>
      </c>
      <c r="F22" s="34" t="str">
        <f>IFERROR(INDEX(PRENOTAZIONI!$G:$G,SMALL(PRENOTAZIONI!$Y:$Y,19)),"")</f>
        <v/>
      </c>
      <c r="G22" s="35" t="str">
        <f>IFERROR(INDEX(PRENOTAZIONI!$H:$H,SMALL(PRENOTAZIONI!$Y:$Y,19)),"")</f>
        <v/>
      </c>
      <c r="H22" s="146" t="str">
        <f t="shared" si="1"/>
        <v/>
      </c>
      <c r="I22" s="35" t="str">
        <f t="shared" si="9"/>
        <v/>
      </c>
      <c r="J22" s="149" t="str">
        <f t="shared" si="10"/>
        <v/>
      </c>
      <c r="K22" s="34" t="str">
        <f>IFERROR(INDEX(PRENOTAZIONI!$K:$K,SMALL(PRENOTAZIONI!$Y:$Y,19)),"")</f>
        <v/>
      </c>
      <c r="L22" s="35" t="str">
        <f>IFERROR(INDEX(PRENOTAZIONI!$L:$L,SMALL(PRENOTAZIONI!$Y:$Y,19)),"")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47" t="str">
        <f>IFERROR(INDEX(PRENOTAZIONI!$R:$R,SMALL(PRENOTAZIONI!$Y:$Y,19)),"")</f>
        <v/>
      </c>
      <c r="S22" s="101"/>
      <c r="T22" s="99" t="str">
        <f>IFERROR(INDEX(PRENOTAZIONI!$A:$A,SMALL(PRENOTAZIONI!$AM:$AM,19)),"")</f>
        <v/>
      </c>
      <c r="U22" s="31" t="str">
        <f>IFERROR(INDEX(PRENOTAZIONI!$B:$B,SMALL(PRENOTAZIONI!$AM:$AM,19)),"")</f>
        <v/>
      </c>
      <c r="V22" s="32" t="str">
        <f t="shared" si="6"/>
        <v/>
      </c>
      <c r="W22" s="34" t="str">
        <f>IFERROR(INDEX(PRENOTAZIONI!$E:$E,SMALL(PRENOTAZIONI!$AM:$AM,19)),"")</f>
        <v/>
      </c>
      <c r="X22" s="34" t="str">
        <f>IFERROR(INDEX(PRENOTAZIONI!$F:$F,SMALL(PRENOTAZIONI!$AM:$AM,19)),"")</f>
        <v/>
      </c>
      <c r="Y22" s="35" t="str">
        <f>IFERROR(INDEX(PRENOTAZIONI!$H:$H,SMALL(PRENOTAZIONI!$AM:$AM,19)),"")</f>
        <v/>
      </c>
      <c r="Z22" s="34" t="str">
        <f>IFERROR(INDEX(PRENOTAZIONI!$K:$K,SMALL(PRENOTAZIONI!$AM:$AM,19)),"")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IFERROR(INDEX(PRENOTAZIONI!$A:$A,SMALL(PRENOTAZIONI!$Y:$Y,20)),"")</f>
        <v/>
      </c>
      <c r="B23" s="31" t="str">
        <f>IFERROR(INDEX(PRENOTAZIONI!$B:$B,SMALL(PRENOTAZIONI!$Y:$Y,20)),"")</f>
        <v/>
      </c>
      <c r="C23" s="32" t="str">
        <f t="shared" si="0"/>
        <v/>
      </c>
      <c r="D23" s="34" t="str">
        <f>IFERROR(INDEX(PRENOTAZIONI!$E:$E,SMALL(PRENOTAZIONI!$Y:$Y,20)),"")</f>
        <v/>
      </c>
      <c r="E23" s="34" t="str">
        <f>IFERROR(INDEX(PRENOTAZIONI!$F:$F,SMALL(PRENOTAZIONI!$Y:$Y,20)),"")</f>
        <v/>
      </c>
      <c r="F23" s="34" t="str">
        <f>IFERROR(INDEX(PRENOTAZIONI!$G:$G,SMALL(PRENOTAZIONI!$Y:$Y,20)),"")</f>
        <v/>
      </c>
      <c r="G23" s="35" t="str">
        <f>IFERROR(INDEX(PRENOTAZIONI!$H:$H,SMALL(PRENOTAZIONI!$Y:$Y,20)),"")</f>
        <v/>
      </c>
      <c r="H23" s="146" t="str">
        <f t="shared" si="1"/>
        <v/>
      </c>
      <c r="I23" s="35" t="str">
        <f t="shared" si="9"/>
        <v/>
      </c>
      <c r="J23" s="149" t="str">
        <f t="shared" si="10"/>
        <v/>
      </c>
      <c r="K23" s="34" t="str">
        <f>IFERROR(INDEX(PRENOTAZIONI!$K:$K,SMALL(PRENOTAZIONI!$Y:$Y,20)),"")</f>
        <v/>
      </c>
      <c r="L23" s="35" t="str">
        <f>IFERROR(INDEX(PRENOTAZIONI!$L:$L,SMALL(PRENOTAZIONI!$Y:$Y,20)),"")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47" t="str">
        <f>IFERROR(INDEX(PRENOTAZIONI!$R:$R,SMALL(PRENOTAZIONI!$Y:$Y,20)),"")</f>
        <v/>
      </c>
      <c r="S23" s="101"/>
      <c r="T23" s="99" t="str">
        <f>IFERROR(INDEX(PRENOTAZIONI!$A:$A,SMALL(PRENOTAZIONI!$AM:$AM,20)),"")</f>
        <v/>
      </c>
      <c r="U23" s="31" t="str">
        <f>IFERROR(INDEX(PRENOTAZIONI!$B:$B,SMALL(PRENOTAZIONI!$AM:$AM,20)),"")</f>
        <v/>
      </c>
      <c r="V23" s="32" t="str">
        <f t="shared" si="6"/>
        <v/>
      </c>
      <c r="W23" s="34" t="str">
        <f>IFERROR(INDEX(PRENOTAZIONI!$E:$E,SMALL(PRENOTAZIONI!$AM:$AM,20)),"")</f>
        <v/>
      </c>
      <c r="X23" s="34" t="str">
        <f>IFERROR(INDEX(PRENOTAZIONI!$F:$F,SMALL(PRENOTAZIONI!$AM:$AM,20)),"")</f>
        <v/>
      </c>
      <c r="Y23" s="35" t="str">
        <f>IFERROR(INDEX(PRENOTAZIONI!$H:$H,SMALL(PRENOTAZIONI!$AM:$AM,20)),"")</f>
        <v/>
      </c>
      <c r="Z23" s="34" t="str">
        <f>IFERROR(INDEX(PRENOTAZIONI!$K:$K,SMALL(PRENOTAZIONI!$AM:$AM,20)),"")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IFERROR(INDEX(PRENOTAZIONI!$A:$A,SMALL(PRENOTAZIONI!$Y:$Y,21)),"")</f>
        <v/>
      </c>
      <c r="B24" s="31" t="str">
        <f>IFERROR(INDEX(PRENOTAZIONI!$B:$B,SMALL(PRENOTAZIONI!$Y:$Y,21)),"")</f>
        <v/>
      </c>
      <c r="C24" s="32" t="str">
        <f t="shared" si="0"/>
        <v/>
      </c>
      <c r="D24" s="34" t="str">
        <f>IFERROR(INDEX(PRENOTAZIONI!$E:$E,SMALL(PRENOTAZIONI!$Y:$Y,21)),"")</f>
        <v/>
      </c>
      <c r="E24" s="34" t="str">
        <f>IFERROR(INDEX(PRENOTAZIONI!$F:$F,SMALL(PRENOTAZIONI!$Y:$Y,21)),"")</f>
        <v/>
      </c>
      <c r="F24" s="34" t="str">
        <f>IFERROR(INDEX(PRENOTAZIONI!$G:$G,SMALL(PRENOTAZIONI!$Y:$Y,21)),"")</f>
        <v/>
      </c>
      <c r="G24" s="35" t="str">
        <f>IFERROR(INDEX(PRENOTAZIONI!$H:$H,SMALL(PRENOTAZIONI!$Y:$Y,21)),"")</f>
        <v/>
      </c>
      <c r="H24" s="146" t="str">
        <f t="shared" si="1"/>
        <v/>
      </c>
      <c r="I24" s="35" t="str">
        <f t="shared" si="9"/>
        <v/>
      </c>
      <c r="J24" s="149" t="str">
        <f t="shared" si="10"/>
        <v/>
      </c>
      <c r="K24" s="34" t="str">
        <f>IFERROR(INDEX(PRENOTAZIONI!$K:$K,SMALL(PRENOTAZIONI!$Y:$Y,21)),"")</f>
        <v/>
      </c>
      <c r="L24" s="35" t="str">
        <f>IFERROR(INDEX(PRENOTAZIONI!$L:$L,SMALL(PRENOTAZIONI!$Y:$Y,21)),"")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47" t="str">
        <f>IFERROR(INDEX(PRENOTAZIONI!$R:$R,SMALL(PRENOTAZIONI!$Y:$Y,21)),"")</f>
        <v/>
      </c>
      <c r="S24" s="101"/>
      <c r="T24" s="99" t="str">
        <f>IFERROR(INDEX(PRENOTAZIONI!$A:$A,SMALL(PRENOTAZIONI!$AM:$AM,21)),"")</f>
        <v/>
      </c>
      <c r="U24" s="31" t="str">
        <f>IFERROR(INDEX(PRENOTAZIONI!$B:$B,SMALL(PRENOTAZIONI!$AM:$AM,21)),"")</f>
        <v/>
      </c>
      <c r="V24" s="32" t="str">
        <f t="shared" si="6"/>
        <v/>
      </c>
      <c r="W24" s="34" t="str">
        <f>IFERROR(INDEX(PRENOTAZIONI!$E:$E,SMALL(PRENOTAZIONI!$AM:$AM,21)),"")</f>
        <v/>
      </c>
      <c r="X24" s="34" t="str">
        <f>IFERROR(INDEX(PRENOTAZIONI!$F:$F,SMALL(PRENOTAZIONI!$AM:$AM,21)),"")</f>
        <v/>
      </c>
      <c r="Y24" s="35" t="str">
        <f>IFERROR(INDEX(PRENOTAZIONI!$H:$H,SMALL(PRENOTAZIONI!$AM:$AM,21)),"")</f>
        <v/>
      </c>
      <c r="Z24" s="34" t="str">
        <f>IFERROR(INDEX(PRENOTAZIONI!$K:$K,SMALL(PRENOTAZIONI!$AM:$AM,21)),"")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IFERROR(INDEX(PRENOTAZIONI!$A:$A,SMALL(PRENOTAZIONI!$Y:$Y,22)),"")</f>
        <v/>
      </c>
      <c r="B25" s="31" t="str">
        <f>IFERROR(INDEX(PRENOTAZIONI!$B:$B,SMALL(PRENOTAZIONI!$Y:$Y,22)),"")</f>
        <v/>
      </c>
      <c r="C25" s="32" t="str">
        <f t="shared" si="0"/>
        <v/>
      </c>
      <c r="D25" s="34" t="str">
        <f>IFERROR(INDEX(PRENOTAZIONI!$E:$E,SMALL(PRENOTAZIONI!$Y:$Y,22)),"")</f>
        <v/>
      </c>
      <c r="E25" s="34" t="str">
        <f>IFERROR(INDEX(PRENOTAZIONI!$F:$F,SMALL(PRENOTAZIONI!$Y:$Y,22)),"")</f>
        <v/>
      </c>
      <c r="F25" s="34" t="str">
        <f>IFERROR(INDEX(PRENOTAZIONI!$G:$G,SMALL(PRENOTAZIONI!$Y:$Y,22)),"")</f>
        <v/>
      </c>
      <c r="G25" s="35" t="str">
        <f>IFERROR(INDEX(PRENOTAZIONI!$H:$H,SMALL(PRENOTAZIONI!$Y:$Y,22)),"")</f>
        <v/>
      </c>
      <c r="H25" s="146" t="str">
        <f t="shared" si="1"/>
        <v/>
      </c>
      <c r="I25" s="35" t="str">
        <f t="shared" si="9"/>
        <v/>
      </c>
      <c r="J25" s="149" t="str">
        <f t="shared" si="10"/>
        <v/>
      </c>
      <c r="K25" s="34" t="str">
        <f>IFERROR(INDEX(PRENOTAZIONI!$K:$K,SMALL(PRENOTAZIONI!$Y:$Y,22)),"")</f>
        <v/>
      </c>
      <c r="L25" s="35" t="str">
        <f>IFERROR(INDEX(PRENOTAZIONI!$L:$L,SMALL(PRENOTAZIONI!$Y:$Y,22)),"")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47" t="str">
        <f>IFERROR(INDEX(PRENOTAZIONI!$R:$R,SMALL(PRENOTAZIONI!$Y:$Y,22)),"")</f>
        <v/>
      </c>
      <c r="S25" s="101"/>
      <c r="T25" s="99" t="str">
        <f>IFERROR(INDEX(PRENOTAZIONI!$A:$A,SMALL(PRENOTAZIONI!$AM:$AM,22)),"")</f>
        <v/>
      </c>
      <c r="U25" s="31" t="str">
        <f>IFERROR(INDEX(PRENOTAZIONI!$B:$B,SMALL(PRENOTAZIONI!$AM:$AM,22)),"")</f>
        <v/>
      </c>
      <c r="V25" s="32" t="str">
        <f t="shared" si="6"/>
        <v/>
      </c>
      <c r="W25" s="34" t="str">
        <f>IFERROR(INDEX(PRENOTAZIONI!$E:$E,SMALL(PRENOTAZIONI!$AM:$AM,22)),"")</f>
        <v/>
      </c>
      <c r="X25" s="34" t="str">
        <f>IFERROR(INDEX(PRENOTAZIONI!$F:$F,SMALL(PRENOTAZIONI!$AM:$AM,22)),"")</f>
        <v/>
      </c>
      <c r="Y25" s="35" t="str">
        <f>IFERROR(INDEX(PRENOTAZIONI!$H:$H,SMALL(PRENOTAZIONI!$AM:$AM,22)),"")</f>
        <v/>
      </c>
      <c r="Z25" s="34" t="str">
        <f>IFERROR(INDEX(PRENOTAZIONI!$K:$K,SMALL(PRENOTAZIONI!$AM:$AM,22)),"")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IFERROR(INDEX(PRENOTAZIONI!$A:$A,SMALL(PRENOTAZIONI!$Y:$Y,23)),"")</f>
        <v/>
      </c>
      <c r="B26" s="31" t="str">
        <f>IFERROR(INDEX(PRENOTAZIONI!$B:$B,SMALL(PRENOTAZIONI!$Y:$Y,23)),"")</f>
        <v/>
      </c>
      <c r="C26" s="32" t="str">
        <f t="shared" si="0"/>
        <v/>
      </c>
      <c r="D26" s="34" t="str">
        <f>IFERROR(INDEX(PRENOTAZIONI!$E:$E,SMALL(PRENOTAZIONI!$Y:$Y,23)),"")</f>
        <v/>
      </c>
      <c r="E26" s="34" t="str">
        <f>IFERROR(INDEX(PRENOTAZIONI!$F:$F,SMALL(PRENOTAZIONI!$Y:$Y,23)),"")</f>
        <v/>
      </c>
      <c r="F26" s="34" t="str">
        <f>IFERROR(INDEX(PRENOTAZIONI!$G:$G,SMALL(PRENOTAZIONI!$Y:$Y,23)),"")</f>
        <v/>
      </c>
      <c r="G26" s="35" t="str">
        <f>IFERROR(INDEX(PRENOTAZIONI!$H:$H,SMALL(PRENOTAZIONI!$Y:$Y,23)),"")</f>
        <v/>
      </c>
      <c r="H26" s="146" t="str">
        <f t="shared" si="1"/>
        <v/>
      </c>
      <c r="I26" s="35" t="str">
        <f t="shared" si="9"/>
        <v/>
      </c>
      <c r="J26" s="149" t="str">
        <f t="shared" si="10"/>
        <v/>
      </c>
      <c r="K26" s="34" t="str">
        <f>IFERROR(INDEX(PRENOTAZIONI!$K:$K,SMALL(PRENOTAZIONI!$Y:$Y,23)),"")</f>
        <v/>
      </c>
      <c r="L26" s="35" t="str">
        <f>IFERROR(INDEX(PRENOTAZIONI!$L:$L,SMALL(PRENOTAZIONI!$Y:$Y,23)),"")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47" t="str">
        <f>IFERROR(INDEX(PRENOTAZIONI!$R:$R,SMALL(PRENOTAZIONI!$Y:$Y,23)),"")</f>
        <v/>
      </c>
      <c r="S26" s="101"/>
      <c r="T26" s="99" t="str">
        <f>IFERROR(INDEX(PRENOTAZIONI!$A:$A,SMALL(PRENOTAZIONI!$AM:$AM,23)),"")</f>
        <v/>
      </c>
      <c r="U26" s="31" t="str">
        <f>IFERROR(INDEX(PRENOTAZIONI!$B:$B,SMALL(PRENOTAZIONI!$AM:$AM,23)),"")</f>
        <v/>
      </c>
      <c r="V26" s="32" t="str">
        <f t="shared" si="6"/>
        <v/>
      </c>
      <c r="W26" s="34" t="str">
        <f>IFERROR(INDEX(PRENOTAZIONI!$E:$E,SMALL(PRENOTAZIONI!$AM:$AM,23)),"")</f>
        <v/>
      </c>
      <c r="X26" s="34" t="str">
        <f>IFERROR(INDEX(PRENOTAZIONI!$F:$F,SMALL(PRENOTAZIONI!$AM:$AM,23)),"")</f>
        <v/>
      </c>
      <c r="Y26" s="35" t="str">
        <f>IFERROR(INDEX(PRENOTAZIONI!$H:$H,SMALL(PRENOTAZIONI!$AM:$AM,23)),"")</f>
        <v/>
      </c>
      <c r="Z26" s="34" t="str">
        <f>IFERROR(INDEX(PRENOTAZIONI!$K:$K,SMALL(PRENOTAZIONI!$AM:$AM,23)),"")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IFERROR(INDEX(PRENOTAZIONI!$A:$A,SMALL(PRENOTAZIONI!$Y:$Y,24)),"")</f>
        <v/>
      </c>
      <c r="B27" s="31" t="str">
        <f>IFERROR(INDEX(PRENOTAZIONI!$B:$B,SMALL(PRENOTAZIONI!$Y:$Y,24)),"")</f>
        <v/>
      </c>
      <c r="C27" s="32" t="str">
        <f t="shared" si="0"/>
        <v/>
      </c>
      <c r="D27" s="34" t="str">
        <f>IFERROR(INDEX(PRENOTAZIONI!$E:$E,SMALL(PRENOTAZIONI!$Y:$Y,24)),"")</f>
        <v/>
      </c>
      <c r="E27" s="34" t="str">
        <f>IFERROR(INDEX(PRENOTAZIONI!$F:$F,SMALL(PRENOTAZIONI!$Y:$Y,24)),"")</f>
        <v/>
      </c>
      <c r="F27" s="34" t="str">
        <f>IFERROR(INDEX(PRENOTAZIONI!$G:$G,SMALL(PRENOTAZIONI!$Y:$Y,24)),"")</f>
        <v/>
      </c>
      <c r="G27" s="35" t="str">
        <f>IFERROR(INDEX(PRENOTAZIONI!$H:$H,SMALL(PRENOTAZIONI!$Y:$Y,24)),"")</f>
        <v/>
      </c>
      <c r="H27" s="146" t="str">
        <f t="shared" si="1"/>
        <v/>
      </c>
      <c r="I27" s="35" t="str">
        <f t="shared" si="9"/>
        <v/>
      </c>
      <c r="J27" s="149" t="str">
        <f t="shared" si="10"/>
        <v/>
      </c>
      <c r="K27" s="34" t="str">
        <f>IFERROR(INDEX(PRENOTAZIONI!$K:$K,SMALL(PRENOTAZIONI!$Y:$Y,24)),"")</f>
        <v/>
      </c>
      <c r="L27" s="35" t="str">
        <f>IFERROR(INDEX(PRENOTAZIONI!$L:$L,SMALL(PRENOTAZIONI!$Y:$Y,24)),"")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47" t="str">
        <f>IFERROR(INDEX(PRENOTAZIONI!$R:$R,SMALL(PRENOTAZIONI!$Y:$Y,24)),"")</f>
        <v/>
      </c>
      <c r="S27" s="101"/>
      <c r="T27" s="99" t="str">
        <f>IFERROR(INDEX(PRENOTAZIONI!$A:$A,SMALL(PRENOTAZIONI!$AM:$AM,24)),"")</f>
        <v/>
      </c>
      <c r="U27" s="31" t="str">
        <f>IFERROR(INDEX(PRENOTAZIONI!$B:$B,SMALL(PRENOTAZIONI!$AM:$AM,24)),"")</f>
        <v/>
      </c>
      <c r="V27" s="32" t="str">
        <f t="shared" si="6"/>
        <v/>
      </c>
      <c r="W27" s="34" t="str">
        <f>IFERROR(INDEX(PRENOTAZIONI!$E:$E,SMALL(PRENOTAZIONI!$AM:$AM,24)),"")</f>
        <v/>
      </c>
      <c r="X27" s="34" t="str">
        <f>IFERROR(INDEX(PRENOTAZIONI!$F:$F,SMALL(PRENOTAZIONI!$AM:$AM,24)),"")</f>
        <v/>
      </c>
      <c r="Y27" s="35" t="str">
        <f>IFERROR(INDEX(PRENOTAZIONI!$H:$H,SMALL(PRENOTAZIONI!$AM:$AM,24)),"")</f>
        <v/>
      </c>
      <c r="Z27" s="34" t="str">
        <f>IFERROR(INDEX(PRENOTAZIONI!$K:$K,SMALL(PRENOTAZIONI!$AM:$AM,24)),"")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IFERROR(INDEX(PRENOTAZIONI!$A:$A,SMALL(PRENOTAZIONI!$Y:$Y,25)),"")</f>
        <v/>
      </c>
      <c r="B28" s="31" t="str">
        <f>IFERROR(INDEX(PRENOTAZIONI!$B:$B,SMALL(PRENOTAZIONI!$Y:$Y,25)),"")</f>
        <v/>
      </c>
      <c r="C28" s="32" t="str">
        <f t="shared" si="0"/>
        <v/>
      </c>
      <c r="D28" s="34" t="str">
        <f>IFERROR(INDEX(PRENOTAZIONI!$E:$E,SMALL(PRENOTAZIONI!$Y:$Y,25)),"")</f>
        <v/>
      </c>
      <c r="E28" s="34" t="str">
        <f>IFERROR(INDEX(PRENOTAZIONI!$F:$F,SMALL(PRENOTAZIONI!$Y:$Y,25)),"")</f>
        <v/>
      </c>
      <c r="F28" s="34" t="str">
        <f>IFERROR(INDEX(PRENOTAZIONI!$G:$G,SMALL(PRENOTAZIONI!$Y:$Y,25)),"")</f>
        <v/>
      </c>
      <c r="G28" s="35" t="str">
        <f>IFERROR(INDEX(PRENOTAZIONI!$H:$H,SMALL(PRENOTAZIONI!$Y:$Y,25)),"")</f>
        <v/>
      </c>
      <c r="H28" s="146" t="str">
        <f t="shared" si="1"/>
        <v/>
      </c>
      <c r="I28" s="35" t="str">
        <f t="shared" si="9"/>
        <v/>
      </c>
      <c r="J28" s="149" t="str">
        <f t="shared" si="10"/>
        <v/>
      </c>
      <c r="K28" s="34" t="str">
        <f>IFERROR(INDEX(PRENOTAZIONI!$K:$K,SMALL(PRENOTAZIONI!$Y:$Y,25)),"")</f>
        <v/>
      </c>
      <c r="L28" s="35" t="str">
        <f>IFERROR(INDEX(PRENOTAZIONI!$L:$L,SMALL(PRENOTAZIONI!$Y:$Y,25)),"")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47" t="str">
        <f>IFERROR(INDEX(PRENOTAZIONI!$R:$R,SMALL(PRENOTAZIONI!$Y:$Y,25)),"")</f>
        <v/>
      </c>
      <c r="S28" s="101"/>
      <c r="T28" s="99" t="str">
        <f>IFERROR(INDEX(PRENOTAZIONI!$A:$A,SMALL(PRENOTAZIONI!$AM:$AM,25)),"")</f>
        <v/>
      </c>
      <c r="U28" s="31" t="str">
        <f>IFERROR(INDEX(PRENOTAZIONI!$B:$B,SMALL(PRENOTAZIONI!$AM:$AM,25)),"")</f>
        <v/>
      </c>
      <c r="V28" s="32" t="str">
        <f t="shared" si="6"/>
        <v/>
      </c>
      <c r="W28" s="34" t="str">
        <f>IFERROR(INDEX(PRENOTAZIONI!$E:$E,SMALL(PRENOTAZIONI!$AM:$AM,25)),"")</f>
        <v/>
      </c>
      <c r="X28" s="34" t="str">
        <f>IFERROR(INDEX(PRENOTAZIONI!$F:$F,SMALL(PRENOTAZIONI!$AM:$AM,25)),"")</f>
        <v/>
      </c>
      <c r="Y28" s="35" t="str">
        <f>IFERROR(INDEX(PRENOTAZIONI!$H:$H,SMALL(PRENOTAZIONI!$AM:$AM,25)),"")</f>
        <v/>
      </c>
      <c r="Z28" s="34" t="str">
        <f>IFERROR(INDEX(PRENOTAZIONI!$K:$K,SMALL(PRENOTAZIONI!$AM:$AM,25)),"")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IFERROR(INDEX(PRENOTAZIONI!$A:$A,SMALL(PRENOTAZIONI!$Y:$Y,26)),"")</f>
        <v/>
      </c>
      <c r="B29" s="31" t="str">
        <f>IFERROR(INDEX(PRENOTAZIONI!$B:$B,SMALL(PRENOTAZIONI!$Y:$Y,26)),"")</f>
        <v/>
      </c>
      <c r="C29" s="32" t="str">
        <f t="shared" si="0"/>
        <v/>
      </c>
      <c r="D29" s="34" t="str">
        <f>IFERROR(INDEX(PRENOTAZIONI!$E:$E,SMALL(PRENOTAZIONI!$Y:$Y,26)),"")</f>
        <v/>
      </c>
      <c r="E29" s="34" t="str">
        <f>IFERROR(INDEX(PRENOTAZIONI!$F:$F,SMALL(PRENOTAZIONI!$Y:$Y,26)),"")</f>
        <v/>
      </c>
      <c r="F29" s="34" t="str">
        <f>IFERROR(INDEX(PRENOTAZIONI!$G:$G,SMALL(PRENOTAZIONI!$Y:$Y,26)),"")</f>
        <v/>
      </c>
      <c r="G29" s="35" t="str">
        <f>IFERROR(INDEX(PRENOTAZIONI!$H:$H,SMALL(PRENOTAZIONI!$Y:$Y,26)),"")</f>
        <v/>
      </c>
      <c r="H29" s="146" t="str">
        <f t="shared" si="1"/>
        <v/>
      </c>
      <c r="I29" s="35" t="str">
        <f t="shared" si="9"/>
        <v/>
      </c>
      <c r="J29" s="149" t="str">
        <f t="shared" si="10"/>
        <v/>
      </c>
      <c r="K29" s="34" t="str">
        <f>IFERROR(INDEX(PRENOTAZIONI!$K:$K,SMALL(PRENOTAZIONI!$Y:$Y,26)),"")</f>
        <v/>
      </c>
      <c r="L29" s="35" t="str">
        <f>IFERROR(INDEX(PRENOTAZIONI!$L:$L,SMALL(PRENOTAZIONI!$Y:$Y,26)),"")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47" t="str">
        <f>IFERROR(INDEX(PRENOTAZIONI!$R:$R,SMALL(PRENOTAZIONI!$Y:$Y,26)),"")</f>
        <v/>
      </c>
      <c r="S29" s="101"/>
      <c r="T29" s="99" t="str">
        <f>IFERROR(INDEX(PRENOTAZIONI!$A:$A,SMALL(PRENOTAZIONI!$AM:$AM,26)),"")</f>
        <v/>
      </c>
      <c r="U29" s="31" t="str">
        <f>IFERROR(INDEX(PRENOTAZIONI!$B:$B,SMALL(PRENOTAZIONI!$AM:$AM,26)),"")</f>
        <v/>
      </c>
      <c r="V29" s="32" t="str">
        <f t="shared" si="6"/>
        <v/>
      </c>
      <c r="W29" s="34" t="str">
        <f>IFERROR(INDEX(PRENOTAZIONI!$E:$E,SMALL(PRENOTAZIONI!$AM:$AM,26)),"")</f>
        <v/>
      </c>
      <c r="X29" s="34" t="str">
        <f>IFERROR(INDEX(PRENOTAZIONI!$F:$F,SMALL(PRENOTAZIONI!$AM:$AM,26)),"")</f>
        <v/>
      </c>
      <c r="Y29" s="35" t="str">
        <f>IFERROR(INDEX(PRENOTAZIONI!$H:$H,SMALL(PRENOTAZIONI!$AM:$AM,26)),"")</f>
        <v/>
      </c>
      <c r="Z29" s="34" t="str">
        <f>IFERROR(INDEX(PRENOTAZIONI!$K:$K,SMALL(PRENOTAZIONI!$AM:$AM,26)),"")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IFERROR(INDEX(PRENOTAZIONI!$A:$A,SMALL(PRENOTAZIONI!$Y:$Y,27)),"")</f>
        <v/>
      </c>
      <c r="B30" s="31" t="str">
        <f>IFERROR(INDEX(PRENOTAZIONI!$B:$B,SMALL(PRENOTAZIONI!$Y:$Y,27)),"")</f>
        <v/>
      </c>
      <c r="C30" s="32" t="str">
        <f t="shared" si="0"/>
        <v/>
      </c>
      <c r="D30" s="34" t="str">
        <f>IFERROR(INDEX(PRENOTAZIONI!$E:$E,SMALL(PRENOTAZIONI!$Y:$Y,27)),"")</f>
        <v/>
      </c>
      <c r="E30" s="34" t="str">
        <f>IFERROR(INDEX(PRENOTAZIONI!$F:$F,SMALL(PRENOTAZIONI!$Y:$Y,27)),"")</f>
        <v/>
      </c>
      <c r="F30" s="34" t="str">
        <f>IFERROR(INDEX(PRENOTAZIONI!$G:$G,SMALL(PRENOTAZIONI!$Y:$Y,27)),"")</f>
        <v/>
      </c>
      <c r="G30" s="35" t="str">
        <f>IFERROR(INDEX(PRENOTAZIONI!$H:$H,SMALL(PRENOTAZIONI!$Y:$Y,27)),"")</f>
        <v/>
      </c>
      <c r="H30" s="146" t="str">
        <f t="shared" si="1"/>
        <v/>
      </c>
      <c r="I30" s="35" t="str">
        <f t="shared" si="9"/>
        <v/>
      </c>
      <c r="J30" s="149" t="str">
        <f t="shared" si="10"/>
        <v/>
      </c>
      <c r="K30" s="34" t="str">
        <f>IFERROR(INDEX(PRENOTAZIONI!$K:$K,SMALL(PRENOTAZIONI!$Y:$Y,27)),"")</f>
        <v/>
      </c>
      <c r="L30" s="35" t="str">
        <f>IFERROR(INDEX(PRENOTAZIONI!$L:$L,SMALL(PRENOTAZIONI!$Y:$Y,27)),"")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47" t="str">
        <f>IFERROR(INDEX(PRENOTAZIONI!$R:$R,SMALL(PRENOTAZIONI!$Y:$Y,27)),"")</f>
        <v/>
      </c>
      <c r="S30" s="101"/>
      <c r="T30" s="99" t="str">
        <f>IFERROR(INDEX(PRENOTAZIONI!$A:$A,SMALL(PRENOTAZIONI!$AM:$AM,27)),"")</f>
        <v/>
      </c>
      <c r="U30" s="31" t="str">
        <f>IFERROR(INDEX(PRENOTAZIONI!$B:$B,SMALL(PRENOTAZIONI!$AM:$AM,27)),"")</f>
        <v/>
      </c>
      <c r="V30" s="32" t="str">
        <f t="shared" si="6"/>
        <v/>
      </c>
      <c r="W30" s="34" t="str">
        <f>IFERROR(INDEX(PRENOTAZIONI!$E:$E,SMALL(PRENOTAZIONI!$AM:$AM,27)),"")</f>
        <v/>
      </c>
      <c r="X30" s="34" t="str">
        <f>IFERROR(INDEX(PRENOTAZIONI!$F:$F,SMALL(PRENOTAZIONI!$AM:$AM,27)),"")</f>
        <v/>
      </c>
      <c r="Y30" s="35" t="str">
        <f>IFERROR(INDEX(PRENOTAZIONI!$H:$H,SMALL(PRENOTAZIONI!$AM:$AM,27)),"")</f>
        <v/>
      </c>
      <c r="Z30" s="34" t="str">
        <f>IFERROR(INDEX(PRENOTAZIONI!$K:$K,SMALL(PRENOTAZIONI!$AM:$AM,27)),"")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IFERROR(INDEX(PRENOTAZIONI!$A:$A,SMALL(PRENOTAZIONI!$Y:$Y,28)),"")</f>
        <v/>
      </c>
      <c r="B31" s="31" t="str">
        <f>IFERROR(INDEX(PRENOTAZIONI!$B:$B,SMALL(PRENOTAZIONI!$Y:$Y,28)),"")</f>
        <v/>
      </c>
      <c r="C31" s="32" t="str">
        <f t="shared" si="0"/>
        <v/>
      </c>
      <c r="D31" s="34" t="str">
        <f>IFERROR(INDEX(PRENOTAZIONI!$E:$E,SMALL(PRENOTAZIONI!$Y:$Y,28)),"")</f>
        <v/>
      </c>
      <c r="E31" s="34" t="str">
        <f>IFERROR(INDEX(PRENOTAZIONI!$F:$F,SMALL(PRENOTAZIONI!$Y:$Y,28)),"")</f>
        <v/>
      </c>
      <c r="F31" s="34" t="str">
        <f>IFERROR(INDEX(PRENOTAZIONI!$G:$G,SMALL(PRENOTAZIONI!$Y:$Y,28)),"")</f>
        <v/>
      </c>
      <c r="G31" s="35" t="str">
        <f>IFERROR(INDEX(PRENOTAZIONI!$H:$H,SMALL(PRENOTAZIONI!$Y:$Y,28)),"")</f>
        <v/>
      </c>
      <c r="H31" s="146" t="str">
        <f t="shared" si="1"/>
        <v/>
      </c>
      <c r="I31" s="35" t="str">
        <f t="shared" si="9"/>
        <v/>
      </c>
      <c r="J31" s="149" t="str">
        <f t="shared" si="10"/>
        <v/>
      </c>
      <c r="K31" s="34" t="str">
        <f>IFERROR(INDEX(PRENOTAZIONI!$K:$K,SMALL(PRENOTAZIONI!$Y:$Y,28)),"")</f>
        <v/>
      </c>
      <c r="L31" s="35" t="str">
        <f>IFERROR(INDEX(PRENOTAZIONI!$L:$L,SMALL(PRENOTAZIONI!$Y:$Y,28)),"")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47" t="str">
        <f>IFERROR(INDEX(PRENOTAZIONI!$R:$R,SMALL(PRENOTAZIONI!$Y:$Y,28)),"")</f>
        <v/>
      </c>
      <c r="S31" s="101"/>
      <c r="T31" s="99" t="str">
        <f>IFERROR(INDEX(PRENOTAZIONI!$A:$A,SMALL(PRENOTAZIONI!$AM:$AM,28)),"")</f>
        <v/>
      </c>
      <c r="U31" s="31" t="str">
        <f>IFERROR(INDEX(PRENOTAZIONI!$B:$B,SMALL(PRENOTAZIONI!$AM:$AM,28)),"")</f>
        <v/>
      </c>
      <c r="V31" s="32" t="str">
        <f t="shared" si="6"/>
        <v/>
      </c>
      <c r="W31" s="34" t="str">
        <f>IFERROR(INDEX(PRENOTAZIONI!$E:$E,SMALL(PRENOTAZIONI!$AM:$AM,28)),"")</f>
        <v/>
      </c>
      <c r="X31" s="34" t="str">
        <f>IFERROR(INDEX(PRENOTAZIONI!$F:$F,SMALL(PRENOTAZIONI!$AM:$AM,28)),"")</f>
        <v/>
      </c>
      <c r="Y31" s="35" t="str">
        <f>IFERROR(INDEX(PRENOTAZIONI!$H:$H,SMALL(PRENOTAZIONI!$AM:$AM,28)),"")</f>
        <v/>
      </c>
      <c r="Z31" s="34" t="str">
        <f>IFERROR(INDEX(PRENOTAZIONI!$K:$K,SMALL(PRENOTAZIONI!$AM:$AM,28)),"")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IFERROR(INDEX(PRENOTAZIONI!$A:$A,SMALL(PRENOTAZIONI!$Y:$Y,29)),"")</f>
        <v/>
      </c>
      <c r="B32" s="31" t="str">
        <f>IFERROR(INDEX(PRENOTAZIONI!$B:$B,SMALL(PRENOTAZIONI!$Y:$Y,29)),"")</f>
        <v/>
      </c>
      <c r="C32" s="32" t="str">
        <f t="shared" si="0"/>
        <v/>
      </c>
      <c r="D32" s="34" t="str">
        <f>IFERROR(INDEX(PRENOTAZIONI!$E:$E,SMALL(PRENOTAZIONI!$Y:$Y,29)),"")</f>
        <v/>
      </c>
      <c r="E32" s="34" t="str">
        <f>IFERROR(INDEX(PRENOTAZIONI!$F:$F,SMALL(PRENOTAZIONI!$Y:$Y,29)),"")</f>
        <v/>
      </c>
      <c r="F32" s="34" t="str">
        <f>IFERROR(INDEX(PRENOTAZIONI!$G:$G,SMALL(PRENOTAZIONI!$Y:$Y,29)),"")</f>
        <v/>
      </c>
      <c r="G32" s="35" t="str">
        <f>IFERROR(INDEX(PRENOTAZIONI!$H:$H,SMALL(PRENOTAZIONI!$Y:$Y,29)),"")</f>
        <v/>
      </c>
      <c r="H32" s="146" t="str">
        <f t="shared" si="1"/>
        <v/>
      </c>
      <c r="I32" s="35" t="str">
        <f t="shared" si="9"/>
        <v/>
      </c>
      <c r="J32" s="149" t="str">
        <f t="shared" si="10"/>
        <v/>
      </c>
      <c r="K32" s="34" t="str">
        <f>IFERROR(INDEX(PRENOTAZIONI!$K:$K,SMALL(PRENOTAZIONI!$Y:$Y,29)),"")</f>
        <v/>
      </c>
      <c r="L32" s="35" t="str">
        <f>IFERROR(INDEX(PRENOTAZIONI!$L:$L,SMALL(PRENOTAZIONI!$Y:$Y,29)),"")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47" t="str">
        <f>IFERROR(INDEX(PRENOTAZIONI!$R:$R,SMALL(PRENOTAZIONI!$Y:$Y,29)),"")</f>
        <v/>
      </c>
      <c r="S32" s="101"/>
      <c r="T32" s="99" t="str">
        <f>IFERROR(INDEX(PRENOTAZIONI!$A:$A,SMALL(PRENOTAZIONI!$AM:$AM,29)),"")</f>
        <v/>
      </c>
      <c r="U32" s="31" t="str">
        <f>IFERROR(INDEX(PRENOTAZIONI!$B:$B,SMALL(PRENOTAZIONI!$AM:$AM,29)),"")</f>
        <v/>
      </c>
      <c r="V32" s="32" t="str">
        <f t="shared" si="6"/>
        <v/>
      </c>
      <c r="W32" s="34" t="str">
        <f>IFERROR(INDEX(PRENOTAZIONI!$E:$E,SMALL(PRENOTAZIONI!$AM:$AM,29)),"")</f>
        <v/>
      </c>
      <c r="X32" s="34" t="str">
        <f>IFERROR(INDEX(PRENOTAZIONI!$F:$F,SMALL(PRENOTAZIONI!$AM:$AM,29)),"")</f>
        <v/>
      </c>
      <c r="Y32" s="35" t="str">
        <f>IFERROR(INDEX(PRENOTAZIONI!$H:$H,SMALL(PRENOTAZIONI!$AM:$AM,29)),"")</f>
        <v/>
      </c>
      <c r="Z32" s="34" t="str">
        <f>IFERROR(INDEX(PRENOTAZIONI!$K:$K,SMALL(PRENOTAZIONI!$AM:$AM,29)),"")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IFERROR(INDEX(PRENOTAZIONI!$A:$A,SMALL(PRENOTAZIONI!$Y:$Y,30)),"")</f>
        <v/>
      </c>
      <c r="B33" s="31" t="str">
        <f>IFERROR(INDEX(PRENOTAZIONI!$B:$B,SMALL(PRENOTAZIONI!$Y:$Y,30)),"")</f>
        <v/>
      </c>
      <c r="C33" s="32" t="str">
        <f t="shared" si="0"/>
        <v/>
      </c>
      <c r="D33" s="34" t="str">
        <f>IFERROR(INDEX(PRENOTAZIONI!$E:$E,SMALL(PRENOTAZIONI!$Y:$Y,30)),"")</f>
        <v/>
      </c>
      <c r="E33" s="34" t="str">
        <f>IFERROR(INDEX(PRENOTAZIONI!$F:$F,SMALL(PRENOTAZIONI!$Y:$Y,30)),"")</f>
        <v/>
      </c>
      <c r="F33" s="34" t="str">
        <f>IFERROR(INDEX(PRENOTAZIONI!$G:$G,SMALL(PRENOTAZIONI!$Y:$Y,30)),"")</f>
        <v/>
      </c>
      <c r="G33" s="35" t="str">
        <f>IFERROR(INDEX(PRENOTAZIONI!$H:$H,SMALL(PRENOTAZIONI!$Y:$Y,30)),"")</f>
        <v/>
      </c>
      <c r="H33" s="146" t="str">
        <f t="shared" si="1"/>
        <v/>
      </c>
      <c r="I33" s="35" t="str">
        <f t="shared" si="9"/>
        <v/>
      </c>
      <c r="J33" s="149" t="str">
        <f t="shared" si="10"/>
        <v/>
      </c>
      <c r="K33" s="34" t="str">
        <f>IFERROR(INDEX(PRENOTAZIONI!$K:$K,SMALL(PRENOTAZIONI!$Y:$Y,30)),"")</f>
        <v/>
      </c>
      <c r="L33" s="35" t="str">
        <f>IFERROR(INDEX(PRENOTAZIONI!$L:$L,SMALL(PRENOTAZIONI!$Y:$Y,30)),"")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47" t="str">
        <f>IFERROR(INDEX(PRENOTAZIONI!$R:$R,SMALL(PRENOTAZIONI!$Y:$Y,30)),"")</f>
        <v/>
      </c>
      <c r="S33" s="101"/>
      <c r="T33" s="99" t="str">
        <f>IFERROR(INDEX(PRENOTAZIONI!$A:$A,SMALL(PRENOTAZIONI!$AM:$AM,30)),"")</f>
        <v/>
      </c>
      <c r="U33" s="31" t="str">
        <f>IFERROR(INDEX(PRENOTAZIONI!$B:$B,SMALL(PRENOTAZIONI!$AM:$AM,30)),"")</f>
        <v/>
      </c>
      <c r="V33" s="32" t="str">
        <f t="shared" si="6"/>
        <v/>
      </c>
      <c r="W33" s="34" t="str">
        <f>IFERROR(INDEX(PRENOTAZIONI!$E:$E,SMALL(PRENOTAZIONI!$AM:$AM,30)),"")</f>
        <v/>
      </c>
      <c r="X33" s="34" t="str">
        <f>IFERROR(INDEX(PRENOTAZIONI!$F:$F,SMALL(PRENOTAZIONI!$AM:$AM,30)),"")</f>
        <v/>
      </c>
      <c r="Y33" s="35" t="str">
        <f>IFERROR(INDEX(PRENOTAZIONI!$H:$H,SMALL(PRENOTAZIONI!$AM:$AM,30)),"")</f>
        <v/>
      </c>
      <c r="Z33" s="34" t="str">
        <f>IFERROR(INDEX(PRENOTAZIONI!$K:$K,SMALL(PRENOTAZIONI!$AM:$AM,30)),"")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IFERROR(INDEX(PRENOTAZIONI!$A:$A,SMALL(PRENOTAZIONI!$Y:$Y,31)),"")</f>
        <v/>
      </c>
      <c r="B34" s="31" t="str">
        <f>IFERROR(INDEX(PRENOTAZIONI!$B:$B,SMALL(PRENOTAZIONI!$Y:$Y,31)),"")</f>
        <v/>
      </c>
      <c r="C34" s="32" t="str">
        <f t="shared" si="0"/>
        <v/>
      </c>
      <c r="D34" s="34" t="str">
        <f>IFERROR(INDEX(PRENOTAZIONI!$E:$E,SMALL(PRENOTAZIONI!$Y:$Y,31)),"")</f>
        <v/>
      </c>
      <c r="E34" s="34" t="str">
        <f>IFERROR(INDEX(PRENOTAZIONI!$F:$F,SMALL(PRENOTAZIONI!$Y:$Y,31)),"")</f>
        <v/>
      </c>
      <c r="F34" s="34" t="str">
        <f>IFERROR(INDEX(PRENOTAZIONI!$G:$G,SMALL(PRENOTAZIONI!$Y:$Y,31)),"")</f>
        <v/>
      </c>
      <c r="G34" s="35" t="str">
        <f>IFERROR(INDEX(PRENOTAZIONI!$H:$H,SMALL(PRENOTAZIONI!$Y:$Y,31)),"")</f>
        <v/>
      </c>
      <c r="H34" s="146" t="str">
        <f t="shared" si="1"/>
        <v/>
      </c>
      <c r="I34" s="35" t="str">
        <f t="shared" si="9"/>
        <v/>
      </c>
      <c r="J34" s="149" t="str">
        <f t="shared" si="10"/>
        <v/>
      </c>
      <c r="K34" s="34" t="str">
        <f>IFERROR(INDEX(PRENOTAZIONI!$K:$K,SMALL(PRENOTAZIONI!$Y:$Y,31)),"")</f>
        <v/>
      </c>
      <c r="L34" s="35" t="str">
        <f>IFERROR(INDEX(PRENOTAZIONI!$L:$L,SMALL(PRENOTAZIONI!$Y:$Y,31)),"")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47" t="str">
        <f>IFERROR(INDEX(PRENOTAZIONI!$R:$R,SMALL(PRENOTAZIONI!$Y:$Y,31)),"")</f>
        <v/>
      </c>
      <c r="S34" s="49"/>
      <c r="T34" s="84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IFERROR(INDEX(PRENOTAZIONI!$A:$A,SMALL(PRENOTAZIONI!$Y:$Y,32)),"")</f>
        <v/>
      </c>
      <c r="B35" s="31" t="str">
        <f>IFERROR(INDEX(PRENOTAZIONI!$B:$B,SMALL(PRENOTAZIONI!$Y:$Y,32)),"")</f>
        <v/>
      </c>
      <c r="C35" s="32" t="str">
        <f t="shared" si="0"/>
        <v/>
      </c>
      <c r="D35" s="34" t="str">
        <f>IFERROR(INDEX(PRENOTAZIONI!$E:$E,SMALL(PRENOTAZIONI!$Y:$Y,32)),"")</f>
        <v/>
      </c>
      <c r="E35" s="34" t="str">
        <f>IFERROR(INDEX(PRENOTAZIONI!$F:$F,SMALL(PRENOTAZIONI!$Y:$Y,32)),"")</f>
        <v/>
      </c>
      <c r="F35" s="34" t="str">
        <f>IFERROR(INDEX(PRENOTAZIONI!$G:$G,SMALL(PRENOTAZIONI!$Y:$Y,32)),"")</f>
        <v/>
      </c>
      <c r="G35" s="35" t="str">
        <f>IFERROR(INDEX(PRENOTAZIONI!$H:$H,SMALL(PRENOTAZIONI!$Y:$Y,32)),"")</f>
        <v/>
      </c>
      <c r="H35" s="146" t="str">
        <f t="shared" si="1"/>
        <v/>
      </c>
      <c r="I35" s="35" t="str">
        <f t="shared" si="9"/>
        <v/>
      </c>
      <c r="J35" s="149" t="str">
        <f t="shared" si="10"/>
        <v/>
      </c>
      <c r="K35" s="34" t="str">
        <f>IFERROR(INDEX(PRENOTAZIONI!$K:$K,SMALL(PRENOTAZIONI!$Y:$Y,32)),"")</f>
        <v/>
      </c>
      <c r="L35" s="35" t="str">
        <f>IFERROR(INDEX(PRENOTAZIONI!$L:$L,SMALL(PRENOTAZIONI!$Y:$Y,32)),"")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47" t="str">
        <f>IFERROR(INDEX(PRENOTAZIONI!$R:$R,SMALL(PRENOTAZIONI!$Y:$Y,32)),"")</f>
        <v/>
      </c>
      <c r="T35" s="78"/>
    </row>
    <row r="36" spans="1:30" ht="22" customHeight="1" x14ac:dyDescent="0.25">
      <c r="A36" s="31" t="str">
        <f>IFERROR(INDEX(PRENOTAZIONI!$A:$A,SMALL(PRENOTAZIONI!$Y:$Y,33)),"")</f>
        <v/>
      </c>
      <c r="B36" s="31" t="str">
        <f>IFERROR(INDEX(PRENOTAZIONI!$B:$B,SMALL(PRENOTAZIONI!$Y:$Y,33)),"")</f>
        <v/>
      </c>
      <c r="C36" s="32" t="str">
        <f t="shared" ref="C36:C63" si="12">IF(A36&lt;&gt;"",B36-A36,"")</f>
        <v/>
      </c>
      <c r="D36" s="34" t="str">
        <f>IFERROR(INDEX(PRENOTAZIONI!$E:$E,SMALL(PRENOTAZIONI!$Y:$Y,33)),"")</f>
        <v/>
      </c>
      <c r="E36" s="34" t="str">
        <f>IFERROR(INDEX(PRENOTAZIONI!$F:$F,SMALL(PRENOTAZIONI!$Y:$Y,33)),"")</f>
        <v/>
      </c>
      <c r="F36" s="34" t="str">
        <f>IFERROR(INDEX(PRENOTAZIONI!$G:$G,SMALL(PRENOTAZIONI!$Y:$Y,33)),"")</f>
        <v/>
      </c>
      <c r="G36" s="35" t="str">
        <f>IFERROR(INDEX(PRENOTAZIONI!$H:$H,SMALL(PRENOTAZIONI!$Y:$Y,33)),"")</f>
        <v/>
      </c>
      <c r="H36" s="146" t="str">
        <f t="shared" ref="H36:H63" si="13">IF(AND(G36&lt;&gt;"",C36&lt;&gt;"",C36&lt;&gt;0),G36/C36,"")</f>
        <v/>
      </c>
      <c r="I36" s="35" t="str">
        <f t="shared" si="9"/>
        <v/>
      </c>
      <c r="J36" s="149" t="str">
        <f t="shared" ref="J36:J63" si="14">IF(H36&lt;&gt;"",H36*0.22,"")</f>
        <v/>
      </c>
      <c r="K36" s="34" t="str">
        <f>IFERROR(INDEX(PRENOTAZIONI!$K:$K,SMALL(PRENOTAZIONI!$Y:$Y,33)),"")</f>
        <v/>
      </c>
      <c r="L36" s="35" t="str">
        <f>IFERROR(INDEX(PRENOTAZIONI!$L:$L,SMALL(PRENOTAZIONI!$Y:$Y,33)),"")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47" t="str">
        <f>IFERROR(INDEX(PRENOTAZIONI!$R:$R,SMALL(PRENOTAZIONI!$Y:$Y,33)),"")</f>
        <v/>
      </c>
      <c r="T36" s="78"/>
    </row>
    <row r="37" spans="1:30" ht="22" customHeight="1" x14ac:dyDescent="0.25">
      <c r="A37" s="31" t="str">
        <f>IFERROR(INDEX(PRENOTAZIONI!$A:$A,SMALL(PRENOTAZIONI!$Y:$Y,34)),"")</f>
        <v/>
      </c>
      <c r="B37" s="31" t="str">
        <f>IFERROR(INDEX(PRENOTAZIONI!$B:$B,SMALL(PRENOTAZIONI!$Y:$Y,34)),"")</f>
        <v/>
      </c>
      <c r="C37" s="32" t="str">
        <f t="shared" si="12"/>
        <v/>
      </c>
      <c r="D37" s="34" t="str">
        <f>IFERROR(INDEX(PRENOTAZIONI!$E:$E,SMALL(PRENOTAZIONI!$Y:$Y,34)),"")</f>
        <v/>
      </c>
      <c r="E37" s="34" t="str">
        <f>IFERROR(INDEX(PRENOTAZIONI!$F:$F,SMALL(PRENOTAZIONI!$Y:$Y,34)),"")</f>
        <v/>
      </c>
      <c r="F37" s="34" t="str">
        <f>IFERROR(INDEX(PRENOTAZIONI!$G:$G,SMALL(PRENOTAZIONI!$Y:$Y,34)),"")</f>
        <v/>
      </c>
      <c r="G37" s="35" t="str">
        <f>IFERROR(INDEX(PRENOTAZIONI!$H:$H,SMALL(PRENOTAZIONI!$Y:$Y,34)),"")</f>
        <v/>
      </c>
      <c r="H37" s="146" t="str">
        <f t="shared" si="13"/>
        <v/>
      </c>
      <c r="I37" s="35" t="str">
        <f t="shared" si="9"/>
        <v/>
      </c>
      <c r="J37" s="149" t="str">
        <f t="shared" si="14"/>
        <v/>
      </c>
      <c r="K37" s="34" t="str">
        <f>IFERROR(INDEX(PRENOTAZIONI!$K:$K,SMALL(PRENOTAZIONI!$Y:$Y,34)),"")</f>
        <v/>
      </c>
      <c r="L37" s="35" t="str">
        <f>IFERROR(INDEX(PRENOTAZIONI!$L:$L,SMALL(PRENOTAZIONI!$Y:$Y,34)),"")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47" t="str">
        <f>IFERROR(INDEX(PRENOTAZIONI!$R:$R,SMALL(PRENOTAZIONI!$Y:$Y,34)),"")</f>
        <v/>
      </c>
      <c r="T37" s="78"/>
    </row>
    <row r="38" spans="1:30" ht="22" customHeight="1" x14ac:dyDescent="0.25">
      <c r="A38" s="31" t="str">
        <f>IFERROR(INDEX(PRENOTAZIONI!$A:$A,SMALL(PRENOTAZIONI!$Y:$Y,35)),"")</f>
        <v/>
      </c>
      <c r="B38" s="31" t="str">
        <f>IFERROR(INDEX(PRENOTAZIONI!$B:$B,SMALL(PRENOTAZIONI!$Y:$Y,35)),"")</f>
        <v/>
      </c>
      <c r="C38" s="32" t="str">
        <f t="shared" si="12"/>
        <v/>
      </c>
      <c r="D38" s="34" t="str">
        <f>IFERROR(INDEX(PRENOTAZIONI!$E:$E,SMALL(PRENOTAZIONI!$Y:$Y,35)),"")</f>
        <v/>
      </c>
      <c r="E38" s="34" t="str">
        <f>IFERROR(INDEX(PRENOTAZIONI!$F:$F,SMALL(PRENOTAZIONI!$Y:$Y,35)),"")</f>
        <v/>
      </c>
      <c r="F38" s="34" t="str">
        <f>IFERROR(INDEX(PRENOTAZIONI!$G:$G,SMALL(PRENOTAZIONI!$Y:$Y,35)),"")</f>
        <v/>
      </c>
      <c r="G38" s="35" t="str">
        <f>IFERROR(INDEX(PRENOTAZIONI!$H:$H,SMALL(PRENOTAZIONI!$Y:$Y,35)),"")</f>
        <v/>
      </c>
      <c r="H38" s="146" t="str">
        <f t="shared" si="13"/>
        <v/>
      </c>
      <c r="I38" s="35" t="str">
        <f t="shared" si="9"/>
        <v/>
      </c>
      <c r="J38" s="149" t="str">
        <f t="shared" si="14"/>
        <v/>
      </c>
      <c r="K38" s="34" t="str">
        <f>IFERROR(INDEX(PRENOTAZIONI!$K:$K,SMALL(PRENOTAZIONI!$Y:$Y,35)),"")</f>
        <v/>
      </c>
      <c r="L38" s="35" t="str">
        <f>IFERROR(INDEX(PRENOTAZIONI!$L:$L,SMALL(PRENOTAZIONI!$Y:$Y,35)),"")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47" t="str">
        <f>IFERROR(INDEX(PRENOTAZIONI!$R:$R,SMALL(PRENOTAZIONI!$Y:$Y,35)),"")</f>
        <v/>
      </c>
      <c r="T38" s="78"/>
    </row>
    <row r="39" spans="1:30" ht="22" customHeight="1" x14ac:dyDescent="0.25">
      <c r="A39" s="31" t="str">
        <f>IFERROR(INDEX(PRENOTAZIONI!$A:$A,SMALL(PRENOTAZIONI!$Y:$Y,36)),"")</f>
        <v/>
      </c>
      <c r="B39" s="31" t="str">
        <f>IFERROR(INDEX(PRENOTAZIONI!$B:$B,SMALL(PRENOTAZIONI!$Y:$Y,36)),"")</f>
        <v/>
      </c>
      <c r="C39" s="32" t="str">
        <f t="shared" si="12"/>
        <v/>
      </c>
      <c r="D39" s="34" t="str">
        <f>IFERROR(INDEX(PRENOTAZIONI!$E:$E,SMALL(PRENOTAZIONI!$Y:$Y,36)),"")</f>
        <v/>
      </c>
      <c r="E39" s="34" t="str">
        <f>IFERROR(INDEX(PRENOTAZIONI!$F:$F,SMALL(PRENOTAZIONI!$Y:$Y,36)),"")</f>
        <v/>
      </c>
      <c r="F39" s="34" t="str">
        <f>IFERROR(INDEX(PRENOTAZIONI!$G:$G,SMALL(PRENOTAZIONI!$Y:$Y,36)),"")</f>
        <v/>
      </c>
      <c r="G39" s="35" t="str">
        <f>IFERROR(INDEX(PRENOTAZIONI!$H:$H,SMALL(PRENOTAZIONI!$Y:$Y,36)),"")</f>
        <v/>
      </c>
      <c r="H39" s="146" t="str">
        <f t="shared" si="13"/>
        <v/>
      </c>
      <c r="I39" s="35" t="str">
        <f t="shared" si="9"/>
        <v/>
      </c>
      <c r="J39" s="149" t="str">
        <f t="shared" si="14"/>
        <v/>
      </c>
      <c r="K39" s="34" t="str">
        <f>IFERROR(INDEX(PRENOTAZIONI!$K:$K,SMALL(PRENOTAZIONI!$Y:$Y,36)),"")</f>
        <v/>
      </c>
      <c r="L39" s="35" t="str">
        <f>IFERROR(INDEX(PRENOTAZIONI!$L:$L,SMALL(PRENOTAZIONI!$Y:$Y,36)),"")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47" t="str">
        <f>IFERROR(INDEX(PRENOTAZIONI!$R:$R,SMALL(PRENOTAZIONI!$Y:$Y,36)),"")</f>
        <v/>
      </c>
      <c r="T39" s="78"/>
    </row>
    <row r="40" spans="1:30" ht="22" customHeight="1" x14ac:dyDescent="0.25">
      <c r="A40" s="31" t="str">
        <f>IFERROR(INDEX(PRENOTAZIONI!$A:$A,SMALL(PRENOTAZIONI!$Y:$Y,37)),"")</f>
        <v/>
      </c>
      <c r="B40" s="31" t="str">
        <f>IFERROR(INDEX(PRENOTAZIONI!$B:$B,SMALL(PRENOTAZIONI!$Y:$Y,37)),"")</f>
        <v/>
      </c>
      <c r="C40" s="32" t="str">
        <f t="shared" si="12"/>
        <v/>
      </c>
      <c r="D40" s="34" t="str">
        <f>IFERROR(INDEX(PRENOTAZIONI!$E:$E,SMALL(PRENOTAZIONI!$Y:$Y,37)),"")</f>
        <v/>
      </c>
      <c r="E40" s="34" t="str">
        <f>IFERROR(INDEX(PRENOTAZIONI!$F:$F,SMALL(PRENOTAZIONI!$Y:$Y,37)),"")</f>
        <v/>
      </c>
      <c r="F40" s="34" t="str">
        <f>IFERROR(INDEX(PRENOTAZIONI!$G:$G,SMALL(PRENOTAZIONI!$Y:$Y,37)),"")</f>
        <v/>
      </c>
      <c r="G40" s="35" t="str">
        <f>IFERROR(INDEX(PRENOTAZIONI!$H:$H,SMALL(PRENOTAZIONI!$Y:$Y,37)),"")</f>
        <v/>
      </c>
      <c r="H40" s="146" t="str">
        <f t="shared" si="13"/>
        <v/>
      </c>
      <c r="I40" s="35" t="str">
        <f t="shared" ref="I40:I63" si="18">IF(G40="","",IF(NOT(ISERROR(SEARCH("diretta",F40))),0,IF(NOT(ISERROR(SEARCH("booking",F40))),G40*0.15,IF(NOT(ISERROR(SEARCH("airbnb",F40))),G40*0.155,""))))</f>
        <v/>
      </c>
      <c r="J40" s="149" t="str">
        <f t="shared" si="14"/>
        <v/>
      </c>
      <c r="K40" s="34" t="str">
        <f>IFERROR(INDEX(PRENOTAZIONI!$K:$K,SMALL(PRENOTAZIONI!$Y:$Y,37)),"")</f>
        <v/>
      </c>
      <c r="L40" s="35" t="str">
        <f>IFERROR(INDEX(PRENOTAZIONI!$L:$L,SMALL(PRENOTAZIONI!$Y:$Y,37)),"")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47" t="str">
        <f>IFERROR(INDEX(PRENOTAZIONI!$R:$R,SMALL(PRENOTAZIONI!$Y:$Y,37)),"")</f>
        <v/>
      </c>
      <c r="T40" s="78"/>
    </row>
    <row r="41" spans="1:30" ht="22" customHeight="1" x14ac:dyDescent="0.25">
      <c r="A41" s="31" t="str">
        <f>IFERROR(INDEX(PRENOTAZIONI!$A:$A,SMALL(PRENOTAZIONI!$Y:$Y,38)),"")</f>
        <v/>
      </c>
      <c r="B41" s="31" t="str">
        <f>IFERROR(INDEX(PRENOTAZIONI!$B:$B,SMALL(PRENOTAZIONI!$Y:$Y,38)),"")</f>
        <v/>
      </c>
      <c r="C41" s="32" t="str">
        <f t="shared" si="12"/>
        <v/>
      </c>
      <c r="D41" s="34" t="str">
        <f>IFERROR(INDEX(PRENOTAZIONI!$E:$E,SMALL(PRENOTAZIONI!$Y:$Y,38)),"")</f>
        <v/>
      </c>
      <c r="E41" s="34" t="str">
        <f>IFERROR(INDEX(PRENOTAZIONI!$F:$F,SMALL(PRENOTAZIONI!$Y:$Y,38)),"")</f>
        <v/>
      </c>
      <c r="F41" s="34" t="str">
        <f>IFERROR(INDEX(PRENOTAZIONI!$G:$G,SMALL(PRENOTAZIONI!$Y:$Y,38)),"")</f>
        <v/>
      </c>
      <c r="G41" s="35" t="str">
        <f>IFERROR(INDEX(PRENOTAZIONI!$H:$H,SMALL(PRENOTAZIONI!$Y:$Y,38)),"")</f>
        <v/>
      </c>
      <c r="H41" s="146" t="str">
        <f t="shared" si="13"/>
        <v/>
      </c>
      <c r="I41" s="35" t="str">
        <f t="shared" si="18"/>
        <v/>
      </c>
      <c r="J41" s="149" t="str">
        <f t="shared" si="14"/>
        <v/>
      </c>
      <c r="K41" s="34" t="str">
        <f>IFERROR(INDEX(PRENOTAZIONI!$K:$K,SMALL(PRENOTAZIONI!$Y:$Y,38)),"")</f>
        <v/>
      </c>
      <c r="L41" s="35" t="str">
        <f>IFERROR(INDEX(PRENOTAZIONI!$L:$L,SMALL(PRENOTAZIONI!$Y:$Y,38)),"")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47" t="str">
        <f>IFERROR(INDEX(PRENOTAZIONI!$R:$R,SMALL(PRENOTAZIONI!$Y:$Y,38)),"")</f>
        <v/>
      </c>
      <c r="T41" s="78"/>
    </row>
    <row r="42" spans="1:30" ht="22" customHeight="1" x14ac:dyDescent="0.25">
      <c r="A42" s="31" t="str">
        <f>IFERROR(INDEX(PRENOTAZIONI!$A:$A,SMALL(PRENOTAZIONI!$Y:$Y,39)),"")</f>
        <v/>
      </c>
      <c r="B42" s="31" t="str">
        <f>IFERROR(INDEX(PRENOTAZIONI!$B:$B,SMALL(PRENOTAZIONI!$Y:$Y,39)),"")</f>
        <v/>
      </c>
      <c r="C42" s="32" t="str">
        <f t="shared" si="12"/>
        <v/>
      </c>
      <c r="D42" s="34" t="str">
        <f>IFERROR(INDEX(PRENOTAZIONI!$E:$E,SMALL(PRENOTAZIONI!$Y:$Y,39)),"")</f>
        <v/>
      </c>
      <c r="E42" s="34" t="str">
        <f>IFERROR(INDEX(PRENOTAZIONI!$F:$F,SMALL(PRENOTAZIONI!$Y:$Y,39)),"")</f>
        <v/>
      </c>
      <c r="F42" s="34" t="str">
        <f>IFERROR(INDEX(PRENOTAZIONI!$G:$G,SMALL(PRENOTAZIONI!$Y:$Y,39)),"")</f>
        <v/>
      </c>
      <c r="G42" s="35" t="str">
        <f>IFERROR(INDEX(PRENOTAZIONI!$H:$H,SMALL(PRENOTAZIONI!$Y:$Y,39)),"")</f>
        <v/>
      </c>
      <c r="H42" s="146" t="str">
        <f t="shared" si="13"/>
        <v/>
      </c>
      <c r="I42" s="35" t="str">
        <f t="shared" si="18"/>
        <v/>
      </c>
      <c r="J42" s="149" t="str">
        <f t="shared" si="14"/>
        <v/>
      </c>
      <c r="K42" s="34" t="str">
        <f>IFERROR(INDEX(PRENOTAZIONI!$K:$K,SMALL(PRENOTAZIONI!$Y:$Y,39)),"")</f>
        <v/>
      </c>
      <c r="L42" s="35" t="str">
        <f>IFERROR(INDEX(PRENOTAZIONI!$L:$L,SMALL(PRENOTAZIONI!$Y:$Y,39)),"")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47" t="str">
        <f>IFERROR(INDEX(PRENOTAZIONI!$R:$R,SMALL(PRENOTAZIONI!$Y:$Y,39)),"")</f>
        <v/>
      </c>
      <c r="T42" s="78"/>
    </row>
    <row r="43" spans="1:30" ht="22" customHeight="1" x14ac:dyDescent="0.25">
      <c r="A43" s="31" t="str">
        <f>IFERROR(INDEX(PRENOTAZIONI!$A:$A,SMALL(PRENOTAZIONI!$Y:$Y,40)),"")</f>
        <v/>
      </c>
      <c r="B43" s="31" t="str">
        <f>IFERROR(INDEX(PRENOTAZIONI!$B:$B,SMALL(PRENOTAZIONI!$Y:$Y,40)),"")</f>
        <v/>
      </c>
      <c r="C43" s="32" t="str">
        <f t="shared" si="12"/>
        <v/>
      </c>
      <c r="D43" s="34" t="str">
        <f>IFERROR(INDEX(PRENOTAZIONI!$E:$E,SMALL(PRENOTAZIONI!$Y:$Y,40)),"")</f>
        <v/>
      </c>
      <c r="E43" s="34" t="str">
        <f>IFERROR(INDEX(PRENOTAZIONI!$F:$F,SMALL(PRENOTAZIONI!$Y:$Y,40)),"")</f>
        <v/>
      </c>
      <c r="F43" s="34" t="str">
        <f>IFERROR(INDEX(PRENOTAZIONI!$G:$G,SMALL(PRENOTAZIONI!$Y:$Y,40)),"")</f>
        <v/>
      </c>
      <c r="G43" s="35" t="str">
        <f>IFERROR(INDEX(PRENOTAZIONI!$H:$H,SMALL(PRENOTAZIONI!$Y:$Y,40)),"")</f>
        <v/>
      </c>
      <c r="H43" s="146" t="str">
        <f t="shared" si="13"/>
        <v/>
      </c>
      <c r="I43" s="35" t="str">
        <f t="shared" si="18"/>
        <v/>
      </c>
      <c r="J43" s="149" t="str">
        <f t="shared" si="14"/>
        <v/>
      </c>
      <c r="K43" s="34" t="str">
        <f>IFERROR(INDEX(PRENOTAZIONI!$K:$K,SMALL(PRENOTAZIONI!$Y:$Y,40)),"")</f>
        <v/>
      </c>
      <c r="L43" s="35" t="str">
        <f>IFERROR(INDEX(PRENOTAZIONI!$L:$L,SMALL(PRENOTAZIONI!$Y:$Y,40)),"")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47" t="str">
        <f>IFERROR(INDEX(PRENOTAZIONI!$R:$R,SMALL(PRENOTAZIONI!$Y:$Y,40)),"")</f>
        <v/>
      </c>
      <c r="T43" s="78"/>
    </row>
    <row r="44" spans="1:30" ht="22" customHeight="1" x14ac:dyDescent="0.25">
      <c r="A44" s="31" t="str">
        <f>IFERROR(INDEX(PRENOTAZIONI!$A:$A,SMALL(PRENOTAZIONI!$Y:$Y,41)),"")</f>
        <v/>
      </c>
      <c r="B44" s="31" t="str">
        <f>IFERROR(INDEX(PRENOTAZIONI!$B:$B,SMALL(PRENOTAZIONI!$Y:$Y,41)),"")</f>
        <v/>
      </c>
      <c r="C44" s="32" t="str">
        <f t="shared" si="12"/>
        <v/>
      </c>
      <c r="D44" s="34" t="str">
        <f>IFERROR(INDEX(PRENOTAZIONI!$E:$E,SMALL(PRENOTAZIONI!$Y:$Y,41)),"")</f>
        <v/>
      </c>
      <c r="E44" s="34" t="str">
        <f>IFERROR(INDEX(PRENOTAZIONI!$F:$F,SMALL(PRENOTAZIONI!$Y:$Y,41)),"")</f>
        <v/>
      </c>
      <c r="F44" s="34" t="str">
        <f>IFERROR(INDEX(PRENOTAZIONI!$G:$G,SMALL(PRENOTAZIONI!$Y:$Y,41)),"")</f>
        <v/>
      </c>
      <c r="G44" s="35" t="str">
        <f>IFERROR(INDEX(PRENOTAZIONI!$H:$H,SMALL(PRENOTAZIONI!$Y:$Y,41)),"")</f>
        <v/>
      </c>
      <c r="H44" s="146" t="str">
        <f t="shared" si="13"/>
        <v/>
      </c>
      <c r="I44" s="35" t="str">
        <f t="shared" si="18"/>
        <v/>
      </c>
      <c r="J44" s="149" t="str">
        <f t="shared" si="14"/>
        <v/>
      </c>
      <c r="K44" s="34" t="str">
        <f>IFERROR(INDEX(PRENOTAZIONI!$K:$K,SMALL(PRENOTAZIONI!$Y:$Y,41)),"")</f>
        <v/>
      </c>
      <c r="L44" s="35" t="str">
        <f>IFERROR(INDEX(PRENOTAZIONI!$L:$L,SMALL(PRENOTAZIONI!$Y:$Y,41)),"")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47" t="str">
        <f>IFERROR(INDEX(PRENOTAZIONI!$R:$R,SMALL(PRENOTAZIONI!$Y:$Y,41)),"")</f>
        <v/>
      </c>
      <c r="T44" s="78"/>
    </row>
    <row r="45" spans="1:30" ht="22" customHeight="1" x14ac:dyDescent="0.25">
      <c r="A45" s="31" t="str">
        <f>IFERROR(INDEX(PRENOTAZIONI!$A:$A,SMALL(PRENOTAZIONI!$Y:$Y,42)),"")</f>
        <v/>
      </c>
      <c r="B45" s="31" t="str">
        <f>IFERROR(INDEX(PRENOTAZIONI!$B:$B,SMALL(PRENOTAZIONI!$Y:$Y,42)),"")</f>
        <v/>
      </c>
      <c r="C45" s="32" t="str">
        <f t="shared" si="12"/>
        <v/>
      </c>
      <c r="D45" s="34" t="str">
        <f>IFERROR(INDEX(PRENOTAZIONI!$E:$E,SMALL(PRENOTAZIONI!$Y:$Y,42)),"")</f>
        <v/>
      </c>
      <c r="E45" s="34" t="str">
        <f>IFERROR(INDEX(PRENOTAZIONI!$F:$F,SMALL(PRENOTAZIONI!$Y:$Y,42)),"")</f>
        <v/>
      </c>
      <c r="F45" s="34" t="str">
        <f>IFERROR(INDEX(PRENOTAZIONI!$G:$G,SMALL(PRENOTAZIONI!$Y:$Y,42)),"")</f>
        <v/>
      </c>
      <c r="G45" s="35" t="str">
        <f>IFERROR(INDEX(PRENOTAZIONI!$H:$H,SMALL(PRENOTAZIONI!$Y:$Y,42)),"")</f>
        <v/>
      </c>
      <c r="H45" s="146" t="str">
        <f t="shared" si="13"/>
        <v/>
      </c>
      <c r="I45" s="35" t="str">
        <f t="shared" si="18"/>
        <v/>
      </c>
      <c r="J45" s="149" t="str">
        <f t="shared" si="14"/>
        <v/>
      </c>
      <c r="K45" s="34" t="str">
        <f>IFERROR(INDEX(PRENOTAZIONI!$K:$K,SMALL(PRENOTAZIONI!$Y:$Y,42)),"")</f>
        <v/>
      </c>
      <c r="L45" s="35" t="str">
        <f>IFERROR(INDEX(PRENOTAZIONI!$L:$L,SMALL(PRENOTAZIONI!$Y:$Y,42)),"")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47" t="str">
        <f>IFERROR(INDEX(PRENOTAZIONI!$R:$R,SMALL(PRENOTAZIONI!$Y:$Y,42)),"")</f>
        <v/>
      </c>
      <c r="T45" s="78"/>
    </row>
    <row r="46" spans="1:30" ht="22" customHeight="1" x14ac:dyDescent="0.25">
      <c r="A46" s="31" t="str">
        <f>IFERROR(INDEX(PRENOTAZIONI!$A:$A,SMALL(PRENOTAZIONI!$Y:$Y,43)),"")</f>
        <v/>
      </c>
      <c r="B46" s="31" t="str">
        <f>IFERROR(INDEX(PRENOTAZIONI!$B:$B,SMALL(PRENOTAZIONI!$Y:$Y,43)),"")</f>
        <v/>
      </c>
      <c r="C46" s="32" t="str">
        <f t="shared" si="12"/>
        <v/>
      </c>
      <c r="D46" s="34" t="str">
        <f>IFERROR(INDEX(PRENOTAZIONI!$E:$E,SMALL(PRENOTAZIONI!$Y:$Y,43)),"")</f>
        <v/>
      </c>
      <c r="E46" s="34" t="str">
        <f>IFERROR(INDEX(PRENOTAZIONI!$F:$F,SMALL(PRENOTAZIONI!$Y:$Y,43)),"")</f>
        <v/>
      </c>
      <c r="F46" s="34" t="str">
        <f>IFERROR(INDEX(PRENOTAZIONI!$G:$G,SMALL(PRENOTAZIONI!$Y:$Y,43)),"")</f>
        <v/>
      </c>
      <c r="G46" s="35" t="str">
        <f>IFERROR(INDEX(PRENOTAZIONI!$H:$H,SMALL(PRENOTAZIONI!$Y:$Y,43)),"")</f>
        <v/>
      </c>
      <c r="H46" s="146" t="str">
        <f t="shared" si="13"/>
        <v/>
      </c>
      <c r="I46" s="35" t="str">
        <f t="shared" si="18"/>
        <v/>
      </c>
      <c r="J46" s="149" t="str">
        <f t="shared" si="14"/>
        <v/>
      </c>
      <c r="K46" s="34" t="str">
        <f>IFERROR(INDEX(PRENOTAZIONI!$K:$K,SMALL(PRENOTAZIONI!$Y:$Y,43)),"")</f>
        <v/>
      </c>
      <c r="L46" s="35" t="str">
        <f>IFERROR(INDEX(PRENOTAZIONI!$L:$L,SMALL(PRENOTAZIONI!$Y:$Y,43)),"")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47" t="str">
        <f>IFERROR(INDEX(PRENOTAZIONI!$R:$R,SMALL(PRENOTAZIONI!$Y:$Y,43)),"")</f>
        <v/>
      </c>
      <c r="T46" s="78"/>
    </row>
    <row r="47" spans="1:30" ht="22" customHeight="1" x14ac:dyDescent="0.25">
      <c r="A47" s="31" t="str">
        <f>IFERROR(INDEX(PRENOTAZIONI!$A:$A,SMALL(PRENOTAZIONI!$Y:$Y,44)),"")</f>
        <v/>
      </c>
      <c r="B47" s="31" t="str">
        <f>IFERROR(INDEX(PRENOTAZIONI!$B:$B,SMALL(PRENOTAZIONI!$Y:$Y,44)),"")</f>
        <v/>
      </c>
      <c r="C47" s="32" t="str">
        <f t="shared" si="12"/>
        <v/>
      </c>
      <c r="D47" s="34" t="str">
        <f>IFERROR(INDEX(PRENOTAZIONI!$E:$E,SMALL(PRENOTAZIONI!$Y:$Y,44)),"")</f>
        <v/>
      </c>
      <c r="E47" s="34" t="str">
        <f>IFERROR(INDEX(PRENOTAZIONI!$F:$F,SMALL(PRENOTAZIONI!$Y:$Y,44)),"")</f>
        <v/>
      </c>
      <c r="F47" s="34" t="str">
        <f>IFERROR(INDEX(PRENOTAZIONI!$G:$G,SMALL(PRENOTAZIONI!$Y:$Y,44)),"")</f>
        <v/>
      </c>
      <c r="G47" s="35" t="str">
        <f>IFERROR(INDEX(PRENOTAZIONI!$H:$H,SMALL(PRENOTAZIONI!$Y:$Y,44)),"")</f>
        <v/>
      </c>
      <c r="H47" s="146" t="str">
        <f t="shared" si="13"/>
        <v/>
      </c>
      <c r="I47" s="35" t="str">
        <f t="shared" si="18"/>
        <v/>
      </c>
      <c r="J47" s="149" t="str">
        <f t="shared" si="14"/>
        <v/>
      </c>
      <c r="K47" s="34" t="str">
        <f>IFERROR(INDEX(PRENOTAZIONI!$K:$K,SMALL(PRENOTAZIONI!$Y:$Y,44)),"")</f>
        <v/>
      </c>
      <c r="L47" s="35" t="str">
        <f>IFERROR(INDEX(PRENOTAZIONI!$L:$L,SMALL(PRENOTAZIONI!$Y:$Y,44)),"")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47" t="str">
        <f>IFERROR(INDEX(PRENOTAZIONI!$R:$R,SMALL(PRENOTAZIONI!$Y:$Y,44)),"")</f>
        <v/>
      </c>
      <c r="T47" s="78"/>
    </row>
    <row r="48" spans="1:30" ht="22" customHeight="1" x14ac:dyDescent="0.25">
      <c r="A48" s="31" t="str">
        <f>IFERROR(INDEX(PRENOTAZIONI!$A:$A,SMALL(PRENOTAZIONI!$Y:$Y,45)),"")</f>
        <v/>
      </c>
      <c r="B48" s="31" t="str">
        <f>IFERROR(INDEX(PRENOTAZIONI!$B:$B,SMALL(PRENOTAZIONI!$Y:$Y,45)),"")</f>
        <v/>
      </c>
      <c r="C48" s="32" t="str">
        <f t="shared" si="12"/>
        <v/>
      </c>
      <c r="D48" s="34" t="str">
        <f>IFERROR(INDEX(PRENOTAZIONI!$E:$E,SMALL(PRENOTAZIONI!$Y:$Y,45)),"")</f>
        <v/>
      </c>
      <c r="E48" s="34" t="str">
        <f>IFERROR(INDEX(PRENOTAZIONI!$F:$F,SMALL(PRENOTAZIONI!$Y:$Y,45)),"")</f>
        <v/>
      </c>
      <c r="F48" s="34" t="str">
        <f>IFERROR(INDEX(PRENOTAZIONI!$G:$G,SMALL(PRENOTAZIONI!$Y:$Y,45)),"")</f>
        <v/>
      </c>
      <c r="G48" s="35" t="str">
        <f>IFERROR(INDEX(PRENOTAZIONI!$H:$H,SMALL(PRENOTAZIONI!$Y:$Y,45)),"")</f>
        <v/>
      </c>
      <c r="H48" s="146" t="str">
        <f t="shared" si="13"/>
        <v/>
      </c>
      <c r="I48" s="35" t="str">
        <f t="shared" si="18"/>
        <v/>
      </c>
      <c r="J48" s="149" t="str">
        <f t="shared" si="14"/>
        <v/>
      </c>
      <c r="K48" s="34" t="str">
        <f>IFERROR(INDEX(PRENOTAZIONI!$K:$K,SMALL(PRENOTAZIONI!$Y:$Y,45)),"")</f>
        <v/>
      </c>
      <c r="L48" s="35" t="str">
        <f>IFERROR(INDEX(PRENOTAZIONI!$L:$L,SMALL(PRENOTAZIONI!$Y:$Y,45)),"")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47" t="str">
        <f>IFERROR(INDEX(PRENOTAZIONI!$R:$R,SMALL(PRENOTAZIONI!$Y:$Y,45)),"")</f>
        <v/>
      </c>
      <c r="T48" s="78"/>
    </row>
    <row r="49" spans="1:20" ht="22" customHeight="1" x14ac:dyDescent="0.25">
      <c r="A49" s="31" t="str">
        <f>IFERROR(INDEX(PRENOTAZIONI!$A:$A,SMALL(PRENOTAZIONI!$Y:$Y,46)),"")</f>
        <v/>
      </c>
      <c r="B49" s="31" t="str">
        <f>IFERROR(INDEX(PRENOTAZIONI!$B:$B,SMALL(PRENOTAZIONI!$Y:$Y,46)),"")</f>
        <v/>
      </c>
      <c r="C49" s="32" t="str">
        <f t="shared" si="12"/>
        <v/>
      </c>
      <c r="D49" s="34" t="str">
        <f>IFERROR(INDEX(PRENOTAZIONI!$E:$E,SMALL(PRENOTAZIONI!$Y:$Y,46)),"")</f>
        <v/>
      </c>
      <c r="E49" s="34" t="str">
        <f>IFERROR(INDEX(PRENOTAZIONI!$F:$F,SMALL(PRENOTAZIONI!$Y:$Y,46)),"")</f>
        <v/>
      </c>
      <c r="F49" s="34" t="str">
        <f>IFERROR(INDEX(PRENOTAZIONI!$G:$G,SMALL(PRENOTAZIONI!$Y:$Y,46)),"")</f>
        <v/>
      </c>
      <c r="G49" s="35" t="str">
        <f>IFERROR(INDEX(PRENOTAZIONI!$H:$H,SMALL(PRENOTAZIONI!$Y:$Y,46)),"")</f>
        <v/>
      </c>
      <c r="H49" s="146" t="str">
        <f t="shared" si="13"/>
        <v/>
      </c>
      <c r="I49" s="35" t="str">
        <f t="shared" si="18"/>
        <v/>
      </c>
      <c r="J49" s="149" t="str">
        <f t="shared" si="14"/>
        <v/>
      </c>
      <c r="K49" s="34" t="str">
        <f>IFERROR(INDEX(PRENOTAZIONI!$K:$K,SMALL(PRENOTAZIONI!$Y:$Y,46)),"")</f>
        <v/>
      </c>
      <c r="L49" s="35" t="str">
        <f>IFERROR(INDEX(PRENOTAZIONI!$L:$L,SMALL(PRENOTAZIONI!$Y:$Y,46)),"")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47" t="str">
        <f>IFERROR(INDEX(PRENOTAZIONI!$R:$R,SMALL(PRENOTAZIONI!$Y:$Y,46)),"")</f>
        <v/>
      </c>
      <c r="T49" s="78"/>
    </row>
    <row r="50" spans="1:20" ht="22" customHeight="1" x14ac:dyDescent="0.25">
      <c r="A50" s="31" t="str">
        <f>IFERROR(INDEX(PRENOTAZIONI!$A:$A,SMALL(PRENOTAZIONI!$Y:$Y,47)),"")</f>
        <v/>
      </c>
      <c r="B50" s="31" t="str">
        <f>IFERROR(INDEX(PRENOTAZIONI!$B:$B,SMALL(PRENOTAZIONI!$Y:$Y,47)),"")</f>
        <v/>
      </c>
      <c r="C50" s="32" t="str">
        <f t="shared" si="12"/>
        <v/>
      </c>
      <c r="D50" s="34" t="str">
        <f>IFERROR(INDEX(PRENOTAZIONI!$E:$E,SMALL(PRENOTAZIONI!$Y:$Y,47)),"")</f>
        <v/>
      </c>
      <c r="E50" s="34" t="str">
        <f>IFERROR(INDEX(PRENOTAZIONI!$F:$F,SMALL(PRENOTAZIONI!$Y:$Y,47)),"")</f>
        <v/>
      </c>
      <c r="F50" s="34" t="str">
        <f>IFERROR(INDEX(PRENOTAZIONI!$G:$G,SMALL(PRENOTAZIONI!$Y:$Y,47)),"")</f>
        <v/>
      </c>
      <c r="G50" s="35" t="str">
        <f>IFERROR(INDEX(PRENOTAZIONI!$H:$H,SMALL(PRENOTAZIONI!$Y:$Y,47)),"")</f>
        <v/>
      </c>
      <c r="H50" s="146" t="str">
        <f t="shared" si="13"/>
        <v/>
      </c>
      <c r="I50" s="35" t="str">
        <f t="shared" si="18"/>
        <v/>
      </c>
      <c r="J50" s="149" t="str">
        <f t="shared" si="14"/>
        <v/>
      </c>
      <c r="K50" s="34" t="str">
        <f>IFERROR(INDEX(PRENOTAZIONI!$K:$K,SMALL(PRENOTAZIONI!$Y:$Y,47)),"")</f>
        <v/>
      </c>
      <c r="L50" s="35" t="str">
        <f>IFERROR(INDEX(PRENOTAZIONI!$L:$L,SMALL(PRENOTAZIONI!$Y:$Y,47)),"")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47" t="str">
        <f>IFERROR(INDEX(PRENOTAZIONI!$R:$R,SMALL(PRENOTAZIONI!$Y:$Y,47)),"")</f>
        <v/>
      </c>
      <c r="T50" s="78"/>
    </row>
    <row r="51" spans="1:20" ht="22" customHeight="1" x14ac:dyDescent="0.25">
      <c r="A51" s="31" t="str">
        <f>IFERROR(INDEX(PRENOTAZIONI!$A:$A,SMALL(PRENOTAZIONI!$Y:$Y,48)),"")</f>
        <v/>
      </c>
      <c r="B51" s="31" t="str">
        <f>IFERROR(INDEX(PRENOTAZIONI!$B:$B,SMALL(PRENOTAZIONI!$Y:$Y,48)),"")</f>
        <v/>
      </c>
      <c r="C51" s="32" t="str">
        <f t="shared" si="12"/>
        <v/>
      </c>
      <c r="D51" s="34" t="str">
        <f>IFERROR(INDEX(PRENOTAZIONI!$E:$E,SMALL(PRENOTAZIONI!$Y:$Y,48)),"")</f>
        <v/>
      </c>
      <c r="E51" s="34" t="str">
        <f>IFERROR(INDEX(PRENOTAZIONI!$F:$F,SMALL(PRENOTAZIONI!$Y:$Y,48)),"")</f>
        <v/>
      </c>
      <c r="F51" s="34" t="str">
        <f>IFERROR(INDEX(PRENOTAZIONI!$G:$G,SMALL(PRENOTAZIONI!$Y:$Y,48)),"")</f>
        <v/>
      </c>
      <c r="G51" s="35" t="str">
        <f>IFERROR(INDEX(PRENOTAZIONI!$H:$H,SMALL(PRENOTAZIONI!$Y:$Y,48)),"")</f>
        <v/>
      </c>
      <c r="H51" s="146" t="str">
        <f t="shared" si="13"/>
        <v/>
      </c>
      <c r="I51" s="35" t="str">
        <f t="shared" si="18"/>
        <v/>
      </c>
      <c r="J51" s="149" t="str">
        <f t="shared" si="14"/>
        <v/>
      </c>
      <c r="K51" s="34" t="str">
        <f>IFERROR(INDEX(PRENOTAZIONI!$K:$K,SMALL(PRENOTAZIONI!$Y:$Y,48)),"")</f>
        <v/>
      </c>
      <c r="L51" s="35" t="str">
        <f>IFERROR(INDEX(PRENOTAZIONI!$L:$L,SMALL(PRENOTAZIONI!$Y:$Y,48)),"")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47" t="str">
        <f>IFERROR(INDEX(PRENOTAZIONI!$R:$R,SMALL(PRENOTAZIONI!$Y:$Y,48)),"")</f>
        <v/>
      </c>
      <c r="T51" s="78"/>
    </row>
    <row r="52" spans="1:20" ht="22" customHeight="1" x14ac:dyDescent="0.25">
      <c r="A52" s="31" t="str">
        <f>IFERROR(INDEX(PRENOTAZIONI!$A:$A,SMALL(PRENOTAZIONI!$Y:$Y,49)),"")</f>
        <v/>
      </c>
      <c r="B52" s="31" t="str">
        <f>IFERROR(INDEX(PRENOTAZIONI!$B:$B,SMALL(PRENOTAZIONI!$Y:$Y,49)),"")</f>
        <v/>
      </c>
      <c r="C52" s="32" t="str">
        <f t="shared" si="12"/>
        <v/>
      </c>
      <c r="D52" s="34" t="str">
        <f>IFERROR(INDEX(PRENOTAZIONI!$E:$E,SMALL(PRENOTAZIONI!$Y:$Y,49)),"")</f>
        <v/>
      </c>
      <c r="E52" s="34" t="str">
        <f>IFERROR(INDEX(PRENOTAZIONI!$F:$F,SMALL(PRENOTAZIONI!$Y:$Y,49)),"")</f>
        <v/>
      </c>
      <c r="F52" s="34" t="str">
        <f>IFERROR(INDEX(PRENOTAZIONI!$G:$G,SMALL(PRENOTAZIONI!$Y:$Y,49)),"")</f>
        <v/>
      </c>
      <c r="G52" s="35" t="str">
        <f>IFERROR(INDEX(PRENOTAZIONI!$H:$H,SMALL(PRENOTAZIONI!$Y:$Y,49)),"")</f>
        <v/>
      </c>
      <c r="H52" s="146" t="str">
        <f t="shared" si="13"/>
        <v/>
      </c>
      <c r="I52" s="35" t="str">
        <f t="shared" si="18"/>
        <v/>
      </c>
      <c r="J52" s="149" t="str">
        <f t="shared" si="14"/>
        <v/>
      </c>
      <c r="K52" s="34" t="str">
        <f>IFERROR(INDEX(PRENOTAZIONI!$K:$K,SMALL(PRENOTAZIONI!$Y:$Y,49)),"")</f>
        <v/>
      </c>
      <c r="L52" s="35" t="str">
        <f>IFERROR(INDEX(PRENOTAZIONI!$L:$L,SMALL(PRENOTAZIONI!$Y:$Y,49)),"")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47" t="str">
        <f>IFERROR(INDEX(PRENOTAZIONI!$R:$R,SMALL(PRENOTAZIONI!$Y:$Y,49)),"")</f>
        <v/>
      </c>
      <c r="T52" s="78"/>
    </row>
    <row r="53" spans="1:20" ht="22" customHeight="1" x14ac:dyDescent="0.25">
      <c r="A53" s="31" t="str">
        <f>IFERROR(INDEX(PRENOTAZIONI!$A:$A,SMALL(PRENOTAZIONI!$Y:$Y,50)),"")</f>
        <v/>
      </c>
      <c r="B53" s="31" t="str">
        <f>IFERROR(INDEX(PRENOTAZIONI!$B:$B,SMALL(PRENOTAZIONI!$Y:$Y,50)),"")</f>
        <v/>
      </c>
      <c r="C53" s="32" t="str">
        <f t="shared" si="12"/>
        <v/>
      </c>
      <c r="D53" s="34" t="str">
        <f>IFERROR(INDEX(PRENOTAZIONI!$E:$E,SMALL(PRENOTAZIONI!$Y:$Y,50)),"")</f>
        <v/>
      </c>
      <c r="E53" s="34" t="str">
        <f>IFERROR(INDEX(PRENOTAZIONI!$F:$F,SMALL(PRENOTAZIONI!$Y:$Y,50)),"")</f>
        <v/>
      </c>
      <c r="F53" s="34" t="str">
        <f>IFERROR(INDEX(PRENOTAZIONI!$G:$G,SMALL(PRENOTAZIONI!$Y:$Y,50)),"")</f>
        <v/>
      </c>
      <c r="G53" s="35" t="str">
        <f>IFERROR(INDEX(PRENOTAZIONI!$H:$H,SMALL(PRENOTAZIONI!$Y:$Y,50)),"")</f>
        <v/>
      </c>
      <c r="H53" s="146" t="str">
        <f t="shared" si="13"/>
        <v/>
      </c>
      <c r="I53" s="35" t="str">
        <f t="shared" si="18"/>
        <v/>
      </c>
      <c r="J53" s="149" t="str">
        <f t="shared" si="14"/>
        <v/>
      </c>
      <c r="K53" s="34" t="str">
        <f>IFERROR(INDEX(PRENOTAZIONI!$K:$K,SMALL(PRENOTAZIONI!$Y:$Y,50)),"")</f>
        <v/>
      </c>
      <c r="L53" s="35" t="str">
        <f>IFERROR(INDEX(PRENOTAZIONI!$L:$L,SMALL(PRENOTAZIONI!$Y:$Y,50)),"")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47" t="str">
        <f>IFERROR(INDEX(PRENOTAZIONI!$R:$R,SMALL(PRENOTAZIONI!$Y:$Y,50)),"")</f>
        <v/>
      </c>
      <c r="T53" s="78"/>
    </row>
    <row r="54" spans="1:20" ht="22" customHeight="1" x14ac:dyDescent="0.25">
      <c r="A54" s="31" t="str">
        <f>IFERROR(INDEX(PRENOTAZIONI!$A:$A,SMALL(PRENOTAZIONI!$Y:$Y,51)),"")</f>
        <v/>
      </c>
      <c r="B54" s="31" t="str">
        <f>IFERROR(INDEX(PRENOTAZIONI!$B:$B,SMALL(PRENOTAZIONI!$Y:$Y,51)),"")</f>
        <v/>
      </c>
      <c r="C54" s="32" t="str">
        <f t="shared" si="12"/>
        <v/>
      </c>
      <c r="D54" s="34" t="str">
        <f>IFERROR(INDEX(PRENOTAZIONI!$E:$E,SMALL(PRENOTAZIONI!$Y:$Y,51)),"")</f>
        <v/>
      </c>
      <c r="E54" s="34" t="str">
        <f>IFERROR(INDEX(PRENOTAZIONI!$F:$F,SMALL(PRENOTAZIONI!$Y:$Y,51)),"")</f>
        <v/>
      </c>
      <c r="F54" s="34" t="str">
        <f>IFERROR(INDEX(PRENOTAZIONI!$G:$G,SMALL(PRENOTAZIONI!$Y:$Y,51)),"")</f>
        <v/>
      </c>
      <c r="G54" s="35" t="str">
        <f>IFERROR(INDEX(PRENOTAZIONI!$H:$H,SMALL(PRENOTAZIONI!$Y:$Y,51)),"")</f>
        <v/>
      </c>
      <c r="H54" s="146" t="str">
        <f t="shared" si="13"/>
        <v/>
      </c>
      <c r="I54" s="35" t="str">
        <f t="shared" si="18"/>
        <v/>
      </c>
      <c r="J54" s="149" t="str">
        <f t="shared" si="14"/>
        <v/>
      </c>
      <c r="K54" s="34" t="str">
        <f>IFERROR(INDEX(PRENOTAZIONI!$K:$K,SMALL(PRENOTAZIONI!$Y:$Y,51)),"")</f>
        <v/>
      </c>
      <c r="L54" s="35" t="str">
        <f>IFERROR(INDEX(PRENOTAZIONI!$L:$L,SMALL(PRENOTAZIONI!$Y:$Y,51)),"")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47" t="str">
        <f>IFERROR(INDEX(PRENOTAZIONI!$R:$R,SMALL(PRENOTAZIONI!$Y:$Y,51)),"")</f>
        <v/>
      </c>
      <c r="T54" s="78"/>
    </row>
    <row r="55" spans="1:20" ht="22" customHeight="1" x14ac:dyDescent="0.25">
      <c r="A55" s="31" t="str">
        <f>IFERROR(INDEX(PRENOTAZIONI!$A:$A,SMALL(PRENOTAZIONI!$Y:$Y,52)),"")</f>
        <v/>
      </c>
      <c r="B55" s="31" t="str">
        <f>IFERROR(INDEX(PRENOTAZIONI!$B:$B,SMALL(PRENOTAZIONI!$Y:$Y,52)),"")</f>
        <v/>
      </c>
      <c r="C55" s="32" t="str">
        <f t="shared" si="12"/>
        <v/>
      </c>
      <c r="D55" s="34" t="str">
        <f>IFERROR(INDEX(PRENOTAZIONI!$E:$E,SMALL(PRENOTAZIONI!$Y:$Y,52)),"")</f>
        <v/>
      </c>
      <c r="E55" s="34" t="str">
        <f>IFERROR(INDEX(PRENOTAZIONI!$F:$F,SMALL(PRENOTAZIONI!$Y:$Y,52)),"")</f>
        <v/>
      </c>
      <c r="F55" s="34" t="str">
        <f>IFERROR(INDEX(PRENOTAZIONI!$G:$G,SMALL(PRENOTAZIONI!$Y:$Y,52)),"")</f>
        <v/>
      </c>
      <c r="G55" s="35" t="str">
        <f>IFERROR(INDEX(PRENOTAZIONI!$H:$H,SMALL(PRENOTAZIONI!$Y:$Y,52)),"")</f>
        <v/>
      </c>
      <c r="H55" s="146" t="str">
        <f t="shared" si="13"/>
        <v/>
      </c>
      <c r="I55" s="35" t="str">
        <f t="shared" si="18"/>
        <v/>
      </c>
      <c r="J55" s="149" t="str">
        <f t="shared" si="14"/>
        <v/>
      </c>
      <c r="K55" s="34" t="str">
        <f>IFERROR(INDEX(PRENOTAZIONI!$K:$K,SMALL(PRENOTAZIONI!$Y:$Y,52)),"")</f>
        <v/>
      </c>
      <c r="L55" s="35" t="str">
        <f>IFERROR(INDEX(PRENOTAZIONI!$L:$L,SMALL(PRENOTAZIONI!$Y:$Y,52)),"")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47" t="str">
        <f>IFERROR(INDEX(PRENOTAZIONI!$R:$R,SMALL(PRENOTAZIONI!$Y:$Y,52)),"")</f>
        <v/>
      </c>
      <c r="T55" s="78"/>
    </row>
    <row r="56" spans="1:20" ht="22" customHeight="1" x14ac:dyDescent="0.25">
      <c r="A56" s="31" t="str">
        <f>IFERROR(INDEX(PRENOTAZIONI!$A:$A,SMALL(PRENOTAZIONI!$Y:$Y,53)),"")</f>
        <v/>
      </c>
      <c r="B56" s="31" t="str">
        <f>IFERROR(INDEX(PRENOTAZIONI!$B:$B,SMALL(PRENOTAZIONI!$Y:$Y,53)),"")</f>
        <v/>
      </c>
      <c r="C56" s="32" t="str">
        <f t="shared" si="12"/>
        <v/>
      </c>
      <c r="D56" s="34" t="str">
        <f>IFERROR(INDEX(PRENOTAZIONI!$E:$E,SMALL(PRENOTAZIONI!$Y:$Y,53)),"")</f>
        <v/>
      </c>
      <c r="E56" s="34" t="str">
        <f>IFERROR(INDEX(PRENOTAZIONI!$F:$F,SMALL(PRENOTAZIONI!$Y:$Y,53)),"")</f>
        <v/>
      </c>
      <c r="F56" s="34" t="str">
        <f>IFERROR(INDEX(PRENOTAZIONI!$G:$G,SMALL(PRENOTAZIONI!$Y:$Y,53)),"")</f>
        <v/>
      </c>
      <c r="G56" s="35" t="str">
        <f>IFERROR(INDEX(PRENOTAZIONI!$H:$H,SMALL(PRENOTAZIONI!$Y:$Y,53)),"")</f>
        <v/>
      </c>
      <c r="H56" s="146" t="str">
        <f t="shared" si="13"/>
        <v/>
      </c>
      <c r="I56" s="35" t="str">
        <f t="shared" si="18"/>
        <v/>
      </c>
      <c r="J56" s="149" t="str">
        <f t="shared" si="14"/>
        <v/>
      </c>
      <c r="K56" s="34" t="str">
        <f>IFERROR(INDEX(PRENOTAZIONI!$K:$K,SMALL(PRENOTAZIONI!$Y:$Y,53)),"")</f>
        <v/>
      </c>
      <c r="L56" s="35" t="str">
        <f>IFERROR(INDEX(PRENOTAZIONI!$L:$L,SMALL(PRENOTAZIONI!$Y:$Y,53)),"")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47" t="str">
        <f>IFERROR(INDEX(PRENOTAZIONI!$R:$R,SMALL(PRENOTAZIONI!$Y:$Y,53)),"")</f>
        <v/>
      </c>
      <c r="T56" s="78"/>
    </row>
    <row r="57" spans="1:20" ht="22" customHeight="1" x14ac:dyDescent="0.25">
      <c r="A57" s="31" t="str">
        <f>IFERROR(INDEX(PRENOTAZIONI!$A:$A,SMALL(PRENOTAZIONI!$Y:$Y,54)),"")</f>
        <v/>
      </c>
      <c r="B57" s="31" t="str">
        <f>IFERROR(INDEX(PRENOTAZIONI!$B:$B,SMALL(PRENOTAZIONI!$Y:$Y,54)),"")</f>
        <v/>
      </c>
      <c r="C57" s="32" t="str">
        <f t="shared" si="12"/>
        <v/>
      </c>
      <c r="D57" s="34" t="str">
        <f>IFERROR(INDEX(PRENOTAZIONI!$E:$E,SMALL(PRENOTAZIONI!$Y:$Y,54)),"")</f>
        <v/>
      </c>
      <c r="E57" s="34" t="str">
        <f>IFERROR(INDEX(PRENOTAZIONI!$F:$F,SMALL(PRENOTAZIONI!$Y:$Y,54)),"")</f>
        <v/>
      </c>
      <c r="F57" s="34" t="str">
        <f>IFERROR(INDEX(PRENOTAZIONI!$G:$G,SMALL(PRENOTAZIONI!$Y:$Y,54)),"")</f>
        <v/>
      </c>
      <c r="G57" s="35" t="str">
        <f>IFERROR(INDEX(PRENOTAZIONI!$H:$H,SMALL(PRENOTAZIONI!$Y:$Y,54)),"")</f>
        <v/>
      </c>
      <c r="H57" s="146" t="str">
        <f t="shared" si="13"/>
        <v/>
      </c>
      <c r="I57" s="35" t="str">
        <f t="shared" si="18"/>
        <v/>
      </c>
      <c r="J57" s="149" t="str">
        <f t="shared" si="14"/>
        <v/>
      </c>
      <c r="K57" s="34" t="str">
        <f>IFERROR(INDEX(PRENOTAZIONI!$K:$K,SMALL(PRENOTAZIONI!$Y:$Y,54)),"")</f>
        <v/>
      </c>
      <c r="L57" s="35" t="str">
        <f>IFERROR(INDEX(PRENOTAZIONI!$L:$L,SMALL(PRENOTAZIONI!$Y:$Y,54)),"")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47" t="str">
        <f>IFERROR(INDEX(PRENOTAZIONI!$R:$R,SMALL(PRENOTAZIONI!$Y:$Y,54)),"")</f>
        <v/>
      </c>
      <c r="T57" s="78"/>
    </row>
    <row r="58" spans="1:20" ht="22" customHeight="1" x14ac:dyDescent="0.25">
      <c r="A58" s="31" t="str">
        <f>IFERROR(INDEX(PRENOTAZIONI!$A:$A,SMALL(PRENOTAZIONI!$Y:$Y,55)),"")</f>
        <v/>
      </c>
      <c r="B58" s="31" t="str">
        <f>IFERROR(INDEX(PRENOTAZIONI!$B:$B,SMALL(PRENOTAZIONI!$Y:$Y,55)),"")</f>
        <v/>
      </c>
      <c r="C58" s="32" t="str">
        <f t="shared" si="12"/>
        <v/>
      </c>
      <c r="D58" s="34" t="str">
        <f>IFERROR(INDEX(PRENOTAZIONI!$E:$E,SMALL(PRENOTAZIONI!$Y:$Y,55)),"")</f>
        <v/>
      </c>
      <c r="E58" s="34" t="str">
        <f>IFERROR(INDEX(PRENOTAZIONI!$F:$F,SMALL(PRENOTAZIONI!$Y:$Y,55)),"")</f>
        <v/>
      </c>
      <c r="F58" s="34" t="str">
        <f>IFERROR(INDEX(PRENOTAZIONI!$G:$G,SMALL(PRENOTAZIONI!$Y:$Y,55)),"")</f>
        <v/>
      </c>
      <c r="G58" s="35" t="str">
        <f>IFERROR(INDEX(PRENOTAZIONI!$H:$H,SMALL(PRENOTAZIONI!$Y:$Y,55)),"")</f>
        <v/>
      </c>
      <c r="H58" s="146" t="str">
        <f t="shared" si="13"/>
        <v/>
      </c>
      <c r="I58" s="35" t="str">
        <f t="shared" si="18"/>
        <v/>
      </c>
      <c r="J58" s="149" t="str">
        <f t="shared" si="14"/>
        <v/>
      </c>
      <c r="K58" s="34" t="str">
        <f>IFERROR(INDEX(PRENOTAZIONI!$K:$K,SMALL(PRENOTAZIONI!$Y:$Y,55)),"")</f>
        <v/>
      </c>
      <c r="L58" s="35" t="str">
        <f>IFERROR(INDEX(PRENOTAZIONI!$L:$L,SMALL(PRENOTAZIONI!$Y:$Y,55)),"")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47" t="str">
        <f>IFERROR(INDEX(PRENOTAZIONI!$R:$R,SMALL(PRENOTAZIONI!$Y:$Y,55)),"")</f>
        <v/>
      </c>
      <c r="T58" s="78"/>
    </row>
    <row r="59" spans="1:20" ht="22" customHeight="1" x14ac:dyDescent="0.25">
      <c r="A59" s="31" t="str">
        <f>IFERROR(INDEX(PRENOTAZIONI!$A:$A,SMALL(PRENOTAZIONI!$Y:$Y,56)),"")</f>
        <v/>
      </c>
      <c r="B59" s="31" t="str">
        <f>IFERROR(INDEX(PRENOTAZIONI!$B:$B,SMALL(PRENOTAZIONI!$Y:$Y,56)),"")</f>
        <v/>
      </c>
      <c r="C59" s="32" t="str">
        <f t="shared" si="12"/>
        <v/>
      </c>
      <c r="D59" s="34" t="str">
        <f>IFERROR(INDEX(PRENOTAZIONI!$E:$E,SMALL(PRENOTAZIONI!$Y:$Y,56)),"")</f>
        <v/>
      </c>
      <c r="E59" s="34" t="str">
        <f>IFERROR(INDEX(PRENOTAZIONI!$F:$F,SMALL(PRENOTAZIONI!$Y:$Y,56)),"")</f>
        <v/>
      </c>
      <c r="F59" s="34" t="str">
        <f>IFERROR(INDEX(PRENOTAZIONI!$G:$G,SMALL(PRENOTAZIONI!$Y:$Y,56)),"")</f>
        <v/>
      </c>
      <c r="G59" s="35" t="str">
        <f>IFERROR(INDEX(PRENOTAZIONI!$H:$H,SMALL(PRENOTAZIONI!$Y:$Y,56)),"")</f>
        <v/>
      </c>
      <c r="H59" s="146" t="str">
        <f t="shared" si="13"/>
        <v/>
      </c>
      <c r="I59" s="35" t="str">
        <f t="shared" si="18"/>
        <v/>
      </c>
      <c r="J59" s="149" t="str">
        <f t="shared" si="14"/>
        <v/>
      </c>
      <c r="K59" s="34" t="str">
        <f>IFERROR(INDEX(PRENOTAZIONI!$K:$K,SMALL(PRENOTAZIONI!$Y:$Y,56)),"")</f>
        <v/>
      </c>
      <c r="L59" s="35" t="str">
        <f>IFERROR(INDEX(PRENOTAZIONI!$L:$L,SMALL(PRENOTAZIONI!$Y:$Y,56)),"")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47" t="str">
        <f>IFERROR(INDEX(PRENOTAZIONI!$R:$R,SMALL(PRENOTAZIONI!$Y:$Y,56)),"")</f>
        <v/>
      </c>
      <c r="T59" s="78"/>
    </row>
    <row r="60" spans="1:20" ht="22" customHeight="1" x14ac:dyDescent="0.25">
      <c r="A60" s="31" t="str">
        <f>IFERROR(INDEX(PRENOTAZIONI!$A:$A,SMALL(PRENOTAZIONI!$Y:$Y,57)),"")</f>
        <v/>
      </c>
      <c r="B60" s="31" t="str">
        <f>IFERROR(INDEX(PRENOTAZIONI!$B:$B,SMALL(PRENOTAZIONI!$Y:$Y,57)),"")</f>
        <v/>
      </c>
      <c r="C60" s="32" t="str">
        <f t="shared" si="12"/>
        <v/>
      </c>
      <c r="D60" s="34" t="str">
        <f>IFERROR(INDEX(PRENOTAZIONI!$E:$E,SMALL(PRENOTAZIONI!$Y:$Y,57)),"")</f>
        <v/>
      </c>
      <c r="E60" s="34" t="str">
        <f>IFERROR(INDEX(PRENOTAZIONI!$F:$F,SMALL(PRENOTAZIONI!$Y:$Y,57)),"")</f>
        <v/>
      </c>
      <c r="F60" s="34" t="str">
        <f>IFERROR(INDEX(PRENOTAZIONI!$G:$G,SMALL(PRENOTAZIONI!$Y:$Y,57)),"")</f>
        <v/>
      </c>
      <c r="G60" s="35" t="str">
        <f>IFERROR(INDEX(PRENOTAZIONI!$H:$H,SMALL(PRENOTAZIONI!$Y:$Y,57)),"")</f>
        <v/>
      </c>
      <c r="H60" s="146" t="str">
        <f t="shared" si="13"/>
        <v/>
      </c>
      <c r="I60" s="35" t="str">
        <f t="shared" si="18"/>
        <v/>
      </c>
      <c r="J60" s="149" t="str">
        <f t="shared" si="14"/>
        <v/>
      </c>
      <c r="K60" s="34" t="str">
        <f>IFERROR(INDEX(PRENOTAZIONI!$K:$K,SMALL(PRENOTAZIONI!$Y:$Y,57)),"")</f>
        <v/>
      </c>
      <c r="L60" s="35" t="str">
        <f>IFERROR(INDEX(PRENOTAZIONI!$L:$L,SMALL(PRENOTAZIONI!$Y:$Y,57)),"")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47" t="str">
        <f>IFERROR(INDEX(PRENOTAZIONI!$R:$R,SMALL(PRENOTAZIONI!$Y:$Y,57)),"")</f>
        <v/>
      </c>
      <c r="T60" s="78"/>
    </row>
    <row r="61" spans="1:20" ht="22" customHeight="1" x14ac:dyDescent="0.25">
      <c r="A61" s="31" t="str">
        <f>IFERROR(INDEX(PRENOTAZIONI!$A:$A,SMALL(PRENOTAZIONI!$Y:$Y,58)),"")</f>
        <v/>
      </c>
      <c r="B61" s="31" t="str">
        <f>IFERROR(INDEX(PRENOTAZIONI!$B:$B,SMALL(PRENOTAZIONI!$Y:$Y,58)),"")</f>
        <v/>
      </c>
      <c r="C61" s="32" t="str">
        <f t="shared" si="12"/>
        <v/>
      </c>
      <c r="D61" s="34" t="str">
        <f>IFERROR(INDEX(PRENOTAZIONI!$E:$E,SMALL(PRENOTAZIONI!$Y:$Y,58)),"")</f>
        <v/>
      </c>
      <c r="E61" s="34" t="str">
        <f>IFERROR(INDEX(PRENOTAZIONI!$F:$F,SMALL(PRENOTAZIONI!$Y:$Y,58)),"")</f>
        <v/>
      </c>
      <c r="F61" s="34" t="str">
        <f>IFERROR(INDEX(PRENOTAZIONI!$G:$G,SMALL(PRENOTAZIONI!$Y:$Y,58)),"")</f>
        <v/>
      </c>
      <c r="G61" s="35" t="str">
        <f>IFERROR(INDEX(PRENOTAZIONI!$H:$H,SMALL(PRENOTAZIONI!$Y:$Y,58)),"")</f>
        <v/>
      </c>
      <c r="H61" s="146" t="str">
        <f t="shared" si="13"/>
        <v/>
      </c>
      <c r="I61" s="35" t="str">
        <f t="shared" si="18"/>
        <v/>
      </c>
      <c r="J61" s="149" t="str">
        <f t="shared" si="14"/>
        <v/>
      </c>
      <c r="K61" s="34" t="str">
        <f>IFERROR(INDEX(PRENOTAZIONI!$K:$K,SMALL(PRENOTAZIONI!$Y:$Y,58)),"")</f>
        <v/>
      </c>
      <c r="L61" s="35" t="str">
        <f>IFERROR(INDEX(PRENOTAZIONI!$L:$L,SMALL(PRENOTAZIONI!$Y:$Y,58)),"")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47" t="str">
        <f>IFERROR(INDEX(PRENOTAZIONI!$R:$R,SMALL(PRENOTAZIONI!$Y:$Y,58)),"")</f>
        <v/>
      </c>
      <c r="T61" s="78"/>
    </row>
    <row r="62" spans="1:20" ht="22" customHeight="1" x14ac:dyDescent="0.25">
      <c r="A62" s="31" t="str">
        <f>IFERROR(INDEX(PRENOTAZIONI!$A:$A,SMALL(PRENOTAZIONI!$Y:$Y,59)),"")</f>
        <v/>
      </c>
      <c r="B62" s="31" t="str">
        <f>IFERROR(INDEX(PRENOTAZIONI!$B:$B,SMALL(PRENOTAZIONI!$Y:$Y,59)),"")</f>
        <v/>
      </c>
      <c r="C62" s="32" t="str">
        <f t="shared" si="12"/>
        <v/>
      </c>
      <c r="D62" s="34" t="str">
        <f>IFERROR(INDEX(PRENOTAZIONI!$E:$E,SMALL(PRENOTAZIONI!$Y:$Y,59)),"")</f>
        <v/>
      </c>
      <c r="E62" s="34" t="str">
        <f>IFERROR(INDEX(PRENOTAZIONI!$F:$F,SMALL(PRENOTAZIONI!$Y:$Y,59)),"")</f>
        <v/>
      </c>
      <c r="F62" s="34" t="str">
        <f>IFERROR(INDEX(PRENOTAZIONI!$G:$G,SMALL(PRENOTAZIONI!$Y:$Y,59)),"")</f>
        <v/>
      </c>
      <c r="G62" s="35" t="str">
        <f>IFERROR(INDEX(PRENOTAZIONI!$H:$H,SMALL(PRENOTAZIONI!$Y:$Y,59)),"")</f>
        <v/>
      </c>
      <c r="H62" s="146" t="str">
        <f t="shared" si="13"/>
        <v/>
      </c>
      <c r="I62" s="35" t="str">
        <f t="shared" si="18"/>
        <v/>
      </c>
      <c r="J62" s="149" t="str">
        <f t="shared" si="14"/>
        <v/>
      </c>
      <c r="K62" s="34" t="str">
        <f>IFERROR(INDEX(PRENOTAZIONI!$K:$K,SMALL(PRENOTAZIONI!$Y:$Y,59)),"")</f>
        <v/>
      </c>
      <c r="L62" s="35" t="str">
        <f>IFERROR(INDEX(PRENOTAZIONI!$L:$L,SMALL(PRENOTAZIONI!$Y:$Y,59)),"")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47" t="str">
        <f>IFERROR(INDEX(PRENOTAZIONI!$R:$R,SMALL(PRENOTAZIONI!$Y:$Y,59)),"")</f>
        <v/>
      </c>
      <c r="T62" s="78"/>
    </row>
    <row r="63" spans="1:20" ht="22" customHeight="1" x14ac:dyDescent="0.25">
      <c r="A63" s="31" t="str">
        <f>IFERROR(INDEX(PRENOTAZIONI!$A:$A,SMALL(PRENOTAZIONI!$Y:$Y,60)),"")</f>
        <v/>
      </c>
      <c r="B63" s="31" t="str">
        <f>IFERROR(INDEX(PRENOTAZIONI!$B:$B,SMALL(PRENOTAZIONI!$Y:$Y,60)),"")</f>
        <v/>
      </c>
      <c r="C63" s="32" t="str">
        <f t="shared" si="12"/>
        <v/>
      </c>
      <c r="D63" s="34" t="str">
        <f>IFERROR(INDEX(PRENOTAZIONI!$E:$E,SMALL(PRENOTAZIONI!$Y:$Y,60)),"")</f>
        <v/>
      </c>
      <c r="E63" s="34" t="str">
        <f>IFERROR(INDEX(PRENOTAZIONI!$F:$F,SMALL(PRENOTAZIONI!$Y:$Y,60)),"")</f>
        <v/>
      </c>
      <c r="F63" s="34" t="str">
        <f>IFERROR(INDEX(PRENOTAZIONI!$G:$G,SMALL(PRENOTAZIONI!$Y:$Y,60)),"")</f>
        <v/>
      </c>
      <c r="G63" s="35" t="str">
        <f>IFERROR(INDEX(PRENOTAZIONI!$H:$H,SMALL(PRENOTAZIONI!$Y:$Y,60)),"")</f>
        <v/>
      </c>
      <c r="H63" s="146" t="str">
        <f t="shared" si="13"/>
        <v/>
      </c>
      <c r="I63" s="35" t="str">
        <f t="shared" si="18"/>
        <v/>
      </c>
      <c r="J63" s="149" t="str">
        <f t="shared" si="14"/>
        <v/>
      </c>
      <c r="K63" s="34" t="str">
        <f>IFERROR(INDEX(PRENOTAZIONI!$K:$K,SMALL(PRENOTAZIONI!$Y:$Y,60)),"")</f>
        <v/>
      </c>
      <c r="L63" s="35" t="str">
        <f>IFERROR(INDEX(PRENOTAZIONI!$L:$L,SMALL(PRENOTAZIONI!$Y:$Y,60)),"")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47" t="str">
        <f>IFERROR(INDEX(PRENOTAZIONI!$R:$R,SMALL(PRENOTAZIONI!$Y:$Y,60)),"")</f>
        <v/>
      </c>
      <c r="T63" s="78"/>
    </row>
    <row r="64" spans="1:20" ht="19" customHeight="1" x14ac:dyDescent="0.25">
      <c r="T64" s="78"/>
    </row>
    <row r="65" spans="20:20" ht="19" customHeight="1" x14ac:dyDescent="0.25">
      <c r="T65" s="78"/>
    </row>
  </sheetData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BG65"/>
  <sheetViews>
    <sheetView topLeftCell="W1" zoomScale="130" zoomScaleNormal="130" workbookViewId="0">
      <pane ySplit="3" topLeftCell="A4" activePane="bottomLeft" state="frozen"/>
      <selection pane="bottomLeft" activeCell="H4" activeCellId="1" sqref="H15 H4:H13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9" width="11" customWidth="1"/>
    <col min="10" max="10" width="10" customWidth="1"/>
    <col min="11" max="11" width="12.1640625" bestFit="1" customWidth="1"/>
    <col min="12" max="12" width="9.83203125" bestFit="1" customWidth="1"/>
    <col min="13" max="15" width="10" customWidth="1"/>
    <col min="16" max="16" width="20" customWidth="1"/>
    <col min="17" max="17" width="18" customWidth="1"/>
    <col min="18" max="18" width="60" style="91" bestFit="1" customWidth="1"/>
    <col min="19" max="19" width="62.6640625" bestFit="1" customWidth="1"/>
    <col min="20" max="21" width="12" bestFit="1" customWidth="1"/>
    <col min="22" max="22" width="11.33203125" bestFit="1" customWidth="1"/>
    <col min="23" max="23" width="20" customWidth="1"/>
    <col min="24" max="24" width="10" customWidth="1"/>
    <col min="25" max="25" width="11" customWidth="1"/>
    <col min="26" max="26" width="12" customWidth="1"/>
    <col min="27" max="28" width="10" customWidth="1"/>
    <col min="29" max="30" width="12" customWidth="1"/>
    <col min="31" max="31" width="13" customWidth="1"/>
    <col min="32" max="32" width="2" customWidth="1"/>
    <col min="33" max="33" width="20.5" bestFit="1" customWidth="1"/>
    <col min="34" max="34" width="8.83203125" customWidth="1"/>
    <col min="35" max="35" width="9.33203125" customWidth="1"/>
    <col min="36" max="36" width="14.5" customWidth="1"/>
    <col min="37" max="37" width="12.1640625" customWidth="1"/>
    <col min="38" max="38" width="10" customWidth="1"/>
    <col min="39" max="39" width="12" customWidth="1"/>
    <col min="40" max="42" width="11" customWidth="1"/>
  </cols>
  <sheetData>
    <row r="1" spans="1:59" ht="28" customHeight="1" thickBot="1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87"/>
      <c r="S1" s="77"/>
      <c r="AF1" s="38"/>
      <c r="AG1" s="283" t="s">
        <v>247</v>
      </c>
      <c r="AH1" s="284"/>
      <c r="AI1" s="284"/>
      <c r="AJ1" s="284"/>
      <c r="AK1" s="284"/>
      <c r="AL1" s="279"/>
      <c r="AM1" s="108"/>
      <c r="AN1" s="108"/>
      <c r="AO1" s="109"/>
      <c r="AP1" s="109"/>
    </row>
    <row r="2" spans="1:59" ht="4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88"/>
      <c r="S2" s="7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</row>
    <row r="3" spans="1:59" ht="34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39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79"/>
      <c r="T3" s="51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59" ht="20" customHeight="1" thickBot="1" x14ac:dyDescent="0.25">
      <c r="A4" s="164">
        <f>IFERROR(INDEX(PRENOTAZIONI!$A:$A,SMALL(PRENOTAZIONI!$S:$S,1)),"")</f>
        <v>46026</v>
      </c>
      <c r="B4" s="165">
        <f>IFERROR(INDEX(PRENOTAZIONI!$B:$B,SMALL(PRENOTAZIONI!$S:$S,1)),"")</f>
        <v>46028</v>
      </c>
      <c r="C4" s="166">
        <f t="shared" ref="C4:C35" si="0">IF(A4&lt;&gt;"",B4-A4,"")</f>
        <v>2</v>
      </c>
      <c r="D4" s="167" t="str">
        <f>IFERROR(INDEX(PRENOTAZIONI!$E:$E,SMALL(PRENOTAZIONI!$S:$S,1)),"")</f>
        <v>Matteo Locaputo</v>
      </c>
      <c r="E4" s="167" t="str">
        <f>IFERROR(INDEX(PRENOTAZIONI!$F:$F,SMALL(PRENOTAZIONI!$S:$S,1)),"")</f>
        <v>2 ad</v>
      </c>
      <c r="F4" s="167" t="str">
        <f>IFERROR(INDEX(PRENOTAZIONI!$G:$G,SMALL(PRENOTAZIONI!$S:$S,1)),"")</f>
        <v>booking.com</v>
      </c>
      <c r="G4" s="168">
        <f>IFERROR(INDEX(PRENOTAZIONI!$H:$H,SMALL(PRENOTAZIONI!$S:$S,1)),"")</f>
        <v>223.64</v>
      </c>
      <c r="H4" s="168">
        <f t="shared" ref="H4:H35" si="1">IF(AND(G4&lt;&gt;"",C4&lt;&gt;"",C4&lt;&gt;0),G4/C4,"")</f>
        <v>111.82</v>
      </c>
      <c r="I4" s="168">
        <f>IF(G4="","",IF(NOT(ISERROR(SEARCH("diretta",F4))),0,IF(NOT(ISERROR(SEARCH("booking",F4))),G4*0.15,IF(NOT(ISERROR(SEARCH("airbnb",F4))),G4*0.155,""))))</f>
        <v>33.545999999999999</v>
      </c>
      <c r="J4" s="169">
        <f>IF(I4&lt;&gt;"",I4*0.22,"")</f>
        <v>7.3801199999999998</v>
      </c>
      <c r="K4" s="167" t="str">
        <f>IFERROR(INDEX(PRENOTAZIONI!$K:$K,SMALL(PRENOTAZIONI!$S:$S,1)),"")</f>
        <v>VISA</v>
      </c>
      <c r="L4" s="168">
        <f>IFERROR(INDEX(PRENOTAZIONI!$L:$L,SMALL(PRENOTAZIONI!$S:$S,1)),"")</f>
        <v>4</v>
      </c>
      <c r="M4" s="170">
        <f t="shared" ref="M4:M35" si="2">IF(G4&lt;&gt;"",G4*0.21,"")</f>
        <v>46.964399999999998</v>
      </c>
      <c r="N4" s="168">
        <f t="shared" ref="N4:N35" si="3">IF(G4&lt;&gt;"",G4*0.25,"")</f>
        <v>55.91</v>
      </c>
      <c r="O4" s="168">
        <v>0</v>
      </c>
      <c r="P4" s="171"/>
      <c r="Q4" s="170">
        <f t="shared" ref="Q4:Q35" si="4">IF(G4&lt;&gt;"",G4-I4-J4-M4-N4-O4,"")</f>
        <v>79.839480000000009</v>
      </c>
      <c r="R4" s="172"/>
      <c r="S4" s="204" t="s">
        <v>263</v>
      </c>
      <c r="T4" s="94" t="str">
        <f>IFERROR(INDEX(PRENOTAZIONI!$A:$A,SMALL(PRENOTAZIONI!$AG:$AG,1)),"")</f>
        <v/>
      </c>
      <c r="U4" s="31" t="str">
        <f>IFERROR(INDEX(PRENOTAZIONI!$B:$B,SMALL(PRENOTAZIONI!$AG:$AG,1)),"")</f>
        <v/>
      </c>
      <c r="V4" s="32" t="str">
        <f t="shared" ref="V4:V33" si="5">IF(T4&lt;&gt;"",U4-T4,"")</f>
        <v/>
      </c>
      <c r="W4" s="34" t="str">
        <f>IFERROR(INDEX(PRENOTAZIONI!$E:$E,SMALL(PRENOTAZIONI!$AG:$AG,1)),"")</f>
        <v/>
      </c>
      <c r="X4" s="34" t="str">
        <f>IFERROR(INDEX(PRENOTAZIONI!$F:$F,SMALL(PRENOTAZIONI!$AG:$AG,1)),"")</f>
        <v/>
      </c>
      <c r="Y4" s="35" t="str">
        <f>IFERROR(INDEX(PRENOTAZIONI!$H:$H,SMALL(PRENOTAZIONI!$AG:$AG,1)),"")</f>
        <v/>
      </c>
      <c r="Z4" s="34" t="str">
        <f>IFERROR(INDEX(PRENOTAZIONI!$K:$K,SMALL(PRENOTAZIONI!$AG:$AG,1)),"")</f>
        <v/>
      </c>
      <c r="AA4" s="34"/>
      <c r="AB4" s="34"/>
      <c r="AC4" s="40" t="str">
        <f t="shared" ref="AC4:AC33" si="6">IF(Y4&lt;&gt;"",Y4*0.25,"")</f>
        <v/>
      </c>
      <c r="AD4" s="41" t="str">
        <f t="shared" ref="AD4:AD33" si="7">IF(Y4&lt;&gt;"",Y4-AC4,"")</f>
        <v/>
      </c>
      <c r="AF4" s="38"/>
      <c r="AG4" s="113" t="s">
        <v>174</v>
      </c>
      <c r="AH4" s="114">
        <f>SUMPRODUCT((MONTH(PRENOTAZIONI!$A$3:$A$262)=1)*(YEAR(PRENOTAZIONI!$A$3:$A$262)=2026)*(PRENOTAZIONI!$D$3:$D$262="Sotto la Quercia"))</f>
        <v>1</v>
      </c>
      <c r="AI4" s="114">
        <f>SUMPRODUCT((PRENOTAZIONI!$A$3:$A$262&lt;DATE(2026,2,1))*(PRENOTAZIONI!$B$3:$B$262&gt;DATE(2026,1,1))*(YEAR(PRENOTAZIONI!$A$3:$A$262)=2026)*(PRENOTAZIONI!$D$3:$D$262="Sotto la Quercia")*((PRENOTAZIONI!$B$3:$B$262*(PRENOTAZIONI!$B$3:$B$262&lt;DATE(2026,2,1))+DATE(2026,2,1)*(PRENOTAZIONI!$B$3:$B$262&gt;=DATE(2026,2,1)))-(PRENOTAZIONI!$A$3:$A$262*(PRENOTAZIONI!$A$3:$A$262&gt;DATE(2026,1,1))+DATE(2026,1,1)*(PRENOTAZIONI!$A$3:$A$262&lt;=DATE(2026,1,1)))))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2</v>
      </c>
      <c r="AJ4" s="151">
        <f>SUMIF(A4:A33,"&gt;="&amp;DATE(2026,1,1),G4:G33)-SUMIF(A4:A33,"&gt;="&amp;DATE(2026,2,1),G4:G33)</f>
        <v>223.63999999999942</v>
      </c>
      <c r="AK4" s="151">
        <f>SUMIF(A4:A33,"&gt;="&amp;DATE(2026,1,1),I4:I33)-SUMIF(A4:A33,"&gt;="&amp;DATE(2026,2,1),I4:I33)</f>
        <v>33.545999999999822</v>
      </c>
      <c r="AL4" s="151">
        <f>SUMIF(A4:A33,"&gt;="&amp;DATE(2026,1,1),L4:L33)-SUMIF(A4:A33,"&gt;="&amp;DATE(2026,2,1),L4:L33)</f>
        <v>4</v>
      </c>
      <c r="AM4" s="151">
        <f>SUMIF(A4:A33,"&gt;="&amp;DATE(2026,1,1),N4:N33)-SUMIF(A4:A33,"&gt;="&amp;DATE(2026,2,1),N4:N33)</f>
        <v>55.909999999999854</v>
      </c>
      <c r="AN4" s="152">
        <f>SUMIF(A4:A33,"&gt;="&amp;DATE(2026,1,1),M4:M33)-SUMIF(A4:A33,"&gt;="&amp;DATE(2026,2,1),M4:M33)</f>
        <v>46.964399999999841</v>
      </c>
      <c r="AO4" s="152">
        <f>SUMIF(A4:A33,"&gt;="&amp;DATE(2026,1,1),J4:J33)-SUMIF(A4:A33,"&gt;="&amp;DATE(2026,2,1),J4:J33)</f>
        <v>7.3801199999999767</v>
      </c>
      <c r="AP4" s="153">
        <f>SUMIF(A4:A33,"&gt;="&amp;DATE(2026,1,1),Q4:Q33)-SUMIF(A4:A33,"&gt;="&amp;DATE(2026,2,1),Q4:Q33)</f>
        <v>79.839480000000549</v>
      </c>
    </row>
    <row r="5" spans="1:59" ht="20" customHeight="1" x14ac:dyDescent="0.2">
      <c r="A5" s="174">
        <f>IFERROR(INDEX(PRENOTAZIONI!$A:$A,SMALL(PRENOTAZIONI!$S:$S,2)),"")</f>
        <v>46116</v>
      </c>
      <c r="B5" s="175">
        <f>IFERROR(INDEX(PRENOTAZIONI!$B:$B,SMALL(PRENOTAZIONI!$S:$S,2)),"")</f>
        <v>46118</v>
      </c>
      <c r="C5" s="176">
        <f t="shared" si="0"/>
        <v>2</v>
      </c>
      <c r="D5" s="177" t="str">
        <f>IFERROR(INDEX(PRENOTAZIONI!$E:$E,SMALL(PRENOTAZIONI!$S:$S,2)),"")</f>
        <v>Giada Bruni</v>
      </c>
      <c r="E5" s="177" t="str">
        <f>IFERROR(INDEX(PRENOTAZIONI!$F:$F,SMALL(PRENOTAZIONI!$S:$S,2)),"")</f>
        <v>4 ad + 2 b</v>
      </c>
      <c r="F5" s="177" t="str">
        <f>IFERROR(INDEX(PRENOTAZIONI!$G:$G,SMALL(PRENOTAZIONI!$S:$S,2)),"")</f>
        <v>booking.com</v>
      </c>
      <c r="G5" s="178">
        <f>IFERROR(INDEX(PRENOTAZIONI!$H:$H,SMALL(PRENOTAZIONI!$S:$S,2)),"")</f>
        <v>511.6</v>
      </c>
      <c r="H5" s="178">
        <f t="shared" si="1"/>
        <v>255.8</v>
      </c>
      <c r="I5" s="178">
        <f>IF(G5="","",IF(NOT(ISERROR(SEARCH("diretta",F5))),0,IF(NOT(ISERROR(SEARCH("booking",F5))),G5*0.15,IF(NOT(ISERROR(SEARCH("airbnb",F5))),G5*0.155,""))))</f>
        <v>76.739999999999995</v>
      </c>
      <c r="J5" s="179">
        <f>IF(I5&lt;&gt;"",I5*0.22,"")</f>
        <v>16.8828</v>
      </c>
      <c r="K5" s="177" t="str">
        <f>IFERROR(INDEX(PRENOTAZIONI!$K:$K,SMALL(PRENOTAZIONI!$S:$S,2)),"")</f>
        <v>contanti</v>
      </c>
      <c r="L5" s="178">
        <f>IFERROR(INDEX(PRENOTAZIONI!$L:$L,SMALL(PRENOTAZIONI!$S:$S,2)),"")</f>
        <v>12</v>
      </c>
      <c r="M5" s="180">
        <f t="shared" si="2"/>
        <v>107.43600000000001</v>
      </c>
      <c r="N5" s="178">
        <f t="shared" si="3"/>
        <v>127.9</v>
      </c>
      <c r="O5" s="178">
        <v>70</v>
      </c>
      <c r="P5" s="181" t="s">
        <v>264</v>
      </c>
      <c r="Q5" s="180">
        <f t="shared" si="4"/>
        <v>112.6412</v>
      </c>
      <c r="R5" s="182"/>
      <c r="S5" s="205" t="s">
        <v>265</v>
      </c>
      <c r="T5" s="94" t="str">
        <f>IFERROR(INDEX(PRENOTAZIONI!$A:$A,SMALL(PRENOTAZIONI!$AG:$AG,2)),"")</f>
        <v/>
      </c>
      <c r="U5" s="31" t="str">
        <f>IFERROR(INDEX(PRENOTAZIONI!$B:$B,SMALL(PRENOTAZIONI!$AG:$AG,2)),"")</f>
        <v/>
      </c>
      <c r="V5" s="32" t="str">
        <f t="shared" si="5"/>
        <v/>
      </c>
      <c r="W5" s="34" t="str">
        <f>IFERROR(INDEX(PRENOTAZIONI!$E:$E,SMALL(PRENOTAZIONI!$AG:$AG,2)),"")</f>
        <v/>
      </c>
      <c r="X5" s="34" t="str">
        <f>IFERROR(INDEX(PRENOTAZIONI!$F:$F,SMALL(PRENOTAZIONI!$AG:$AG,2)),"")</f>
        <v/>
      </c>
      <c r="Y5" s="35" t="str">
        <f>IFERROR(INDEX(PRENOTAZIONI!$H:$H,SMALL(PRENOTAZIONI!$AG:$AG,2)),"")</f>
        <v/>
      </c>
      <c r="Z5" s="34" t="str">
        <f>IFERROR(INDEX(PRENOTAZIONI!$K:$K,SMALL(PRENOTAZIONI!$AG:$AG,2)),"")</f>
        <v/>
      </c>
      <c r="AA5" s="34"/>
      <c r="AB5" s="34"/>
      <c r="AC5" s="40" t="str">
        <f t="shared" si="6"/>
        <v/>
      </c>
      <c r="AD5" s="41" t="str">
        <f t="shared" si="7"/>
        <v/>
      </c>
      <c r="AF5" s="38"/>
      <c r="AG5" s="113" t="s">
        <v>182</v>
      </c>
      <c r="AH5" s="114">
        <f>SUMPRODUCT((MONTH(PRENOTAZIONI!$A$3:$A$262)=2)*(YEAR(PRENOTAZIONI!$A$3:$A$262)=2026)*(PRENOTAZIONI!$D$3:$D$262="Sotto la Quercia"))</f>
        <v>0</v>
      </c>
      <c r="AI5" s="114">
        <f>SUMPRODUCT((PRENOTAZIONI!$A$3:$A$262&lt;DATE(2026,3,1))*(PRENOTAZIONI!$B$3:$B$262&gt;DATE(2026,2,1))*(YEAR(PRENOTAZIONI!$A$3:$A$262)=2026)*(PRENOTAZIONI!$D$3:$D$262="Sotto la Quercia")*((PRENOTAZIONI!$B$3:$B$262*(PRENOTAZIONI!$B$3:$B$262&lt;DATE(2026,3,1))+DATE(2026,3,1)*(PRENOTAZIONI!$B$3:$B$262&gt;=DATE(2026,3,1)))-(PRENOTAZIONI!$A$3:$A$262*(PRENOTAZIONI!$A$3:$A$262&gt;DATE(2026,2,1))+DATE(2026,2,1)*(PRENOTAZIONI!$A$3:$A$262&lt;=DATE(2026,2,1)))))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59" ht="20" customHeight="1" x14ac:dyDescent="0.2">
      <c r="A6" s="183">
        <f>IFERROR(INDEX(PRENOTAZIONI!$A:$A,SMALL(PRENOTAZIONI!$S:$S,3)),"")</f>
        <v>46129</v>
      </c>
      <c r="B6" s="184">
        <f>IFERROR(INDEX(PRENOTAZIONI!$B:$B,SMALL(PRENOTAZIONI!$S:$S,3)),"")</f>
        <v>46131</v>
      </c>
      <c r="C6" s="185">
        <f t="shared" si="0"/>
        <v>2</v>
      </c>
      <c r="D6" s="186" t="str">
        <f>IFERROR(INDEX(PRENOTAZIONI!$E:$E,SMALL(PRENOTAZIONI!$S:$S,3)),"")</f>
        <v>Raffaele Guasco</v>
      </c>
      <c r="E6" s="186" t="str">
        <f>IFERROR(INDEX(PRENOTAZIONI!$F:$F,SMALL(PRENOTAZIONI!$S:$S,3)),"")</f>
        <v>4 ad</v>
      </c>
      <c r="F6" s="186" t="str">
        <f>IFERROR(INDEX(PRENOTAZIONI!$G:$G,SMALL(PRENOTAZIONI!$S:$S,3)),"")</f>
        <v>booking.com</v>
      </c>
      <c r="G6" s="147">
        <f>IFERROR(INDEX(PRENOTAZIONI!$H:$H,SMALL(PRENOTAZIONI!$S:$S,3)),"")</f>
        <v>388.92</v>
      </c>
      <c r="H6" s="147">
        <f t="shared" si="1"/>
        <v>194.46</v>
      </c>
      <c r="I6" s="147">
        <f>IF(G6="","",IF(NOT(ISERROR(SEARCH("diretta",F6))),0,IF(NOT(ISERROR(SEARCH("booking",F6))),G6*0.15,IF(NOT(ISERROR(SEARCH("airbnb",F6))),G6*0.155,""))))</f>
        <v>58.338000000000001</v>
      </c>
      <c r="J6" s="187">
        <f>IF(I6&lt;&gt;"",I6*0.22,"")</f>
        <v>12.83436</v>
      </c>
      <c r="K6" s="186" t="str">
        <f>IFERROR(INDEX(PRENOTAZIONI!$K:$K,SMALL(PRENOTAZIONI!$S:$S,3)),"")</f>
        <v>MASTER</v>
      </c>
      <c r="L6" s="147">
        <f>IFERROR(INDEX(PRENOTAZIONI!$L:$L,SMALL(PRENOTAZIONI!$S:$S,3)),"")</f>
        <v>0</v>
      </c>
      <c r="M6" s="188">
        <f t="shared" si="2"/>
        <v>81.673199999999994</v>
      </c>
      <c r="N6" s="147">
        <f t="shared" si="3"/>
        <v>97.23</v>
      </c>
      <c r="O6" s="147"/>
      <c r="P6" s="189"/>
      <c r="Q6" s="188">
        <f t="shared" si="4"/>
        <v>138.84443999999996</v>
      </c>
      <c r="R6" s="190" t="str">
        <f>IFERROR(INDEX(PRENOTAZIONI!$R:$R,SMALL(PRENOTAZIONI!$S:$S,3)),"")</f>
        <v>NON RIMBORSABILE - pagamento effettuato 30-01. NO SHOW</v>
      </c>
      <c r="S6" s="206"/>
      <c r="T6" s="94" t="str">
        <f>IFERROR(INDEX(PRENOTAZIONI!$A:$A,SMALL(PRENOTAZIONI!$AG:$AG,3)),"")</f>
        <v/>
      </c>
      <c r="U6" s="31" t="str">
        <f>IFERROR(INDEX(PRENOTAZIONI!$B:$B,SMALL(PRENOTAZIONI!$AG:$AG,3)),"")</f>
        <v/>
      </c>
      <c r="V6" s="32" t="str">
        <f t="shared" si="5"/>
        <v/>
      </c>
      <c r="W6" s="34" t="str">
        <f>IFERROR(INDEX(PRENOTAZIONI!$E:$E,SMALL(PRENOTAZIONI!$AG:$AG,3)),"")</f>
        <v/>
      </c>
      <c r="X6" s="34" t="str">
        <f>IFERROR(INDEX(PRENOTAZIONI!$F:$F,SMALL(PRENOTAZIONI!$AG:$AG,3)),"")</f>
        <v/>
      </c>
      <c r="Y6" s="35" t="str">
        <f>IFERROR(INDEX(PRENOTAZIONI!$H:$H,SMALL(PRENOTAZIONI!$AG:$AG,3)),"")</f>
        <v/>
      </c>
      <c r="Z6" s="34" t="str">
        <f>IFERROR(INDEX(PRENOTAZIONI!$K:$K,SMALL(PRENOTAZIONI!$AG:$AG,3)),"")</f>
        <v/>
      </c>
      <c r="AA6" s="34"/>
      <c r="AB6" s="34"/>
      <c r="AC6" s="40" t="str">
        <f t="shared" si="6"/>
        <v/>
      </c>
      <c r="AD6" s="41" t="str">
        <f t="shared" si="7"/>
        <v/>
      </c>
      <c r="AF6" s="38"/>
      <c r="AG6" s="113" t="s">
        <v>183</v>
      </c>
      <c r="AH6" s="114">
        <f>SUMPRODUCT((MONTH(PRENOTAZIONI!$A$3:$A$262)=3)*(YEAR(PRENOTAZIONI!$A$3:$A$262)=2026)*(PRENOTAZIONI!$D$3:$D$262="Sotto la Quercia"))</f>
        <v>0</v>
      </c>
      <c r="AI6" s="114">
        <f>SUMPRODUCT((PRENOTAZIONI!$A$3:$A$262&lt;DATE(2026,4,1))*(PRENOTAZIONI!$B$3:$B$262&gt;DATE(2026,3,1))*(YEAR(PRENOTAZIONI!$A$3:$A$262)=2026)*(PRENOTAZIONI!$D$3:$D$262="Sotto la Quercia")*((PRENOTAZIONI!$B$3:$B$262*(PRENOTAZIONI!$B$3:$B$262&lt;DATE(2026,4,1))+DATE(2026,4,1)*(PRENOTAZIONI!$B$3:$B$262&gt;=DATE(2026,4,1)))-(PRENOTAZIONI!$A$3:$A$262*(PRENOTAZIONI!$A$3:$A$262&gt;DATE(2026,3,1))+DATE(2026,3,1)*(PRENOTAZIONI!$A$3:$A$262&lt;=DATE(2026,3,1)))))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59" ht="20" customHeight="1" thickBot="1" x14ac:dyDescent="0.25">
      <c r="A7" s="191">
        <f>IFERROR(INDEX(PRENOTAZIONI!$A:$A,SMALL(PRENOTAZIONI!$S:$S,4)),"")</f>
        <v>46142</v>
      </c>
      <c r="B7" s="192">
        <f>IFERROR(INDEX(PRENOTAZIONI!$B:$B,SMALL(PRENOTAZIONI!$S:$S,4)),"")</f>
        <v>46148</v>
      </c>
      <c r="C7" s="193">
        <f t="shared" si="0"/>
        <v>6</v>
      </c>
      <c r="D7" s="194" t="str">
        <f>IFERROR(INDEX(PRENOTAZIONI!$E:$E,SMALL(PRENOTAZIONI!$S:$S,4)),"")</f>
        <v>Karatina Svitekova</v>
      </c>
      <c r="E7" s="194" t="str">
        <f>IFERROR(INDEX(PRENOTAZIONI!$F:$F,SMALL(PRENOTAZIONI!$S:$S,4)),"")</f>
        <v>3 ad</v>
      </c>
      <c r="F7" s="194" t="str">
        <f>IFERROR(INDEX(PRENOTAZIONI!$G:$G,SMALL(PRENOTAZIONI!$S:$S,4)),"")</f>
        <v>diretta</v>
      </c>
      <c r="G7" s="195">
        <f>IFERROR(INDEX(PRENOTAZIONI!$H:$H,SMALL(PRENOTAZIONI!$S:$S,4)),"")</f>
        <v>900</v>
      </c>
      <c r="H7" s="195">
        <f t="shared" si="1"/>
        <v>150</v>
      </c>
      <c r="I7" s="195">
        <v>0</v>
      </c>
      <c r="J7" s="196">
        <v>0</v>
      </c>
      <c r="K7" s="194" t="str">
        <f>IFERROR(INDEX(PRENOTAZIONI!$K:$K,SMALL(PRENOTAZIONI!$S:$S,4)),"")</f>
        <v>VISA</v>
      </c>
      <c r="L7" s="195">
        <f>IFERROR(INDEX(PRENOTAZIONI!$L:$L,SMALL(PRENOTAZIONI!$S:$S,4)),"")</f>
        <v>6</v>
      </c>
      <c r="M7" s="197">
        <f t="shared" si="2"/>
        <v>189</v>
      </c>
      <c r="N7" s="195">
        <f t="shared" si="3"/>
        <v>225</v>
      </c>
      <c r="O7" s="195">
        <v>0</v>
      </c>
      <c r="P7" s="198"/>
      <c r="Q7" s="197">
        <f t="shared" si="4"/>
        <v>486</v>
      </c>
      <c r="R7" s="199" t="str">
        <f>IFERROR(INDEX(PRENOTAZIONI!$R:$R,SMALL(PRENOTAZIONI!$S:$S,4)),"")</f>
        <v>preparare due matrimoniali + 1 singolo</v>
      </c>
      <c r="S7" s="207"/>
      <c r="T7" s="94" t="str">
        <f>IFERROR(INDEX(PRENOTAZIONI!$A:$A,SMALL(PRENOTAZIONI!$AG:$AG,4)),"")</f>
        <v/>
      </c>
      <c r="U7" s="31" t="str">
        <f>IFERROR(INDEX(PRENOTAZIONI!$B:$B,SMALL(PRENOTAZIONI!$AG:$AG,4)),"")</f>
        <v/>
      </c>
      <c r="V7" s="32" t="str">
        <f t="shared" si="5"/>
        <v/>
      </c>
      <c r="W7" s="34" t="str">
        <f>IFERROR(INDEX(PRENOTAZIONI!$E:$E,SMALL(PRENOTAZIONI!$AG:$AG,4)),"")</f>
        <v/>
      </c>
      <c r="X7" s="34" t="str">
        <f>IFERROR(INDEX(PRENOTAZIONI!$F:$F,SMALL(PRENOTAZIONI!$AG:$AG,4)),"")</f>
        <v/>
      </c>
      <c r="Y7" s="35" t="str">
        <f>IFERROR(INDEX(PRENOTAZIONI!$H:$H,SMALL(PRENOTAZIONI!$AG:$AG,4)),"")</f>
        <v/>
      </c>
      <c r="Z7" s="34" t="str">
        <f>IFERROR(INDEX(PRENOTAZIONI!$K:$K,SMALL(PRENOTAZIONI!$AG:$AG,4)),"")</f>
        <v/>
      </c>
      <c r="AA7" s="34"/>
      <c r="AB7" s="34"/>
      <c r="AC7" s="40" t="str">
        <f t="shared" si="6"/>
        <v/>
      </c>
      <c r="AD7" s="41" t="str">
        <f t="shared" si="7"/>
        <v/>
      </c>
      <c r="AF7" s="38"/>
      <c r="AG7" s="113" t="s">
        <v>184</v>
      </c>
      <c r="AH7" s="114">
        <f>SUMPRODUCT((MONTH(PRENOTAZIONI!$A$3:$A$262)=4)*(YEAR(PRENOTAZIONI!$A$3:$A$262)=2026)*(PRENOTAZIONI!$D$3:$D$262="Sotto la Quercia"))</f>
        <v>3</v>
      </c>
      <c r="AI7" s="114">
        <f>SUMPRODUCT((PRENOTAZIONI!$A$3:$A$262&lt;DATE(2026,5,1))*(PRENOTAZIONI!$B$3:$B$262&gt;DATE(2026,4,1))*(YEAR(PRENOTAZIONI!$A$3:$A$262)=2026)*(PRENOTAZIONI!$D$3:$D$262="Sotto la Quercia")*((PRENOTAZIONI!$B$3:$B$262*(PRENOTAZIONI!$B$3:$B$262&lt;DATE(2026,5,1))+DATE(2026,5,1)*(PRENOTAZIONI!$B$3:$B$262&gt;=DATE(2026,5,1)))-(PRENOTAZIONI!$A$3:$A$262*(PRENOTAZIONI!$A$3:$A$262&gt;DATE(2026,4,1))+DATE(2026,4,1)*(PRENOTAZIONI!$A$3:$A$262&lt;=DATE(2026,4,1)))))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5</v>
      </c>
      <c r="AJ7" s="151">
        <f>SUMIF(A4:A33,"&gt;="&amp;DATE(2026,4,1),G4:G33)-SUMIF(A4:A33,"&gt;="&amp;DATE(2026,5,1),G4:G33)</f>
        <v>1800.5200000000004</v>
      </c>
      <c r="AK7" s="151">
        <f>SUMIF(A4:A33,"&gt;="&amp;DATE(2026,4,1),I4:I33)-SUMIF(A4:A33,"&gt;="&amp;DATE(2026,5,1),I4:I33)</f>
        <v>135.0780000000002</v>
      </c>
      <c r="AL7" s="151">
        <f>SUMIF(A4:A33,"&gt;="&amp;DATE(2026,4,1),L4:L33)-SUMIF(A4:A33,"&gt;="&amp;DATE(2026,5,1),L4:L33)</f>
        <v>18</v>
      </c>
      <c r="AM7" s="151">
        <f>SUMIF(A4:A33,"&gt;="&amp;DATE(2026,4,1),N4:N33)-SUMIF(A4:A33,"&gt;="&amp;DATE(2026,5,1),N4:N33)</f>
        <v>450.13000000000011</v>
      </c>
      <c r="AN7" s="152">
        <f>SUMIF(A4:A33,"&gt;="&amp;DATE(2026,4,1),M4:M33)-SUMIF(A4:A33,"&gt;="&amp;DATE(2026,5,1),M4:M33)</f>
        <v>378.10919999999987</v>
      </c>
      <c r="AO7" s="152">
        <f>SUMIF(A4:A33,"&gt;="&amp;DATE(2026,4,1),J4:J33)-SUMIF(A4:A33,"&gt;="&amp;DATE(2026,5,1),J4:J33)</f>
        <v>29.717160000000007</v>
      </c>
      <c r="AP7" s="153">
        <f>SUMIF(A4:A33,"&gt;="&amp;DATE(2026,4,1),Q4:Q33)-SUMIF(A4:A33,"&gt;="&amp;DATE(2026,5,1),Q4:Q33)</f>
        <v>737.48564000000079</v>
      </c>
    </row>
    <row r="8" spans="1:59" ht="20" customHeight="1" thickBot="1" x14ac:dyDescent="0.25">
      <c r="A8" s="164">
        <f>IFERROR(INDEX(PRENOTAZIONI!$A:$A,SMALL(PRENOTAZIONI!$S:$S,5)),"")</f>
        <v>46193</v>
      </c>
      <c r="B8" s="165">
        <f>IFERROR(INDEX(PRENOTAZIONI!$B:$B,SMALL(PRENOTAZIONI!$S:$S,5)),"")</f>
        <v>46200</v>
      </c>
      <c r="C8" s="166">
        <f t="shared" si="0"/>
        <v>7</v>
      </c>
      <c r="D8" s="167" t="str">
        <f>IFERROR(INDEX(PRENOTAZIONI!$E:$E,SMALL(PRENOTAZIONI!$S:$S,5)),"")</f>
        <v>Lugi Miscia</v>
      </c>
      <c r="E8" s="167" t="str">
        <f>IFERROR(INDEX(PRENOTAZIONI!$F:$F,SMALL(PRENOTAZIONI!$S:$S,5)),"")</f>
        <v>2 ad 1 b</v>
      </c>
      <c r="F8" s="167" t="str">
        <f>IFERROR(INDEX(PRENOTAZIONI!$G:$G,SMALL(PRENOTAZIONI!$S:$S,5)),"")</f>
        <v>diretta</v>
      </c>
      <c r="G8" s="168">
        <f>IFERROR(INDEX(PRENOTAZIONI!$H:$H,SMALL(PRENOTAZIONI!$S:$S,5)),"")</f>
        <v>520</v>
      </c>
      <c r="H8" s="168">
        <f t="shared" si="1"/>
        <v>74.285714285714292</v>
      </c>
      <c r="I8" s="168">
        <v>0</v>
      </c>
      <c r="J8" s="169">
        <v>0</v>
      </c>
      <c r="K8" s="167" t="str">
        <f>IFERROR(INDEX(PRENOTAZIONI!$K:$K,SMALL(PRENOTAZIONI!$S:$S,5)),"")</f>
        <v>contanti</v>
      </c>
      <c r="L8" s="168">
        <f>IFERROR(INDEX(PRENOTAZIONI!$L:$L,SMALL(PRENOTAZIONI!$S:$S,5)),"")</f>
        <v>4</v>
      </c>
      <c r="M8" s="170">
        <f t="shared" si="2"/>
        <v>109.2</v>
      </c>
      <c r="N8" s="168">
        <f t="shared" si="3"/>
        <v>130</v>
      </c>
      <c r="O8" s="168"/>
      <c r="P8" s="171"/>
      <c r="Q8" s="170">
        <f t="shared" si="4"/>
        <v>280.8</v>
      </c>
      <c r="R8" s="172" t="str">
        <f>IFERROR(INDEX(PRENOTAZIONI!$R:$R,SMALL(PRENOTAZIONI!$S:$S,5)),"")</f>
        <v>CANE - check in fatto con krissi 25€</v>
      </c>
      <c r="S8" s="204" t="s">
        <v>349</v>
      </c>
      <c r="T8" s="94" t="str">
        <f>IFERROR(INDEX(PRENOTAZIONI!$A:$A,SMALL(PRENOTAZIONI!$AG:$AG,5)),"")</f>
        <v/>
      </c>
      <c r="U8" s="31" t="str">
        <f>IFERROR(INDEX(PRENOTAZIONI!$B:$B,SMALL(PRENOTAZIONI!$AG:$AG,5)),"")</f>
        <v/>
      </c>
      <c r="V8" s="32" t="str">
        <f t="shared" si="5"/>
        <v/>
      </c>
      <c r="W8" s="34" t="str">
        <f>IFERROR(INDEX(PRENOTAZIONI!$E:$E,SMALL(PRENOTAZIONI!$AG:$AG,5)),"")</f>
        <v/>
      </c>
      <c r="X8" s="34" t="str">
        <f>IFERROR(INDEX(PRENOTAZIONI!$F:$F,SMALL(PRENOTAZIONI!$AG:$AG,5)),"")</f>
        <v/>
      </c>
      <c r="Y8" s="35" t="str">
        <f>IFERROR(INDEX(PRENOTAZIONI!$H:$H,SMALL(PRENOTAZIONI!$AG:$AG,5)),"")</f>
        <v/>
      </c>
      <c r="Z8" s="34" t="str">
        <f>IFERROR(INDEX(PRENOTAZIONI!$K:$K,SMALL(PRENOTAZIONI!$AG:$AG,5)),"")</f>
        <v/>
      </c>
      <c r="AA8" s="34"/>
      <c r="AB8" s="34"/>
      <c r="AC8" s="40" t="str">
        <f t="shared" si="6"/>
        <v/>
      </c>
      <c r="AD8" s="41" t="str">
        <f t="shared" si="7"/>
        <v/>
      </c>
      <c r="AF8" s="38"/>
      <c r="AG8" s="113" t="s">
        <v>185</v>
      </c>
      <c r="AH8" s="114">
        <f>SUMPRODUCT((MONTH(PRENOTAZIONI!$A$3:$A$262)=5)*(YEAR(PRENOTAZIONI!$A$3:$A$262)=2026)*(PRENOTAZIONI!$D$3:$D$262="Sotto la Quercia"))</f>
        <v>0</v>
      </c>
      <c r="AI8" s="114">
        <f>SUMPRODUCT((PRENOTAZIONI!$A$3:$A$262&lt;DATE(2026,6,1))*(PRENOTAZIONI!$B$3:$B$262&gt;DATE(2026,5,1))*(YEAR(PRENOTAZIONI!$A$3:$A$262)=2026)*(PRENOTAZIONI!$D$3:$D$262="Sotto la Quercia")*((PRENOTAZIONI!$B$3:$B$262*(PRENOTAZIONI!$B$3:$B$262&lt;DATE(2026,6,1))+DATE(2026,6,1)*(PRENOTAZIONI!$B$3:$B$262&gt;=DATE(2026,6,1)))-(PRENOTAZIONI!$A$3:$A$262*(PRENOTAZIONI!$A$3:$A$262&gt;DATE(2026,5,1))+DATE(2026,5,1)*(PRENOTAZIONI!$A$3:$A$262&lt;=DATE(2026,5,1)))))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5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59" ht="20" customHeight="1" x14ac:dyDescent="0.2">
      <c r="A9" s="174">
        <f>IFERROR(INDEX(PRENOTAZIONI!$A:$A,SMALL(PRENOTAZIONI!$S:$S,6)),"")</f>
        <v>46207</v>
      </c>
      <c r="B9" s="175">
        <f>IFERROR(INDEX(PRENOTAZIONI!$B:$B,SMALL(PRENOTAZIONI!$S:$S,6)),"")</f>
        <v>46222</v>
      </c>
      <c r="C9" s="176">
        <f t="shared" si="0"/>
        <v>15</v>
      </c>
      <c r="D9" s="177" t="str">
        <f>IFERROR(INDEX(PRENOTAZIONI!$E:$E,SMALL(PRENOTAZIONI!$S:$S,6)),"")</f>
        <v>Lubini Nicoletta</v>
      </c>
      <c r="E9" s="177" t="str">
        <f>IFERROR(INDEX(PRENOTAZIONI!$F:$F,SMALL(PRENOTAZIONI!$S:$S,6)),"")</f>
        <v>2 ad + 3 b</v>
      </c>
      <c r="F9" s="177" t="str">
        <f>IFERROR(INDEX(PRENOTAZIONI!$G:$G,SMALL(PRENOTAZIONI!$S:$S,6)),"")</f>
        <v>booking.com</v>
      </c>
      <c r="G9" s="178">
        <f>IFERROR(INDEX(PRENOTAZIONI!$H:$H,SMALL(PRENOTAZIONI!$S:$S,6)),"")</f>
        <v>2793.19</v>
      </c>
      <c r="H9" s="178">
        <f t="shared" si="1"/>
        <v>186.21266666666668</v>
      </c>
      <c r="I9" s="178">
        <f>IF(G9="","",IF(NOT(ISERROR(SEARCH("diretta",F9))),0,IF(NOT(ISERROR(SEARCH("booking",F9))),G9*0.15,IF(NOT(ISERROR(SEARCH("airbnb",F9))),G9*0.155,""))))</f>
        <v>418.9785</v>
      </c>
      <c r="J9" s="179">
        <f>IF(I9&lt;&gt;"",I9*0.22,"")</f>
        <v>92.175269999999998</v>
      </c>
      <c r="K9" s="177">
        <f>IFERROR(INDEX(PRENOTAZIONI!$K:$K,SMALL(PRENOTAZIONI!$S:$S,6)),"")</f>
        <v>0</v>
      </c>
      <c r="L9" s="178">
        <f>IFERROR(INDEX(PRENOTAZIONI!$L:$L,SMALL(PRENOTAZIONI!$S:$S,6)),"")</f>
        <v>8</v>
      </c>
      <c r="M9" s="180">
        <f t="shared" si="2"/>
        <v>586.56989999999996</v>
      </c>
      <c r="N9" s="178">
        <f t="shared" si="3"/>
        <v>698.29750000000001</v>
      </c>
      <c r="O9" s="178"/>
      <c r="P9" s="181"/>
      <c r="Q9" s="180">
        <f t="shared" si="4"/>
        <v>997.16882999999973</v>
      </c>
      <c r="R9" s="182" t="str">
        <f>IFERROR(INDEX(PRENOTAZIONI!$R:$R,SMALL(PRENOTAZIONI!$S:$S,6)),"")</f>
        <v>NON RIMBORSABILE - pagamento effettuato 11-05</v>
      </c>
      <c r="S9" s="205" t="s">
        <v>377</v>
      </c>
      <c r="T9" s="94" t="str">
        <f>IFERROR(INDEX(PRENOTAZIONI!$A:$A,SMALL(PRENOTAZIONI!$AG:$AG,6)),"")</f>
        <v/>
      </c>
      <c r="U9" s="31" t="str">
        <f>IFERROR(INDEX(PRENOTAZIONI!$B:$B,SMALL(PRENOTAZIONI!$AG:$AG,6)),"")</f>
        <v/>
      </c>
      <c r="V9" s="32" t="str">
        <f t="shared" si="5"/>
        <v/>
      </c>
      <c r="W9" s="34" t="str">
        <f>IFERROR(INDEX(PRENOTAZIONI!$E:$E,SMALL(PRENOTAZIONI!$AG:$AG,6)),"")</f>
        <v/>
      </c>
      <c r="X9" s="34" t="str">
        <f>IFERROR(INDEX(PRENOTAZIONI!$F:$F,SMALL(PRENOTAZIONI!$AG:$AG,6)),"")</f>
        <v/>
      </c>
      <c r="Y9" s="35" t="str">
        <f>IFERROR(INDEX(PRENOTAZIONI!$H:$H,SMALL(PRENOTAZIONI!$AG:$AG,6)),"")</f>
        <v/>
      </c>
      <c r="Z9" s="34" t="str">
        <f>IFERROR(INDEX(PRENOTAZIONI!$K:$K,SMALL(PRENOTAZIONI!$AG:$AG,6)),"")</f>
        <v/>
      </c>
      <c r="AA9" s="34"/>
      <c r="AB9" s="34"/>
      <c r="AC9" s="40" t="str">
        <f t="shared" si="6"/>
        <v/>
      </c>
      <c r="AD9" s="41" t="str">
        <f t="shared" si="7"/>
        <v/>
      </c>
      <c r="AF9" s="38"/>
      <c r="AG9" s="113" t="s">
        <v>186</v>
      </c>
      <c r="AH9" s="114">
        <f>SUMPRODUCT((MONTH(PRENOTAZIONI!$A$3:$A$262)=6)*(YEAR(PRENOTAZIONI!$A$3:$A$262)=2026)*(PRENOTAZIONI!$D$3:$D$262="Sotto la Quercia"))</f>
        <v>1</v>
      </c>
      <c r="AI9" s="114">
        <f>SUMPRODUCT((PRENOTAZIONI!$A$3:$A$262&lt;DATE(2026,7,1))*(PRENOTAZIONI!$B$3:$B$262&gt;DATE(2026,6,1))*(YEAR(PRENOTAZIONI!$A$3:$A$262)=2026)*(PRENOTAZIONI!$D$3:$D$262="Sotto la Quercia")*((PRENOTAZIONI!$B$3:$B$262*(PRENOTAZIONI!$B$3:$B$262&lt;DATE(2026,7,1))+DATE(2026,7,1)*(PRENOTAZIONI!$B$3:$B$262&gt;=DATE(2026,7,1)))-(PRENOTAZIONI!$A$3:$A$262*(PRENOTAZIONI!$A$3:$A$262&gt;DATE(2026,6,1))+DATE(2026,6,1)*(PRENOTAZIONI!$A$3:$A$262&lt;=DATE(2026,6,1)))))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7</v>
      </c>
      <c r="AJ9" s="151">
        <f>SUMIF(A4:A33,"&gt;="&amp;DATE(2026,6,1),G4:G33)-SUMIF(A4:A33,"&gt;="&amp;DATE(2026,7,1),G4:G33)</f>
        <v>520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4</v>
      </c>
      <c r="AM9" s="151">
        <f>SUMIF(A4:A33,"&gt;="&amp;DATE(2026,6,1),N4:N33)-SUMIF(A4:A33,"&gt;="&amp;DATE(2026,7,1),N4:N33)</f>
        <v>130</v>
      </c>
      <c r="AN9" s="152">
        <f>SUMIF(A4:A33,"&gt;="&amp;DATE(2026,6,1),M4:M33)-SUMIF(A4:A33,"&gt;="&amp;DATE(2026,7,1),M4:M33)</f>
        <v>109.19999999999982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280.79999999999927</v>
      </c>
    </row>
    <row r="10" spans="1:59" ht="20" customHeight="1" thickBot="1" x14ac:dyDescent="0.25">
      <c r="A10" s="191">
        <f>IFERROR(INDEX(PRENOTAZIONI!$A:$A,SMALL(PRENOTAZIONI!$S:$S,7)),"")</f>
        <v>46224</v>
      </c>
      <c r="B10" s="192">
        <f>IFERROR(INDEX(PRENOTAZIONI!$B:$B,SMALL(PRENOTAZIONI!$S:$S,7)),"")</f>
        <v>46237</v>
      </c>
      <c r="C10" s="193">
        <f t="shared" si="0"/>
        <v>13</v>
      </c>
      <c r="D10" s="194" t="str">
        <f>IFERROR(INDEX(PRENOTAZIONI!$E:$E,SMALL(PRENOTAZIONI!$S:$S,7)),"")</f>
        <v>Sindey Outtara</v>
      </c>
      <c r="E10" s="194" t="str">
        <f>IFERROR(INDEX(PRENOTAZIONI!$F:$F,SMALL(PRENOTAZIONI!$S:$S,7)),"")</f>
        <v>2 ad</v>
      </c>
      <c r="F10" s="194" t="str">
        <f>IFERROR(INDEX(PRENOTAZIONI!$G:$G,SMALL(PRENOTAZIONI!$S:$S,7)),"")</f>
        <v>Airbnb</v>
      </c>
      <c r="G10" s="195">
        <f>IFERROR(INDEX(PRENOTAZIONI!$H:$H,SMALL(PRENOTAZIONI!$S:$S,7)),"")</f>
        <v>2172.64</v>
      </c>
      <c r="H10" s="195">
        <f t="shared" si="1"/>
        <v>167.12615384615384</v>
      </c>
      <c r="I10" s="195">
        <v>0</v>
      </c>
      <c r="J10" s="196">
        <f t="shared" ref="J10:J41" si="8">IF(I10&lt;&gt;"",I10*0.22,"")</f>
        <v>0</v>
      </c>
      <c r="K10" s="194">
        <f>IFERROR(INDEX(PRENOTAZIONI!$K:$K,SMALL(PRENOTAZIONI!$S:$S,7)),"")</f>
        <v>0</v>
      </c>
      <c r="L10" s="195">
        <f>IFERROR(INDEX(PRENOTAZIONI!$L:$L,SMALL(PRENOTAZIONI!$S:$S,7)),"")</f>
        <v>4</v>
      </c>
      <c r="M10" s="197">
        <f t="shared" si="2"/>
        <v>456.25439999999998</v>
      </c>
      <c r="N10" s="195">
        <f t="shared" si="3"/>
        <v>543.16</v>
      </c>
      <c r="O10" s="195"/>
      <c r="P10" s="198"/>
      <c r="Q10" s="197">
        <f t="shared" si="4"/>
        <v>1173.2255999999998</v>
      </c>
      <c r="R10" s="199" t="str">
        <f>IFERROR(INDEX(PRENOTAZIONI!$R:$R,SMALL(PRENOTAZIONI!$S:$S,7)),"")</f>
        <v>Cane</v>
      </c>
      <c r="S10" s="207"/>
      <c r="T10" s="94" t="str">
        <f>IFERROR(INDEX(PRENOTAZIONI!$A:$A,SMALL(PRENOTAZIONI!$AG:$AG,7)),"")</f>
        <v/>
      </c>
      <c r="U10" s="31" t="str">
        <f>IFERROR(INDEX(PRENOTAZIONI!$B:$B,SMALL(PRENOTAZIONI!$AG:$AG,7)),"")</f>
        <v/>
      </c>
      <c r="V10" s="32" t="str">
        <f t="shared" si="5"/>
        <v/>
      </c>
      <c r="W10" s="34" t="str">
        <f>IFERROR(INDEX(PRENOTAZIONI!$E:$E,SMALL(PRENOTAZIONI!$AG:$AG,7)),"")</f>
        <v/>
      </c>
      <c r="X10" s="34" t="str">
        <f>IFERROR(INDEX(PRENOTAZIONI!$F:$F,SMALL(PRENOTAZIONI!$AG:$AG,7)),"")</f>
        <v/>
      </c>
      <c r="Y10" s="35" t="str">
        <f>IFERROR(INDEX(PRENOTAZIONI!$H:$H,SMALL(PRENOTAZIONI!$AG:$AG,7)),"")</f>
        <v/>
      </c>
      <c r="Z10" s="34" t="str">
        <f>IFERROR(INDEX(PRENOTAZIONI!$K:$K,SMALL(PRENOTAZIONI!$AG:$AG,7)),"")</f>
        <v/>
      </c>
      <c r="AA10" s="34"/>
      <c r="AB10" s="34"/>
      <c r="AC10" s="40" t="str">
        <f t="shared" si="6"/>
        <v/>
      </c>
      <c r="AD10" s="41" t="str">
        <f t="shared" si="7"/>
        <v/>
      </c>
      <c r="AF10" s="38"/>
      <c r="AG10" s="113" t="s">
        <v>187</v>
      </c>
      <c r="AH10" s="114">
        <f>SUMPRODUCT((MONTH(PRENOTAZIONI!$A$3:$A$262)=7)*(YEAR(PRENOTAZIONI!$A$3:$A$262)=2026)*(PRENOTAZIONI!$D$3:$D$262="Sotto la Quercia"))</f>
        <v>2</v>
      </c>
      <c r="AI10" s="114">
        <f>SUMPRODUCT((PRENOTAZIONI!$A$3:$A$262&lt;DATE(2026,8,1))*(PRENOTAZIONI!$B$3:$B$262&gt;DATE(2026,7,1))*(YEAR(PRENOTAZIONI!$A$3:$A$262)=2026)*(PRENOTAZIONI!$D$3:$D$262="Sotto la Quercia")*((PRENOTAZIONI!$B$3:$B$262*(PRENOTAZIONI!$B$3:$B$262&lt;DATE(2026,8,1))+DATE(2026,8,1)*(PRENOTAZIONI!$B$3:$B$262&gt;=DATE(2026,8,1)))-(PRENOTAZIONI!$A$3:$A$262*(PRENOTAZIONI!$A$3:$A$262&gt;DATE(2026,7,1))+DATE(2026,7,1)*(PRENOTAZIONI!$A$3:$A$262&lt;=DATE(2026,7,1)))))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26</v>
      </c>
      <c r="AJ10" s="151">
        <f>SUMIF(A4:A33,"&gt;="&amp;DATE(2026,7,1),G4:G33)-SUMIF(A4:A33,"&gt;="&amp;DATE(2026,8,1),G4:G33)</f>
        <v>4965.83</v>
      </c>
      <c r="AK10" s="151">
        <f>SUMIF(A4:A33,"&gt;="&amp;DATE(2026,7,1),I4:I33)-SUMIF(A4:A33,"&gt;="&amp;DATE(2026,8,1),I4:I33)</f>
        <v>418.97849999999994</v>
      </c>
      <c r="AL10" s="151">
        <f>SUMIF(A4:A33,"&gt;="&amp;DATE(2026,7,1),L4:L33)-SUMIF(A4:A33,"&gt;="&amp;DATE(2026,8,1),L4:L33)</f>
        <v>12</v>
      </c>
      <c r="AM10" s="151">
        <f>SUMIF(A4:A33,"&gt;="&amp;DATE(2026,7,1),N4:N33)-SUMIF(A4:A33,"&gt;="&amp;DATE(2026,8,1),N4:N33)</f>
        <v>1241.4575</v>
      </c>
      <c r="AN10" s="152">
        <f>SUMIF(A4:A33,"&gt;="&amp;DATE(2026,7,1),M4:M33)-SUMIF(A4:A33,"&gt;="&amp;DATE(2026,8,1),M4:M33)</f>
        <v>1042.8243</v>
      </c>
      <c r="AO10" s="152">
        <f>SUMIF(A4:A33,"&gt;="&amp;DATE(2026,7,1),J4:J33)-SUMIF(A4:A33,"&gt;="&amp;DATE(2026,8,1),J4:J33)</f>
        <v>92.175269999999998</v>
      </c>
      <c r="AP10" s="153">
        <f>SUMIF(A4:A33,"&gt;="&amp;DATE(2026,7,1),Q4:Q33)-SUMIF(A4:A33,"&gt;="&amp;DATE(2026,8,1),Q4:Q33)</f>
        <v>2170.3944300000003</v>
      </c>
    </row>
    <row r="11" spans="1:59" ht="20" customHeight="1" x14ac:dyDescent="0.2">
      <c r="A11" s="157">
        <f>IFERROR(INDEX(PRENOTAZIONI!$A:$A,SMALL(PRENOTAZIONI!$S:$S,8)),"")</f>
        <v>46241</v>
      </c>
      <c r="B11" s="157">
        <f>IFERROR(INDEX(PRENOTAZIONI!$B:$B,SMALL(PRENOTAZIONI!$S:$S,8)),"")</f>
        <v>46251</v>
      </c>
      <c r="C11" s="158">
        <f t="shared" si="0"/>
        <v>10</v>
      </c>
      <c r="D11" s="159" t="str">
        <f>IFERROR(INDEX(PRENOTAZIONI!$E:$E,SMALL(PRENOTAZIONI!$S:$S,8)),"")</f>
        <v>Anna Pandolfi</v>
      </c>
      <c r="E11" s="159" t="str">
        <f>IFERROR(INDEX(PRENOTAZIONI!$F:$F,SMALL(PRENOTAZIONI!$S:$S,8)),"")</f>
        <v>2 ad</v>
      </c>
      <c r="F11" s="159" t="str">
        <f>IFERROR(INDEX(PRENOTAZIONI!$G:$G,SMALL(PRENOTAZIONI!$S:$S,8)),"")</f>
        <v>booking.com</v>
      </c>
      <c r="G11" s="160">
        <f>IFERROR(INDEX(PRENOTAZIONI!$H:$H,SMALL(PRENOTAZIONI!$S:$S,8)),"")</f>
        <v>1694.07</v>
      </c>
      <c r="H11" s="160">
        <f t="shared" si="1"/>
        <v>169.40699999999998</v>
      </c>
      <c r="I11" s="160">
        <f>IF(G11="","",IF(NOT(ISERROR(SEARCH("diretta",F11))),0,IF(NOT(ISERROR(SEARCH("booking",F11))),G11*0.15,IF(NOT(ISERROR(SEARCH("airbnb",F11))),G11*0.155,""))))</f>
        <v>254.11049999999997</v>
      </c>
      <c r="J11" s="161">
        <f t="shared" si="8"/>
        <v>55.904309999999995</v>
      </c>
      <c r="K11" s="159" t="str">
        <f>IFERROR(INDEX(PRENOTAZIONI!$K:$K,SMALL(PRENOTAZIONI!$S:$S,8)),"")</f>
        <v>contanti</v>
      </c>
      <c r="L11" s="160">
        <f>IFERROR(INDEX(PRENOTAZIONI!$L:$L,SMALL(PRENOTAZIONI!$S:$S,8)),"")</f>
        <v>4</v>
      </c>
      <c r="M11" s="154">
        <f t="shared" si="2"/>
        <v>355.75469999999996</v>
      </c>
      <c r="N11" s="160">
        <f t="shared" si="3"/>
        <v>423.51749999999998</v>
      </c>
      <c r="O11" s="160"/>
      <c r="P11" s="162"/>
      <c r="Q11" s="154">
        <f t="shared" si="4"/>
        <v>604.78299000000015</v>
      </c>
      <c r="R11" s="163">
        <f>IFERROR(INDEX(PRENOTAZIONI!$R:$R,SMALL(PRENOTAZIONI!$S:$S,8)),"")</f>
        <v>0</v>
      </c>
      <c r="S11" s="173"/>
      <c r="T11" s="31" t="str">
        <f>IFERROR(INDEX(PRENOTAZIONI!$A:$A,SMALL(PRENOTAZIONI!$AG:$AG,8)),"")</f>
        <v/>
      </c>
      <c r="U11" s="31" t="str">
        <f>IFERROR(INDEX(PRENOTAZIONI!$B:$B,SMALL(PRENOTAZIONI!$AG:$AG,8)),"")</f>
        <v/>
      </c>
      <c r="V11" s="32" t="str">
        <f t="shared" si="5"/>
        <v/>
      </c>
      <c r="W11" s="34" t="str">
        <f>IFERROR(INDEX(PRENOTAZIONI!$E:$E,SMALL(PRENOTAZIONI!$AG:$AG,8)),"")</f>
        <v/>
      </c>
      <c r="X11" s="34" t="str">
        <f>IFERROR(INDEX(PRENOTAZIONI!$F:$F,SMALL(PRENOTAZIONI!$AG:$AG,8)),"")</f>
        <v/>
      </c>
      <c r="Y11" s="35" t="str">
        <f>IFERROR(INDEX(PRENOTAZIONI!$H:$H,SMALL(PRENOTAZIONI!$AG:$AG,8)),"")</f>
        <v/>
      </c>
      <c r="Z11" s="34" t="str">
        <f>IFERROR(INDEX(PRENOTAZIONI!$K:$K,SMALL(PRENOTAZIONI!$AG:$AG,8)),"")</f>
        <v/>
      </c>
      <c r="AA11" s="34"/>
      <c r="AB11" s="34"/>
      <c r="AC11" s="40" t="str">
        <f t="shared" si="6"/>
        <v/>
      </c>
      <c r="AD11" s="41" t="str">
        <f t="shared" si="7"/>
        <v/>
      </c>
      <c r="AF11" s="38"/>
      <c r="AG11" s="113" t="s">
        <v>188</v>
      </c>
      <c r="AH11" s="114">
        <f>SUMPRODUCT((MONTH(PRENOTAZIONI!$A$3:$A$262)=8)*(YEAR(PRENOTAZIONI!$A$3:$A$262)=2026)*(PRENOTAZIONI!$D$3:$D$262="Sotto la Quercia"))</f>
        <v>3</v>
      </c>
      <c r="AI11" s="114">
        <f>SUMPRODUCT((PRENOTAZIONI!$A$3:$A$262&lt;DATE(2026,9,1))*(PRENOTAZIONI!$B$3:$B$262&gt;DATE(2026,8,1))*(YEAR(PRENOTAZIONI!$A$3:$A$262)=2026)*(PRENOTAZIONI!$D$3:$D$262="Sotto la Quercia")*((PRENOTAZIONI!$B$3:$B$262*(PRENOTAZIONI!$B$3:$B$262&lt;DATE(2026,9,1))+DATE(2026,9,1)*(PRENOTAZIONI!$B$3:$B$262&gt;=DATE(2026,9,1)))-(PRENOTAZIONI!$A$3:$A$262*(PRENOTAZIONI!$A$3:$A$262&gt;DATE(2026,8,1))+DATE(2026,8,1)*(PRENOTAZIONI!$A$3:$A$262&lt;=DATE(2026,8,1)))))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27</v>
      </c>
      <c r="AJ11" s="151">
        <f>SUMIF(A4:A33,"&gt;="&amp;DATE(2026,8,1),G4:G33)-SUMIF(A4:A33,"&gt;="&amp;DATE(2026,9,1),G4:G33)</f>
        <v>4339.5</v>
      </c>
      <c r="AK11" s="151">
        <f>SUMIF(A4:A33,"&gt;="&amp;DATE(2026,8,1),I4:I33)-SUMIF(A4:A33,"&gt;="&amp;DATE(2026,9,1),I4:I33)</f>
        <v>501.375</v>
      </c>
      <c r="AL11" s="151">
        <f>SUMIF(A4:A33,"&gt;="&amp;DATE(2026,8,1),L4:L33)-SUMIF(A4:A33,"&gt;="&amp;DATE(2026,9,1),L4:L33)</f>
        <v>4</v>
      </c>
      <c r="AM11" s="151">
        <f>SUMIF(A4:A33,"&gt;="&amp;DATE(2026,8,1),N4:N33)-SUMIF(A4:A33,"&gt;="&amp;DATE(2026,9,1),N4:N33)</f>
        <v>1084.875</v>
      </c>
      <c r="AN11" s="152">
        <f>SUMIF(A4:A33,"&gt;="&amp;DATE(2026,8,1),M4:M33)-SUMIF(A4:A33,"&gt;="&amp;DATE(2026,9,1),M4:M33)</f>
        <v>911.29500000000007</v>
      </c>
      <c r="AO11" s="152">
        <f>SUMIF(A4:A33,"&gt;="&amp;DATE(2026,8,1),J4:J33)-SUMIF(A4:A33,"&gt;="&amp;DATE(2026,9,1),J4:J33)</f>
        <v>110.30249999999999</v>
      </c>
      <c r="AP11" s="153">
        <f>SUMIF(A4:A33,"&gt;="&amp;DATE(2026,8,1),Q4:Q33)-SUMIF(A4:A33,"&gt;="&amp;DATE(2026,9,1),Q4:Q33)</f>
        <v>1731.6524999999999</v>
      </c>
    </row>
    <row r="12" spans="1:59" ht="20" customHeight="1" x14ac:dyDescent="0.2">
      <c r="A12" s="31">
        <f>IFERROR(INDEX(PRENOTAZIONI!$A:$A,SMALL(PRENOTAZIONI!$S:$S,9)),"")</f>
        <v>46251</v>
      </c>
      <c r="B12" s="31">
        <f>IFERROR(INDEX(PRENOTAZIONI!$B:$B,SMALL(PRENOTAZIONI!$S:$S,9)),"")</f>
        <v>46258</v>
      </c>
      <c r="C12" s="32">
        <f t="shared" si="0"/>
        <v>7</v>
      </c>
      <c r="D12" s="34" t="str">
        <f>IFERROR(INDEX(PRENOTAZIONI!$E:$E,SMALL(PRENOTAZIONI!$S:$S,9)),"")</f>
        <v>Gennaro Pascale</v>
      </c>
      <c r="E12" s="34" t="str">
        <f>IFERROR(INDEX(PRENOTAZIONI!$F:$F,SMALL(PRENOTAZIONI!$S:$S,9)),"")</f>
        <v>4 ad</v>
      </c>
      <c r="F12" s="34" t="str">
        <f>IFERROR(INDEX(PRENOTAZIONI!$G:$G,SMALL(PRENOTAZIONI!$S:$S,9)),"")</f>
        <v>booking.com</v>
      </c>
      <c r="G12" s="35">
        <f>IFERROR(INDEX(PRENOTAZIONI!$H:$H,SMALL(PRENOTAZIONI!$S:$S,9)),"")</f>
        <v>1648.43</v>
      </c>
      <c r="H12" s="35">
        <f t="shared" si="1"/>
        <v>235.49</v>
      </c>
      <c r="I12" s="35">
        <f>IF(G12="","",IF(NOT(ISERROR(SEARCH("diretta",F12))),0,IF(NOT(ISERROR(SEARCH("booking",F12))),G12*0.15,IF(NOT(ISERROR(SEARCH("airbnb",F12))),G12*0.155,""))))</f>
        <v>247.2645</v>
      </c>
      <c r="J12" s="149">
        <f t="shared" si="8"/>
        <v>54.39819</v>
      </c>
      <c r="K12" s="34">
        <f>IFERROR(INDEX(PRENOTAZIONI!$K:$K,SMALL(PRENOTAZIONI!$S:$S,9)),"")</f>
        <v>0</v>
      </c>
      <c r="L12" s="35">
        <f>IFERROR(INDEX(PRENOTAZIONI!$L:$L,SMALL(PRENOTAZIONI!$S:$S,9)),"")</f>
        <v>0</v>
      </c>
      <c r="M12" s="150">
        <f t="shared" si="2"/>
        <v>346.1703</v>
      </c>
      <c r="N12" s="35">
        <f t="shared" si="3"/>
        <v>412.10750000000002</v>
      </c>
      <c r="O12" s="35"/>
      <c r="P12" s="43"/>
      <c r="Q12" s="150">
        <f t="shared" si="4"/>
        <v>588.48951000000011</v>
      </c>
      <c r="R12" s="89">
        <f>IFERROR(INDEX(PRENOTAZIONI!$R:$R,SMALL(PRENOTAZIONI!$S:$S,9)),"")</f>
        <v>0</v>
      </c>
      <c r="S12" s="80"/>
      <c r="T12" s="31" t="str">
        <f>IFERROR(INDEX(PRENOTAZIONI!$A:$A,SMALL(PRENOTAZIONI!$AG:$AG,9)),"")</f>
        <v/>
      </c>
      <c r="U12" s="31" t="str">
        <f>IFERROR(INDEX(PRENOTAZIONI!$B:$B,SMALL(PRENOTAZIONI!$AG:$AG,9)),"")</f>
        <v/>
      </c>
      <c r="V12" s="32" t="str">
        <f t="shared" si="5"/>
        <v/>
      </c>
      <c r="W12" s="34" t="str">
        <f>IFERROR(INDEX(PRENOTAZIONI!$E:$E,SMALL(PRENOTAZIONI!$AG:$AG,9)),"")</f>
        <v/>
      </c>
      <c r="X12" s="34" t="str">
        <f>IFERROR(INDEX(PRENOTAZIONI!$F:$F,SMALL(PRENOTAZIONI!$AG:$AG,9)),"")</f>
        <v/>
      </c>
      <c r="Y12" s="35" t="str">
        <f>IFERROR(INDEX(PRENOTAZIONI!$H:$H,SMALL(PRENOTAZIONI!$AG:$AG,9)),"")</f>
        <v/>
      </c>
      <c r="Z12" s="34" t="str">
        <f>IFERROR(INDEX(PRENOTAZIONI!$K:$K,SMALL(PRENOTAZIONI!$AG:$AG,9)),"")</f>
        <v/>
      </c>
      <c r="AA12" s="34"/>
      <c r="AB12" s="34"/>
      <c r="AC12" s="40" t="str">
        <f t="shared" si="6"/>
        <v/>
      </c>
      <c r="AD12" s="41" t="str">
        <f t="shared" si="7"/>
        <v/>
      </c>
      <c r="AF12" s="38"/>
      <c r="AG12" s="113" t="s">
        <v>189</v>
      </c>
      <c r="AH12" s="114">
        <f>SUMPRODUCT((MONTH(PRENOTAZIONI!$A$3:$A$262)=9)*(YEAR(PRENOTAZIONI!$A$3:$A$262)=2026)*(PRENOTAZIONI!$D$3:$D$262="Sotto la Quercia"))</f>
        <v>2</v>
      </c>
      <c r="AI12" s="114">
        <f>SUMPRODUCT((PRENOTAZIONI!$A$3:$A$262&lt;DATE(2026,10,1))*(PRENOTAZIONI!$B$3:$B$262&gt;DATE(2026,9,1))*(YEAR(PRENOTAZIONI!$A$3:$A$262)=2026)*(PRENOTAZIONI!$D$3:$D$262="Sotto la Querci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16</v>
      </c>
      <c r="AJ12" s="151">
        <f>SUMIF(A4:A33,"&gt;="&amp;DATE(2026,9,1),G4:G33)-SUMIF(A4:A33,"&gt;="&amp;DATE(2026,10,1),G4:G33)</f>
        <v>1404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351</v>
      </c>
      <c r="AN12" s="152">
        <f>SUMIF(A4:A33,"&gt;="&amp;DATE(2026,9,1),M4:M33)-SUMIF(A4:A33,"&gt;="&amp;DATE(2026,10,1),M4:M33)</f>
        <v>294.83999999999997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758.16000000000008</v>
      </c>
    </row>
    <row r="13" spans="1:59" ht="20" customHeight="1" x14ac:dyDescent="0.2">
      <c r="A13" s="31">
        <f>IFERROR(INDEX(PRENOTAZIONI!$A:$A,SMALL(PRENOTAZIONI!$S:$S,10)),"")</f>
        <v>46258</v>
      </c>
      <c r="B13" s="31">
        <f>IFERROR(INDEX(PRENOTAZIONI!$B:$B,SMALL(PRENOTAZIONI!$S:$S,10)),"")</f>
        <v>46267</v>
      </c>
      <c r="C13" s="32">
        <f t="shared" si="0"/>
        <v>9</v>
      </c>
      <c r="D13" s="34" t="str">
        <f>IFERROR(INDEX(PRENOTAZIONI!$E:$E,SMALL(PRENOTAZIONI!$S:$S,10)),"")</f>
        <v>Laura Capaldi</v>
      </c>
      <c r="E13" s="34" t="str">
        <f>IFERROR(INDEX(PRENOTAZIONI!$F:$F,SMALL(PRENOTAZIONI!$S:$S,10)),"")</f>
        <v>2 ad 1 b</v>
      </c>
      <c r="F13" s="34" t="str">
        <f>IFERROR(INDEX(PRENOTAZIONI!$G:$G,SMALL(PRENOTAZIONI!$S:$S,10)),"")</f>
        <v>diretta</v>
      </c>
      <c r="G13" s="35">
        <f>IFERROR(INDEX(PRENOTAZIONI!$H:$H,SMALL(PRENOTAZIONI!$S:$S,10)),"")</f>
        <v>997</v>
      </c>
      <c r="H13" s="35">
        <f t="shared" si="1"/>
        <v>110.77777777777777</v>
      </c>
      <c r="I13" s="35">
        <v>0</v>
      </c>
      <c r="J13" s="149">
        <f t="shared" si="8"/>
        <v>0</v>
      </c>
      <c r="K13" s="34">
        <f>IFERROR(INDEX(PRENOTAZIONI!$K:$K,SMALL(PRENOTAZIONI!$S:$S,10)),"")</f>
        <v>0</v>
      </c>
      <c r="L13" s="35">
        <f>IFERROR(INDEX(PRENOTAZIONI!$L:$L,SMALL(PRENOTAZIONI!$S:$S,10)),"")</f>
        <v>0</v>
      </c>
      <c r="M13" s="150">
        <f t="shared" si="2"/>
        <v>209.37</v>
      </c>
      <c r="N13" s="35">
        <f t="shared" si="3"/>
        <v>249.25</v>
      </c>
      <c r="O13" s="35"/>
      <c r="P13" s="43"/>
      <c r="Q13" s="150">
        <f t="shared" si="4"/>
        <v>538.38</v>
      </c>
      <c r="R13" s="89">
        <f>IFERROR(INDEX(PRENOTAZIONI!$R:$R,SMALL(PRENOTAZIONI!$S:$S,10)),"")</f>
        <v>0</v>
      </c>
      <c r="S13" s="80"/>
      <c r="T13" s="31" t="str">
        <f>IFERROR(INDEX(PRENOTAZIONI!$A:$A,SMALL(PRENOTAZIONI!$AG:$AG,10)),"")</f>
        <v/>
      </c>
      <c r="U13" s="31" t="str">
        <f>IFERROR(INDEX(PRENOTAZIONI!$B:$B,SMALL(PRENOTAZIONI!$AG:$AG,10)),"")</f>
        <v/>
      </c>
      <c r="V13" s="32" t="str">
        <f t="shared" si="5"/>
        <v/>
      </c>
      <c r="W13" s="34" t="str">
        <f>IFERROR(INDEX(PRENOTAZIONI!$E:$E,SMALL(PRENOTAZIONI!$AG:$AG,10)),"")</f>
        <v/>
      </c>
      <c r="X13" s="34" t="str">
        <f>IFERROR(INDEX(PRENOTAZIONI!$F:$F,SMALL(PRENOTAZIONI!$AG:$AG,10)),"")</f>
        <v/>
      </c>
      <c r="Y13" s="35" t="str">
        <f>IFERROR(INDEX(PRENOTAZIONI!$H:$H,SMALL(PRENOTAZIONI!$AG:$AG,10)),"")</f>
        <v/>
      </c>
      <c r="Z13" s="34" t="str">
        <f>IFERROR(INDEX(PRENOTAZIONI!$K:$K,SMALL(PRENOTAZIONI!$AG:$AG,10)),"")</f>
        <v/>
      </c>
      <c r="AA13" s="34"/>
      <c r="AB13" s="34"/>
      <c r="AC13" s="40" t="str">
        <f t="shared" si="6"/>
        <v/>
      </c>
      <c r="AD13" s="41" t="str">
        <f t="shared" si="7"/>
        <v/>
      </c>
      <c r="AF13" s="38"/>
      <c r="AG13" s="113" t="s">
        <v>190</v>
      </c>
      <c r="AH13" s="114">
        <f>SUMPRODUCT((MONTH(PRENOTAZIONI!$A$3:$A$262)=10)*(YEAR(PRENOTAZIONI!$A$3:$A$262)=2026)*(PRENOTAZIONI!$D$3:$D$262="Sotto la Quercia"))</f>
        <v>0</v>
      </c>
      <c r="AI13" s="114">
        <f>SUMPRODUCT((PRENOTAZIONI!$A$3:$A$262&lt;DATE(2026,11,1))*(PRENOTAZIONI!$B$3:$B$262&gt;DATE(2026,10,1))*(YEAR(PRENOTAZIONI!$A$3:$A$262)=2026)*(PRENOTAZIONI!$D$3:$D$262="Sotto la Querci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59" ht="20" customHeight="1" x14ac:dyDescent="0.2">
      <c r="A14" s="31">
        <f>IFERROR(INDEX(PRENOTAZIONI!$A:$A,SMALL(PRENOTAZIONI!$S:$S,11)),"")</f>
        <v>46268</v>
      </c>
      <c r="B14" s="31">
        <f>IFERROR(INDEX(PRENOTAZIONI!$B:$B,SMALL(PRENOTAZIONI!$S:$S,11)),"")</f>
        <v>46271</v>
      </c>
      <c r="C14" s="32">
        <f t="shared" si="0"/>
        <v>3</v>
      </c>
      <c r="D14" s="34" t="str">
        <f>IFERROR(INDEX(PRENOTAZIONI!$E:$E,SMALL(PRENOTAZIONI!$S:$S,11)),"")</f>
        <v>Raffaele Guasco</v>
      </c>
      <c r="E14" s="34" t="str">
        <f>IFERROR(INDEX(PRENOTAZIONI!$F:$F,SMALL(PRENOTAZIONI!$S:$S,11)),"")</f>
        <v>3 ad</v>
      </c>
      <c r="F14" s="34" t="str">
        <f>IFERROR(INDEX(PRENOTAZIONI!$G:$G,SMALL(PRENOTAZIONI!$S:$S,11)),"")</f>
        <v>diretta</v>
      </c>
      <c r="G14" s="35">
        <f>IFERROR(INDEX(PRENOTAZIONI!$H:$H,SMALL(PRENOTAZIONI!$S:$S,11)),"")</f>
        <v>144</v>
      </c>
      <c r="H14" s="35">
        <f t="shared" si="1"/>
        <v>48</v>
      </c>
      <c r="I14" s="35">
        <f t="shared" ref="I14:I45" si="9">IF(G14="","",IF(NOT(ISERROR(SEARCH("diretta",F14))),0,IF(NOT(ISERROR(SEARCH("booking",F14))),G14*0.15,IF(NOT(ISERROR(SEARCH("airbnb",F14))),G14*0.155,""))))</f>
        <v>0</v>
      </c>
      <c r="J14" s="149">
        <f t="shared" si="8"/>
        <v>0</v>
      </c>
      <c r="K14" s="34">
        <f>IFERROR(INDEX(PRENOTAZIONI!$K:$K,SMALL(PRENOTAZIONI!$S:$S,11)),"")</f>
        <v>0</v>
      </c>
      <c r="L14" s="35">
        <f>IFERROR(INDEX(PRENOTAZIONI!$L:$L,SMALL(PRENOTAZIONI!$S:$S,11)),"")</f>
        <v>0</v>
      </c>
      <c r="M14" s="150">
        <f t="shared" si="2"/>
        <v>30.24</v>
      </c>
      <c r="N14" s="35">
        <f t="shared" si="3"/>
        <v>36</v>
      </c>
      <c r="O14" s="35"/>
      <c r="P14" s="43"/>
      <c r="Q14" s="150">
        <f t="shared" si="4"/>
        <v>77.760000000000005</v>
      </c>
      <c r="R14" s="89" t="str">
        <f>IFERROR(INDEX(PRENOTAZIONI!$R:$R,SMALL(PRENOTAZIONI!$S:$S,11)),"")</f>
        <v>prenotazione booking 388,92 4 ad (no show)</v>
      </c>
      <c r="S14" s="80"/>
      <c r="T14" s="31" t="str">
        <f>IFERROR(INDEX(PRENOTAZIONI!$A:$A,SMALL(PRENOTAZIONI!$AG:$AG,11)),"")</f>
        <v/>
      </c>
      <c r="U14" s="31" t="str">
        <f>IFERROR(INDEX(PRENOTAZIONI!$B:$B,SMALL(PRENOTAZIONI!$AG:$AG,11)),"")</f>
        <v/>
      </c>
      <c r="V14" s="32" t="str">
        <f t="shared" si="5"/>
        <v/>
      </c>
      <c r="W14" s="34" t="str">
        <f>IFERROR(INDEX(PRENOTAZIONI!$E:$E,SMALL(PRENOTAZIONI!$AG:$AG,11)),"")</f>
        <v/>
      </c>
      <c r="X14" s="34" t="str">
        <f>IFERROR(INDEX(PRENOTAZIONI!$F:$F,SMALL(PRENOTAZIONI!$AG:$AG,11)),"")</f>
        <v/>
      </c>
      <c r="Y14" s="35" t="str">
        <f>IFERROR(INDEX(PRENOTAZIONI!$H:$H,SMALL(PRENOTAZIONI!$AG:$AG,11)),"")</f>
        <v/>
      </c>
      <c r="Z14" s="34" t="str">
        <f>IFERROR(INDEX(PRENOTAZIONI!$K:$K,SMALL(PRENOTAZIONI!$AG:$AG,11)),"")</f>
        <v/>
      </c>
      <c r="AA14" s="34"/>
      <c r="AB14" s="34"/>
      <c r="AC14" s="40" t="str">
        <f t="shared" si="6"/>
        <v/>
      </c>
      <c r="AD14" s="41" t="str">
        <f t="shared" si="7"/>
        <v/>
      </c>
      <c r="AF14" s="38"/>
      <c r="AG14" s="113" t="s">
        <v>191</v>
      </c>
      <c r="AH14" s="114">
        <f>SUMPRODUCT((MONTH(PRENOTAZIONI!$A$3:$A$262)=11)*(YEAR(PRENOTAZIONI!$A$3:$A$262)=2026)*(PRENOTAZIONI!$D$3:$D$262="Sotto la Quercia"))</f>
        <v>0</v>
      </c>
      <c r="AI14" s="114">
        <f>SUMPRODUCT((PRENOTAZIONI!$A$3:$A$262&lt;DATE(2026,12,1))*(PRENOTAZIONI!$B$3:$B$262&gt;DATE(2026,11,1))*(YEAR(PRENOTAZIONI!$A$3:$A$262)=2026)*(PRENOTAZIONI!$D$3:$D$262="Sotto la Querci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59" ht="20" customHeight="1" x14ac:dyDescent="0.2">
      <c r="A15" s="31">
        <f>IFERROR(INDEX(PRENOTAZIONI!$A:$A,SMALL(PRENOTAZIONI!$S:$S,12)),"")</f>
        <v>46272</v>
      </c>
      <c r="B15" s="31">
        <f>IFERROR(INDEX(PRENOTAZIONI!$B:$B,SMALL(PRENOTAZIONI!$S:$S,12)),"")</f>
        <v>46284</v>
      </c>
      <c r="C15" s="32">
        <f t="shared" si="0"/>
        <v>12</v>
      </c>
      <c r="D15" s="34" t="str">
        <f>IFERROR(INDEX(PRENOTAZIONI!$E:$E,SMALL(PRENOTAZIONI!$S:$S,12)),"")</f>
        <v>Daniele Lando</v>
      </c>
      <c r="E15" s="34" t="str">
        <f>IFERROR(INDEX(PRENOTAZIONI!$F:$F,SMALL(PRENOTAZIONI!$S:$S,12)),"")</f>
        <v>2 ad</v>
      </c>
      <c r="F15" s="34" t="str">
        <f>IFERROR(INDEX(PRENOTAZIONI!$G:$G,SMALL(PRENOTAZIONI!$S:$S,12)),"")</f>
        <v>diretta</v>
      </c>
      <c r="G15" s="35">
        <f>IFERROR(INDEX(PRENOTAZIONI!$H:$H,SMALL(PRENOTAZIONI!$S:$S,12)),"")</f>
        <v>1260</v>
      </c>
      <c r="H15" s="35">
        <f t="shared" si="1"/>
        <v>105</v>
      </c>
      <c r="I15" s="35">
        <f t="shared" si="9"/>
        <v>0</v>
      </c>
      <c r="J15" s="149">
        <f t="shared" si="8"/>
        <v>0</v>
      </c>
      <c r="K15" s="34">
        <f>IFERROR(INDEX(PRENOTAZIONI!$K:$K,SMALL(PRENOTAZIONI!$S:$S,12)),"")</f>
        <v>0</v>
      </c>
      <c r="L15" s="35">
        <f>IFERROR(INDEX(PRENOTAZIONI!$L:$L,SMALL(PRENOTAZIONI!$S:$S,12)),"")</f>
        <v>0</v>
      </c>
      <c r="M15" s="150">
        <f t="shared" si="2"/>
        <v>264.59999999999997</v>
      </c>
      <c r="N15" s="35">
        <f t="shared" si="3"/>
        <v>315</v>
      </c>
      <c r="O15" s="35"/>
      <c r="P15" s="43"/>
      <c r="Q15" s="150">
        <f t="shared" si="4"/>
        <v>680.40000000000009</v>
      </c>
      <c r="R15" s="89" t="str">
        <f>IFERROR(INDEX(PRENOTAZIONI!$R:$R,SMALL(PRENOTAZIONI!$S:$S,12)),"")</f>
        <v>2 cani</v>
      </c>
      <c r="S15" s="80"/>
      <c r="T15" s="31" t="str">
        <f>IFERROR(INDEX(PRENOTAZIONI!$A:$A,SMALL(PRENOTAZIONI!$AG:$AG,12)),"")</f>
        <v/>
      </c>
      <c r="U15" s="31" t="str">
        <f>IFERROR(INDEX(PRENOTAZIONI!$B:$B,SMALL(PRENOTAZIONI!$AG:$AG,12)),"")</f>
        <v/>
      </c>
      <c r="V15" s="32" t="str">
        <f t="shared" si="5"/>
        <v/>
      </c>
      <c r="W15" s="34" t="str">
        <f>IFERROR(INDEX(PRENOTAZIONI!$E:$E,SMALL(PRENOTAZIONI!$AG:$AG,12)),"")</f>
        <v/>
      </c>
      <c r="X15" s="34" t="str">
        <f>IFERROR(INDEX(PRENOTAZIONI!$F:$F,SMALL(PRENOTAZIONI!$AG:$AG,12)),"")</f>
        <v/>
      </c>
      <c r="Y15" s="35" t="str">
        <f>IFERROR(INDEX(PRENOTAZIONI!$H:$H,SMALL(PRENOTAZIONI!$AG:$AG,12)),"")</f>
        <v/>
      </c>
      <c r="Z15" s="34" t="str">
        <f>IFERROR(INDEX(PRENOTAZIONI!$K:$K,SMALL(PRENOTAZIONI!$AG:$AG,12)),"")</f>
        <v/>
      </c>
      <c r="AA15" s="34"/>
      <c r="AB15" s="34"/>
      <c r="AC15" s="40" t="str">
        <f t="shared" si="6"/>
        <v/>
      </c>
      <c r="AD15" s="41" t="str">
        <f t="shared" si="7"/>
        <v/>
      </c>
      <c r="AF15" s="38"/>
      <c r="AG15" s="113" t="s">
        <v>192</v>
      </c>
      <c r="AH15" s="114">
        <f>SUMPRODUCT((MONTH(PRENOTAZIONI!$A$3:$A$262)=12)*(YEAR(PRENOTAZIONI!$A$3:$A$262)=2026)*(PRENOTAZIONI!$D$3:$D$262="Sotto la Quercia"))</f>
        <v>0</v>
      </c>
      <c r="AI15" s="114">
        <f>SUMPRODUCT((PRENOTAZIONI!$A$3:$A$262&lt;DATE(2027,1,1))*(PRENOTAZIONI!$B$3:$B$262&gt;DATE(2026,12,1))*(YEAR(PRENOTAZIONI!$A$3:$A$262)=2026)*(PRENOTAZIONI!$D$3:$D$262="Sotto la Querci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59" ht="26" customHeight="1" thickBot="1" x14ac:dyDescent="0.25">
      <c r="A16" s="31" t="str">
        <f>IFERROR(INDEX(PRENOTAZIONI!$A:$A,SMALL(PRENOTAZIONI!$S:$S,13)),"")</f>
        <v/>
      </c>
      <c r="B16" s="31" t="str">
        <f>IFERROR(INDEX(PRENOTAZIONI!$B:$B,SMALL(PRENOTAZIONI!$S:$S,13)),"")</f>
        <v/>
      </c>
      <c r="C16" s="32" t="str">
        <f t="shared" si="0"/>
        <v/>
      </c>
      <c r="D16" s="34" t="str">
        <f>IFERROR(INDEX(PRENOTAZIONI!$E:$E,SMALL(PRENOTAZIONI!$S:$S,13)),"")</f>
        <v/>
      </c>
      <c r="E16" s="34" t="str">
        <f>IFERROR(INDEX(PRENOTAZIONI!$F:$F,SMALL(PRENOTAZIONI!$S:$S,13)),"")</f>
        <v/>
      </c>
      <c r="F16" s="34" t="str">
        <f>IFERROR(INDEX(PRENOTAZIONI!$G:$G,SMALL(PRENOTAZIONI!$S:$S,13)),"")</f>
        <v/>
      </c>
      <c r="G16" s="35" t="str">
        <f>IFERROR(INDEX(PRENOTAZIONI!$H:$H,SMALL(PRENOTAZIONI!$S:$S,13)),"")</f>
        <v/>
      </c>
      <c r="H16" s="35" t="str">
        <f t="shared" si="1"/>
        <v/>
      </c>
      <c r="I16" s="35" t="str">
        <f t="shared" si="9"/>
        <v/>
      </c>
      <c r="J16" s="149" t="str">
        <f t="shared" si="8"/>
        <v/>
      </c>
      <c r="K16" s="34" t="str">
        <f>IFERROR(INDEX(PRENOTAZIONI!$K:$K,SMALL(PRENOTAZIONI!$S:$S,13)),"")</f>
        <v/>
      </c>
      <c r="L16" s="35" t="str">
        <f>IFERROR(INDEX(PRENOTAZIONI!$L:$L,SMALL(PRENOTAZIONI!$S:$S,13)),"")</f>
        <v/>
      </c>
      <c r="M16" s="150" t="str">
        <f t="shared" si="2"/>
        <v/>
      </c>
      <c r="N16" s="35" t="str">
        <f t="shared" si="3"/>
        <v/>
      </c>
      <c r="O16" s="35"/>
      <c r="P16" s="43"/>
      <c r="Q16" s="150" t="str">
        <f t="shared" si="4"/>
        <v/>
      </c>
      <c r="R16" s="89" t="str">
        <f>IFERROR(INDEX(PRENOTAZIONI!$R:$R,SMALL(PRENOTAZIONI!$S:$S,13)),"")</f>
        <v/>
      </c>
      <c r="S16" s="80"/>
      <c r="T16" s="31" t="str">
        <f>IFERROR(INDEX(PRENOTAZIONI!$A:$A,SMALL(PRENOTAZIONI!$AG:$AG,13)),"")</f>
        <v/>
      </c>
      <c r="U16" s="31" t="str">
        <f>IFERROR(INDEX(PRENOTAZIONI!$B:$B,SMALL(PRENOTAZIONI!$AG:$AG,13)),"")</f>
        <v/>
      </c>
      <c r="V16" s="32" t="str">
        <f t="shared" si="5"/>
        <v/>
      </c>
      <c r="W16" s="34" t="str">
        <f>IFERROR(INDEX(PRENOTAZIONI!$E:$E,SMALL(PRENOTAZIONI!$AG:$AG,13)),"")</f>
        <v/>
      </c>
      <c r="X16" s="34" t="str">
        <f>IFERROR(INDEX(PRENOTAZIONI!$F:$F,SMALL(PRENOTAZIONI!$AG:$AG,13)),"")</f>
        <v/>
      </c>
      <c r="Y16" s="35" t="str">
        <f>IFERROR(INDEX(PRENOTAZIONI!$H:$H,SMALL(PRENOTAZIONI!$AG:$AG,13)),"")</f>
        <v/>
      </c>
      <c r="Z16" s="34" t="str">
        <f>IFERROR(INDEX(PRENOTAZIONI!$K:$K,SMALL(PRENOTAZIONI!$AG:$AG,13)),"")</f>
        <v/>
      </c>
      <c r="AA16" s="34"/>
      <c r="AB16" s="34"/>
      <c r="AC16" s="40" t="str">
        <f t="shared" si="6"/>
        <v/>
      </c>
      <c r="AD16" s="41" t="str">
        <f t="shared" si="7"/>
        <v/>
      </c>
      <c r="AF16" s="38"/>
      <c r="AG16" s="115" t="s">
        <v>196</v>
      </c>
      <c r="AH16" s="225">
        <f t="shared" ref="AH16:AP16" si="10">SUM(AH4:AH15)</f>
        <v>12</v>
      </c>
      <c r="AI16" s="225">
        <f t="shared" si="10"/>
        <v>88</v>
      </c>
      <c r="AJ16" s="116">
        <f t="shared" si="10"/>
        <v>13253.49</v>
      </c>
      <c r="AK16" s="116">
        <f t="shared" si="10"/>
        <v>1088.9775</v>
      </c>
      <c r="AL16" s="116">
        <f t="shared" si="10"/>
        <v>42</v>
      </c>
      <c r="AM16" s="116">
        <f t="shared" si="10"/>
        <v>3313.3724999999999</v>
      </c>
      <c r="AN16" s="116">
        <f t="shared" si="10"/>
        <v>2783.2329</v>
      </c>
      <c r="AO16" s="117">
        <f t="shared" si="10"/>
        <v>239.57504999999998</v>
      </c>
      <c r="AP16" s="117">
        <f t="shared" si="10"/>
        <v>5758.3320500000009</v>
      </c>
    </row>
    <row r="17" spans="1:42" ht="22" customHeight="1" x14ac:dyDescent="0.2">
      <c r="A17" s="31" t="str">
        <f>IFERROR(INDEX(PRENOTAZIONI!$A:$A,SMALL(PRENOTAZIONI!$S:$S,14)),"")</f>
        <v/>
      </c>
      <c r="B17" s="31" t="str">
        <f>IFERROR(INDEX(PRENOTAZIONI!$B:$B,SMALL(PRENOTAZIONI!$S:$S,14)),"")</f>
        <v/>
      </c>
      <c r="C17" s="32" t="str">
        <f t="shared" si="0"/>
        <v/>
      </c>
      <c r="D17" s="34" t="str">
        <f>IFERROR(INDEX(PRENOTAZIONI!$E:$E,SMALL(PRENOTAZIONI!$S:$S,14)),"")</f>
        <v/>
      </c>
      <c r="E17" s="34" t="str">
        <f>IFERROR(INDEX(PRENOTAZIONI!$F:$F,SMALL(PRENOTAZIONI!$S:$S,14)),"")</f>
        <v/>
      </c>
      <c r="F17" s="34" t="str">
        <f>IFERROR(INDEX(PRENOTAZIONI!$G:$G,SMALL(PRENOTAZIONI!$S:$S,14)),"")</f>
        <v/>
      </c>
      <c r="G17" s="35" t="str">
        <f>IFERROR(INDEX(PRENOTAZIONI!$H:$H,SMALL(PRENOTAZIONI!$S:$S,14)),"")</f>
        <v/>
      </c>
      <c r="H17" s="35" t="str">
        <f t="shared" si="1"/>
        <v/>
      </c>
      <c r="I17" s="35" t="str">
        <f t="shared" si="9"/>
        <v/>
      </c>
      <c r="J17" s="149" t="str">
        <f t="shared" si="8"/>
        <v/>
      </c>
      <c r="K17" s="34" t="str">
        <f>IFERROR(INDEX(PRENOTAZIONI!$K:$K,SMALL(PRENOTAZIONI!$S:$S,14)),"")</f>
        <v/>
      </c>
      <c r="L17" s="35" t="str">
        <f>IFERROR(INDEX(PRENOTAZIONI!$L:$L,SMALL(PRENOTAZIONI!$S:$S,14)),"")</f>
        <v/>
      </c>
      <c r="M17" s="150" t="str">
        <f t="shared" si="2"/>
        <v/>
      </c>
      <c r="N17" s="35" t="str">
        <f t="shared" si="3"/>
        <v/>
      </c>
      <c r="O17" s="35"/>
      <c r="P17" s="43"/>
      <c r="Q17" s="150" t="str">
        <f t="shared" si="4"/>
        <v/>
      </c>
      <c r="R17" s="89" t="str">
        <f>IFERROR(INDEX(PRENOTAZIONI!$R:$R,SMALL(PRENOTAZIONI!$S:$S,14)),"")</f>
        <v/>
      </c>
      <c r="S17" s="80"/>
      <c r="T17" s="31" t="str">
        <f>IFERROR(INDEX(PRENOTAZIONI!$A:$A,SMALL(PRENOTAZIONI!$AG:$AG,14)),"")</f>
        <v/>
      </c>
      <c r="U17" s="31" t="str">
        <f>IFERROR(INDEX(PRENOTAZIONI!$B:$B,SMALL(PRENOTAZIONI!$AG:$AG,14)),"")</f>
        <v/>
      </c>
      <c r="V17" s="32" t="str">
        <f t="shared" si="5"/>
        <v/>
      </c>
      <c r="W17" s="34" t="str">
        <f>IFERROR(INDEX(PRENOTAZIONI!$E:$E,SMALL(PRENOTAZIONI!$AG:$AG,14)),"")</f>
        <v/>
      </c>
      <c r="X17" s="34" t="str">
        <f>IFERROR(INDEX(PRENOTAZIONI!$F:$F,SMALL(PRENOTAZIONI!$AG:$AG,14)),"")</f>
        <v/>
      </c>
      <c r="Y17" s="35" t="str">
        <f>IFERROR(INDEX(PRENOTAZIONI!$H:$H,SMALL(PRENOTAZIONI!$AG:$AG,14)),"")</f>
        <v/>
      </c>
      <c r="Z17" s="34" t="str">
        <f>IFERROR(INDEX(PRENOTAZIONI!$K:$K,SMALL(PRENOTAZIONI!$AG:$AG,14)),"")</f>
        <v/>
      </c>
      <c r="AA17" s="34"/>
      <c r="AB17" s="34"/>
      <c r="AC17" s="40" t="str">
        <f t="shared" si="6"/>
        <v/>
      </c>
      <c r="AD17" s="41" t="str">
        <f t="shared" si="7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IFERROR(INDEX(PRENOTAZIONI!$A:$A,SMALL(PRENOTAZIONI!$S:$S,15)),"")</f>
        <v/>
      </c>
      <c r="B18" s="31" t="str">
        <f>IFERROR(INDEX(PRENOTAZIONI!$B:$B,SMALL(PRENOTAZIONI!$S:$S,15)),"")</f>
        <v/>
      </c>
      <c r="C18" s="32" t="str">
        <f t="shared" si="0"/>
        <v/>
      </c>
      <c r="D18" s="34" t="str">
        <f>IFERROR(INDEX(PRENOTAZIONI!$E:$E,SMALL(PRENOTAZIONI!$S:$S,15)),"")</f>
        <v/>
      </c>
      <c r="E18" s="34" t="str">
        <f>IFERROR(INDEX(PRENOTAZIONI!$F:$F,SMALL(PRENOTAZIONI!$S:$S,15)),"")</f>
        <v/>
      </c>
      <c r="F18" s="34" t="str">
        <f>IFERROR(INDEX(PRENOTAZIONI!$G:$G,SMALL(PRENOTAZIONI!$S:$S,15)),"")</f>
        <v/>
      </c>
      <c r="G18" s="35" t="str">
        <f>IFERROR(INDEX(PRENOTAZIONI!$H:$H,SMALL(PRENOTAZIONI!$S:$S,15)),"")</f>
        <v/>
      </c>
      <c r="H18" s="35" t="str">
        <f t="shared" si="1"/>
        <v/>
      </c>
      <c r="I18" s="35" t="str">
        <f t="shared" si="9"/>
        <v/>
      </c>
      <c r="J18" s="149" t="str">
        <f t="shared" si="8"/>
        <v/>
      </c>
      <c r="K18" s="34" t="str">
        <f>IFERROR(INDEX(PRENOTAZIONI!$K:$K,SMALL(PRENOTAZIONI!$S:$S,15)),"")</f>
        <v/>
      </c>
      <c r="L18" s="35" t="str">
        <f>IFERROR(INDEX(PRENOTAZIONI!$L:$L,SMALL(PRENOTAZIONI!$S:$S,15)),"")</f>
        <v/>
      </c>
      <c r="M18" s="150" t="str">
        <f t="shared" si="2"/>
        <v/>
      </c>
      <c r="N18" s="35" t="str">
        <f t="shared" si="3"/>
        <v/>
      </c>
      <c r="O18" s="35"/>
      <c r="P18" s="43"/>
      <c r="Q18" s="150" t="str">
        <f t="shared" si="4"/>
        <v/>
      </c>
      <c r="R18" s="89" t="str">
        <f>IFERROR(INDEX(PRENOTAZIONI!$R:$R,SMALL(PRENOTAZIONI!$S:$S,15)),"")</f>
        <v/>
      </c>
      <c r="S18" s="80"/>
      <c r="T18" s="31" t="str">
        <f>IFERROR(INDEX(PRENOTAZIONI!$A:$A,SMALL(PRENOTAZIONI!$AG:$AG,15)),"")</f>
        <v/>
      </c>
      <c r="U18" s="31" t="str">
        <f>IFERROR(INDEX(PRENOTAZIONI!$B:$B,SMALL(PRENOTAZIONI!$AG:$AG,15)),"")</f>
        <v/>
      </c>
      <c r="V18" s="32" t="str">
        <f t="shared" si="5"/>
        <v/>
      </c>
      <c r="W18" s="34" t="str">
        <f>IFERROR(INDEX(PRENOTAZIONI!$E:$E,SMALL(PRENOTAZIONI!$AG:$AG,15)),"")</f>
        <v/>
      </c>
      <c r="X18" s="34" t="str">
        <f>IFERROR(INDEX(PRENOTAZIONI!$F:$F,SMALL(PRENOTAZIONI!$AG:$AG,15)),"")</f>
        <v/>
      </c>
      <c r="Y18" s="35" t="str">
        <f>IFERROR(INDEX(PRENOTAZIONI!$H:$H,SMALL(PRENOTAZIONI!$AG:$AG,15)),"")</f>
        <v/>
      </c>
      <c r="Z18" s="34" t="str">
        <f>IFERROR(INDEX(PRENOTAZIONI!$K:$K,SMALL(PRENOTAZIONI!$AG:$AG,15)),"")</f>
        <v/>
      </c>
      <c r="AA18" s="34"/>
      <c r="AB18" s="34"/>
      <c r="AC18" s="40" t="str">
        <f t="shared" si="6"/>
        <v/>
      </c>
      <c r="AD18" s="41" t="str">
        <f t="shared" si="7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IFERROR(INDEX(PRENOTAZIONI!$A:$A,SMALL(PRENOTAZIONI!$S:$S,16)),"")</f>
        <v/>
      </c>
      <c r="B19" s="31" t="str">
        <f>IFERROR(INDEX(PRENOTAZIONI!$B:$B,SMALL(PRENOTAZIONI!$S:$S,16)),"")</f>
        <v/>
      </c>
      <c r="C19" s="32" t="str">
        <f t="shared" si="0"/>
        <v/>
      </c>
      <c r="D19" s="34" t="str">
        <f>IFERROR(INDEX(PRENOTAZIONI!$E:$E,SMALL(PRENOTAZIONI!$S:$S,16)),"")</f>
        <v/>
      </c>
      <c r="E19" s="34" t="str">
        <f>IFERROR(INDEX(PRENOTAZIONI!$F:$F,SMALL(PRENOTAZIONI!$S:$S,16)),"")</f>
        <v/>
      </c>
      <c r="F19" s="34" t="str">
        <f>IFERROR(INDEX(PRENOTAZIONI!$G:$G,SMALL(PRENOTAZIONI!$S:$S,16)),"")</f>
        <v/>
      </c>
      <c r="G19" s="35" t="str">
        <f>IFERROR(INDEX(PRENOTAZIONI!$H:$H,SMALL(PRENOTAZIONI!$S:$S,16)),"")</f>
        <v/>
      </c>
      <c r="H19" s="35" t="str">
        <f t="shared" si="1"/>
        <v/>
      </c>
      <c r="I19" s="35" t="str">
        <f t="shared" si="9"/>
        <v/>
      </c>
      <c r="J19" s="149" t="str">
        <f t="shared" si="8"/>
        <v/>
      </c>
      <c r="K19" s="34" t="str">
        <f>IFERROR(INDEX(PRENOTAZIONI!$K:$K,SMALL(PRENOTAZIONI!$S:$S,16)),"")</f>
        <v/>
      </c>
      <c r="L19" s="35" t="str">
        <f>IFERROR(INDEX(PRENOTAZIONI!$L:$L,SMALL(PRENOTAZIONI!$S:$S,16)),"")</f>
        <v/>
      </c>
      <c r="M19" s="150" t="str">
        <f t="shared" si="2"/>
        <v/>
      </c>
      <c r="N19" s="35" t="str">
        <f t="shared" si="3"/>
        <v/>
      </c>
      <c r="O19" s="35"/>
      <c r="P19" s="43"/>
      <c r="Q19" s="150" t="str">
        <f t="shared" si="4"/>
        <v/>
      </c>
      <c r="R19" s="89" t="str">
        <f>IFERROR(INDEX(PRENOTAZIONI!$R:$R,SMALL(PRENOTAZIONI!$S:$S,16)),"")</f>
        <v/>
      </c>
      <c r="S19" s="80"/>
      <c r="T19" s="31" t="str">
        <f>IFERROR(INDEX(PRENOTAZIONI!$A:$A,SMALL(PRENOTAZIONI!$AG:$AG,16)),"")</f>
        <v/>
      </c>
      <c r="U19" s="31" t="str">
        <f>IFERROR(INDEX(PRENOTAZIONI!$B:$B,SMALL(PRENOTAZIONI!$AG:$AG,16)),"")</f>
        <v/>
      </c>
      <c r="V19" s="32" t="str">
        <f t="shared" si="5"/>
        <v/>
      </c>
      <c r="W19" s="34" t="str">
        <f>IFERROR(INDEX(PRENOTAZIONI!$E:$E,SMALL(PRENOTAZIONI!$AG:$AG,16)),"")</f>
        <v/>
      </c>
      <c r="X19" s="34" t="str">
        <f>IFERROR(INDEX(PRENOTAZIONI!$F:$F,SMALL(PRENOTAZIONI!$AG:$AG,16)),"")</f>
        <v/>
      </c>
      <c r="Y19" s="35" t="str">
        <f>IFERROR(INDEX(PRENOTAZIONI!$H:$H,SMALL(PRENOTAZIONI!$AG:$AG,16)),"")</f>
        <v/>
      </c>
      <c r="Z19" s="34" t="str">
        <f>IFERROR(INDEX(PRENOTAZIONI!$K:$K,SMALL(PRENOTAZIONI!$AG:$AG,16)),"")</f>
        <v/>
      </c>
      <c r="AA19" s="34"/>
      <c r="AB19" s="34"/>
      <c r="AC19" s="40" t="str">
        <f t="shared" si="6"/>
        <v/>
      </c>
      <c r="AD19" s="41" t="str">
        <f t="shared" si="7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IFERROR(INDEX(PRENOTAZIONI!$A:$A,SMALL(PRENOTAZIONI!$S:$S,17)),"")</f>
        <v/>
      </c>
      <c r="B20" s="31" t="str">
        <f>IFERROR(INDEX(PRENOTAZIONI!$B:$B,SMALL(PRENOTAZIONI!$S:$S,17)),"")</f>
        <v/>
      </c>
      <c r="C20" s="32" t="str">
        <f t="shared" si="0"/>
        <v/>
      </c>
      <c r="D20" s="34" t="str">
        <f>IFERROR(INDEX(PRENOTAZIONI!$E:$E,SMALL(PRENOTAZIONI!$S:$S,17)),"")</f>
        <v/>
      </c>
      <c r="E20" s="34" t="str">
        <f>IFERROR(INDEX(PRENOTAZIONI!$F:$F,SMALL(PRENOTAZIONI!$S:$S,17)),"")</f>
        <v/>
      </c>
      <c r="F20" s="34" t="str">
        <f>IFERROR(INDEX(PRENOTAZIONI!$G:$G,SMALL(PRENOTAZIONI!$S:$S,17)),"")</f>
        <v/>
      </c>
      <c r="G20" s="35" t="str">
        <f>IFERROR(INDEX(PRENOTAZIONI!$H:$H,SMALL(PRENOTAZIONI!$S:$S,17)),"")</f>
        <v/>
      </c>
      <c r="H20" s="35" t="str">
        <f t="shared" si="1"/>
        <v/>
      </c>
      <c r="I20" s="35" t="str">
        <f t="shared" si="9"/>
        <v/>
      </c>
      <c r="J20" s="149" t="str">
        <f t="shared" si="8"/>
        <v/>
      </c>
      <c r="K20" s="34" t="str">
        <f>IFERROR(INDEX(PRENOTAZIONI!$K:$K,SMALL(PRENOTAZIONI!$S:$S,17)),"")</f>
        <v/>
      </c>
      <c r="L20" s="35" t="str">
        <f>IFERROR(INDEX(PRENOTAZIONI!$L:$L,SMALL(PRENOTAZIONI!$S:$S,17)),"")</f>
        <v/>
      </c>
      <c r="M20" s="150" t="str">
        <f t="shared" si="2"/>
        <v/>
      </c>
      <c r="N20" s="35" t="str">
        <f t="shared" si="3"/>
        <v/>
      </c>
      <c r="O20" s="35"/>
      <c r="P20" s="43"/>
      <c r="Q20" s="150" t="str">
        <f t="shared" si="4"/>
        <v/>
      </c>
      <c r="R20" s="89" t="str">
        <f>IFERROR(INDEX(PRENOTAZIONI!$R:$R,SMALL(PRENOTAZIONI!$S:$S,17)),"")</f>
        <v/>
      </c>
      <c r="S20" s="80"/>
      <c r="T20" s="31" t="str">
        <f>IFERROR(INDEX(PRENOTAZIONI!$A:$A,SMALL(PRENOTAZIONI!$AG:$AG,17)),"")</f>
        <v/>
      </c>
      <c r="U20" s="31" t="str">
        <f>IFERROR(INDEX(PRENOTAZIONI!$B:$B,SMALL(PRENOTAZIONI!$AG:$AG,17)),"")</f>
        <v/>
      </c>
      <c r="V20" s="32" t="str">
        <f t="shared" si="5"/>
        <v/>
      </c>
      <c r="W20" s="34" t="str">
        <f>IFERROR(INDEX(PRENOTAZIONI!$E:$E,SMALL(PRENOTAZIONI!$AG:$AG,17)),"")</f>
        <v/>
      </c>
      <c r="X20" s="34" t="str">
        <f>IFERROR(INDEX(PRENOTAZIONI!$F:$F,SMALL(PRENOTAZIONI!$AG:$AG,17)),"")</f>
        <v/>
      </c>
      <c r="Y20" s="35" t="str">
        <f>IFERROR(INDEX(PRENOTAZIONI!$H:$H,SMALL(PRENOTAZIONI!$AG:$AG,17)),"")</f>
        <v/>
      </c>
      <c r="Z20" s="34" t="str">
        <f>IFERROR(INDEX(PRENOTAZIONI!$K:$K,SMALL(PRENOTAZIONI!$AG:$AG,17)),"")</f>
        <v/>
      </c>
      <c r="AA20" s="34"/>
      <c r="AB20" s="34"/>
      <c r="AC20" s="40" t="str">
        <f t="shared" si="6"/>
        <v/>
      </c>
      <c r="AD20" s="41" t="str">
        <f t="shared" si="7"/>
        <v/>
      </c>
    </row>
    <row r="21" spans="1:42" ht="22" customHeight="1" x14ac:dyDescent="0.2">
      <c r="A21" s="31" t="str">
        <f>IFERROR(INDEX(PRENOTAZIONI!$A:$A,SMALL(PRENOTAZIONI!$S:$S,18)),"")</f>
        <v/>
      </c>
      <c r="B21" s="31" t="str">
        <f>IFERROR(INDEX(PRENOTAZIONI!$B:$B,SMALL(PRENOTAZIONI!$S:$S,18)),"")</f>
        <v/>
      </c>
      <c r="C21" s="32" t="str">
        <f t="shared" si="0"/>
        <v/>
      </c>
      <c r="D21" s="34" t="str">
        <f>IFERROR(INDEX(PRENOTAZIONI!$E:$E,SMALL(PRENOTAZIONI!$S:$S,18)),"")</f>
        <v/>
      </c>
      <c r="E21" s="34" t="str">
        <f>IFERROR(INDEX(PRENOTAZIONI!$F:$F,SMALL(PRENOTAZIONI!$S:$S,18)),"")</f>
        <v/>
      </c>
      <c r="F21" s="34" t="str">
        <f>IFERROR(INDEX(PRENOTAZIONI!$G:$G,SMALL(PRENOTAZIONI!$S:$S,18)),"")</f>
        <v/>
      </c>
      <c r="G21" s="35" t="str">
        <f>IFERROR(INDEX(PRENOTAZIONI!$H:$H,SMALL(PRENOTAZIONI!$S:$S,18)),"")</f>
        <v/>
      </c>
      <c r="H21" s="35" t="str">
        <f t="shared" si="1"/>
        <v/>
      </c>
      <c r="I21" s="35" t="str">
        <f t="shared" si="9"/>
        <v/>
      </c>
      <c r="J21" s="149" t="str">
        <f t="shared" si="8"/>
        <v/>
      </c>
      <c r="K21" s="34" t="str">
        <f>IFERROR(INDEX(PRENOTAZIONI!$K:$K,SMALL(PRENOTAZIONI!$S:$S,18)),"")</f>
        <v/>
      </c>
      <c r="L21" s="35" t="str">
        <f>IFERROR(INDEX(PRENOTAZIONI!$L:$L,SMALL(PRENOTAZIONI!$S:$S,18)),"")</f>
        <v/>
      </c>
      <c r="M21" s="150" t="str">
        <f t="shared" si="2"/>
        <v/>
      </c>
      <c r="N21" s="35" t="str">
        <f t="shared" si="3"/>
        <v/>
      </c>
      <c r="O21" s="35"/>
      <c r="P21" s="43"/>
      <c r="Q21" s="150" t="str">
        <f t="shared" si="4"/>
        <v/>
      </c>
      <c r="R21" s="89" t="str">
        <f>IFERROR(INDEX(PRENOTAZIONI!$R:$R,SMALL(PRENOTAZIONI!$S:$S,18)),"")</f>
        <v/>
      </c>
      <c r="S21" s="80"/>
      <c r="T21" s="31" t="str">
        <f>IFERROR(INDEX(PRENOTAZIONI!$A:$A,SMALL(PRENOTAZIONI!$AG:$AG,18)),"")</f>
        <v/>
      </c>
      <c r="U21" s="31" t="str">
        <f>IFERROR(INDEX(PRENOTAZIONI!$B:$B,SMALL(PRENOTAZIONI!$AG:$AG,18)),"")</f>
        <v/>
      </c>
      <c r="V21" s="32" t="str">
        <f t="shared" si="5"/>
        <v/>
      </c>
      <c r="W21" s="34" t="str">
        <f>IFERROR(INDEX(PRENOTAZIONI!$E:$E,SMALL(PRENOTAZIONI!$AG:$AG,18)),"")</f>
        <v/>
      </c>
      <c r="X21" s="34" t="str">
        <f>IFERROR(INDEX(PRENOTAZIONI!$F:$F,SMALL(PRENOTAZIONI!$AG:$AG,18)),"")</f>
        <v/>
      </c>
      <c r="Y21" s="35" t="str">
        <f>IFERROR(INDEX(PRENOTAZIONI!$H:$H,SMALL(PRENOTAZIONI!$AG:$AG,18)),"")</f>
        <v/>
      </c>
      <c r="Z21" s="34" t="str">
        <f>IFERROR(INDEX(PRENOTAZIONI!$K:$K,SMALL(PRENOTAZIONI!$AG:$AG,18)),"")</f>
        <v/>
      </c>
      <c r="AA21" s="34"/>
      <c r="AB21" s="34"/>
      <c r="AC21" s="40" t="str">
        <f t="shared" si="6"/>
        <v/>
      </c>
      <c r="AD21" s="41" t="str">
        <f t="shared" si="7"/>
        <v/>
      </c>
    </row>
    <row r="22" spans="1:42" ht="22" customHeight="1" x14ac:dyDescent="0.2">
      <c r="A22" s="31" t="str">
        <f>IFERROR(INDEX(PRENOTAZIONI!$A:$A,SMALL(PRENOTAZIONI!$S:$S,19)),"")</f>
        <v/>
      </c>
      <c r="B22" s="31" t="str">
        <f>IFERROR(INDEX(PRENOTAZIONI!$B:$B,SMALL(PRENOTAZIONI!$S:$S,19)),"")</f>
        <v/>
      </c>
      <c r="C22" s="32" t="str">
        <f t="shared" si="0"/>
        <v/>
      </c>
      <c r="D22" s="34" t="str">
        <f>IFERROR(INDEX(PRENOTAZIONI!$E:$E,SMALL(PRENOTAZIONI!$S:$S,19)),"")</f>
        <v/>
      </c>
      <c r="E22" s="34" t="str">
        <f>IFERROR(INDEX(PRENOTAZIONI!$F:$F,SMALL(PRENOTAZIONI!$S:$S,19)),"")</f>
        <v/>
      </c>
      <c r="F22" s="34" t="str">
        <f>IFERROR(INDEX(PRENOTAZIONI!$G:$G,SMALL(PRENOTAZIONI!$S:$S,19)),"")</f>
        <v/>
      </c>
      <c r="G22" s="35" t="str">
        <f>IFERROR(INDEX(PRENOTAZIONI!$H:$H,SMALL(PRENOTAZIONI!$S:$S,19)),"")</f>
        <v/>
      </c>
      <c r="H22" s="35" t="str">
        <f t="shared" si="1"/>
        <v/>
      </c>
      <c r="I22" s="35" t="str">
        <f t="shared" si="9"/>
        <v/>
      </c>
      <c r="J22" s="149" t="str">
        <f t="shared" si="8"/>
        <v/>
      </c>
      <c r="K22" s="34" t="str">
        <f>IFERROR(INDEX(PRENOTAZIONI!$K:$K,SMALL(PRENOTAZIONI!$S:$S,19)),"")</f>
        <v/>
      </c>
      <c r="L22" s="35" t="str">
        <f>IFERROR(INDEX(PRENOTAZIONI!$L:$L,SMALL(PRENOTAZIONI!$S:$S,19)),"")</f>
        <v/>
      </c>
      <c r="M22" s="150" t="str">
        <f t="shared" si="2"/>
        <v/>
      </c>
      <c r="N22" s="35" t="str">
        <f t="shared" si="3"/>
        <v/>
      </c>
      <c r="O22" s="35"/>
      <c r="P22" s="43"/>
      <c r="Q22" s="150" t="str">
        <f t="shared" si="4"/>
        <v/>
      </c>
      <c r="R22" s="89" t="str">
        <f>IFERROR(INDEX(PRENOTAZIONI!$R:$R,SMALL(PRENOTAZIONI!$S:$S,19)),"")</f>
        <v/>
      </c>
      <c r="S22" s="80"/>
      <c r="T22" s="31" t="str">
        <f>IFERROR(INDEX(PRENOTAZIONI!$A:$A,SMALL(PRENOTAZIONI!$AG:$AG,19)),"")</f>
        <v/>
      </c>
      <c r="U22" s="31" t="str">
        <f>IFERROR(INDEX(PRENOTAZIONI!$B:$B,SMALL(PRENOTAZIONI!$AG:$AG,19)),"")</f>
        <v/>
      </c>
      <c r="V22" s="32" t="str">
        <f t="shared" si="5"/>
        <v/>
      </c>
      <c r="W22" s="34" t="str">
        <f>IFERROR(INDEX(PRENOTAZIONI!$E:$E,SMALL(PRENOTAZIONI!$AG:$AG,19)),"")</f>
        <v/>
      </c>
      <c r="X22" s="34" t="str">
        <f>IFERROR(INDEX(PRENOTAZIONI!$F:$F,SMALL(PRENOTAZIONI!$AG:$AG,19)),"")</f>
        <v/>
      </c>
      <c r="Y22" s="35" t="str">
        <f>IFERROR(INDEX(PRENOTAZIONI!$H:$H,SMALL(PRENOTAZIONI!$AG:$AG,19)),"")</f>
        <v/>
      </c>
      <c r="Z22" s="34" t="str">
        <f>IFERROR(INDEX(PRENOTAZIONI!$K:$K,SMALL(PRENOTAZIONI!$AG:$AG,19)),"")</f>
        <v/>
      </c>
      <c r="AA22" s="34"/>
      <c r="AB22" s="34"/>
      <c r="AC22" s="40" t="str">
        <f t="shared" si="6"/>
        <v/>
      </c>
      <c r="AD22" s="41" t="str">
        <f t="shared" si="7"/>
        <v/>
      </c>
    </row>
    <row r="23" spans="1:42" ht="22" customHeight="1" x14ac:dyDescent="0.2">
      <c r="A23" s="31" t="str">
        <f>IFERROR(INDEX(PRENOTAZIONI!$A:$A,SMALL(PRENOTAZIONI!$S:$S,20)),"")</f>
        <v/>
      </c>
      <c r="B23" s="31" t="str">
        <f>IFERROR(INDEX(PRENOTAZIONI!$B:$B,SMALL(PRENOTAZIONI!$S:$S,20)),"")</f>
        <v/>
      </c>
      <c r="C23" s="32" t="str">
        <f t="shared" si="0"/>
        <v/>
      </c>
      <c r="D23" s="34" t="str">
        <f>IFERROR(INDEX(PRENOTAZIONI!$E:$E,SMALL(PRENOTAZIONI!$S:$S,20)),"")</f>
        <v/>
      </c>
      <c r="E23" s="34" t="str">
        <f>IFERROR(INDEX(PRENOTAZIONI!$F:$F,SMALL(PRENOTAZIONI!$S:$S,20)),"")</f>
        <v/>
      </c>
      <c r="F23" s="34" t="str">
        <f>IFERROR(INDEX(PRENOTAZIONI!$G:$G,SMALL(PRENOTAZIONI!$S:$S,20)),"")</f>
        <v/>
      </c>
      <c r="G23" s="35" t="str">
        <f>IFERROR(INDEX(PRENOTAZIONI!$H:$H,SMALL(PRENOTAZIONI!$S:$S,20)),"")</f>
        <v/>
      </c>
      <c r="H23" s="35" t="str">
        <f t="shared" si="1"/>
        <v/>
      </c>
      <c r="I23" s="35" t="str">
        <f t="shared" si="9"/>
        <v/>
      </c>
      <c r="J23" s="149" t="str">
        <f t="shared" si="8"/>
        <v/>
      </c>
      <c r="K23" s="34" t="str">
        <f>IFERROR(INDEX(PRENOTAZIONI!$K:$K,SMALL(PRENOTAZIONI!$S:$S,20)),"")</f>
        <v/>
      </c>
      <c r="L23" s="35" t="str">
        <f>IFERROR(INDEX(PRENOTAZIONI!$L:$L,SMALL(PRENOTAZIONI!$S:$S,20)),"")</f>
        <v/>
      </c>
      <c r="M23" s="150" t="str">
        <f t="shared" si="2"/>
        <v/>
      </c>
      <c r="N23" s="35" t="str">
        <f t="shared" si="3"/>
        <v/>
      </c>
      <c r="O23" s="35"/>
      <c r="P23" s="43"/>
      <c r="Q23" s="150" t="str">
        <f t="shared" si="4"/>
        <v/>
      </c>
      <c r="R23" s="89" t="str">
        <f>IFERROR(INDEX(PRENOTAZIONI!$R:$R,SMALL(PRENOTAZIONI!$S:$S,20)),"")</f>
        <v/>
      </c>
      <c r="S23" s="80"/>
      <c r="T23" s="31" t="str">
        <f>IFERROR(INDEX(PRENOTAZIONI!$A:$A,SMALL(PRENOTAZIONI!$AG:$AG,20)),"")</f>
        <v/>
      </c>
      <c r="U23" s="31" t="str">
        <f>IFERROR(INDEX(PRENOTAZIONI!$B:$B,SMALL(PRENOTAZIONI!$AG:$AG,20)),"")</f>
        <v/>
      </c>
      <c r="V23" s="32" t="str">
        <f t="shared" si="5"/>
        <v/>
      </c>
      <c r="W23" s="34" t="str">
        <f>IFERROR(INDEX(PRENOTAZIONI!$E:$E,SMALL(PRENOTAZIONI!$AG:$AG,20)),"")</f>
        <v/>
      </c>
      <c r="X23" s="34" t="str">
        <f>IFERROR(INDEX(PRENOTAZIONI!$F:$F,SMALL(PRENOTAZIONI!$AG:$AG,20)),"")</f>
        <v/>
      </c>
      <c r="Y23" s="35" t="str">
        <f>IFERROR(INDEX(PRENOTAZIONI!$H:$H,SMALL(PRENOTAZIONI!$AG:$AG,20)),"")</f>
        <v/>
      </c>
      <c r="Z23" s="34" t="str">
        <f>IFERROR(INDEX(PRENOTAZIONI!$K:$K,SMALL(PRENOTAZIONI!$AG:$AG,20)),"")</f>
        <v/>
      </c>
      <c r="AA23" s="34"/>
      <c r="AB23" s="34"/>
      <c r="AC23" s="40" t="str">
        <f t="shared" si="6"/>
        <v/>
      </c>
      <c r="AD23" s="41" t="str">
        <f t="shared" si="7"/>
        <v/>
      </c>
    </row>
    <row r="24" spans="1:42" ht="22" customHeight="1" x14ac:dyDescent="0.2">
      <c r="A24" s="31" t="str">
        <f>IFERROR(INDEX(PRENOTAZIONI!$A:$A,SMALL(PRENOTAZIONI!$S:$S,21)),"")</f>
        <v/>
      </c>
      <c r="B24" s="31" t="str">
        <f>IFERROR(INDEX(PRENOTAZIONI!$B:$B,SMALL(PRENOTAZIONI!$S:$S,21)),"")</f>
        <v/>
      </c>
      <c r="C24" s="32" t="str">
        <f t="shared" si="0"/>
        <v/>
      </c>
      <c r="D24" s="34" t="str">
        <f>IFERROR(INDEX(PRENOTAZIONI!$E:$E,SMALL(PRENOTAZIONI!$S:$S,21)),"")</f>
        <v/>
      </c>
      <c r="E24" s="34" t="str">
        <f>IFERROR(INDEX(PRENOTAZIONI!$F:$F,SMALL(PRENOTAZIONI!$S:$S,21)),"")</f>
        <v/>
      </c>
      <c r="F24" s="34" t="str">
        <f>IFERROR(INDEX(PRENOTAZIONI!$G:$G,SMALL(PRENOTAZIONI!$S:$S,21)),"")</f>
        <v/>
      </c>
      <c r="G24" s="35" t="str">
        <f>IFERROR(INDEX(PRENOTAZIONI!$H:$H,SMALL(PRENOTAZIONI!$S:$S,21)),"")</f>
        <v/>
      </c>
      <c r="H24" s="35" t="str">
        <f t="shared" si="1"/>
        <v/>
      </c>
      <c r="I24" s="35" t="str">
        <f t="shared" si="9"/>
        <v/>
      </c>
      <c r="J24" s="149" t="str">
        <f t="shared" si="8"/>
        <v/>
      </c>
      <c r="K24" s="34" t="str">
        <f>IFERROR(INDEX(PRENOTAZIONI!$K:$K,SMALL(PRENOTAZIONI!$S:$S,21)),"")</f>
        <v/>
      </c>
      <c r="L24" s="35" t="str">
        <f>IFERROR(INDEX(PRENOTAZIONI!$L:$L,SMALL(PRENOTAZIONI!$S:$S,21)),"")</f>
        <v/>
      </c>
      <c r="M24" s="150" t="str">
        <f t="shared" si="2"/>
        <v/>
      </c>
      <c r="N24" s="35" t="str">
        <f t="shared" si="3"/>
        <v/>
      </c>
      <c r="O24" s="35"/>
      <c r="P24" s="43"/>
      <c r="Q24" s="150" t="str">
        <f t="shared" si="4"/>
        <v/>
      </c>
      <c r="R24" s="89" t="str">
        <f>IFERROR(INDEX(PRENOTAZIONI!$R:$R,SMALL(PRENOTAZIONI!$S:$S,21)),"")</f>
        <v/>
      </c>
      <c r="S24" s="80"/>
      <c r="T24" s="31" t="str">
        <f>IFERROR(INDEX(PRENOTAZIONI!$A:$A,SMALL(PRENOTAZIONI!$AG:$AG,21)),"")</f>
        <v/>
      </c>
      <c r="U24" s="31" t="str">
        <f>IFERROR(INDEX(PRENOTAZIONI!$B:$B,SMALL(PRENOTAZIONI!$AG:$AG,21)),"")</f>
        <v/>
      </c>
      <c r="V24" s="32" t="str">
        <f t="shared" si="5"/>
        <v/>
      </c>
      <c r="W24" s="34" t="str">
        <f>IFERROR(INDEX(PRENOTAZIONI!$E:$E,SMALL(PRENOTAZIONI!$AG:$AG,21)),"")</f>
        <v/>
      </c>
      <c r="X24" s="34" t="str">
        <f>IFERROR(INDEX(PRENOTAZIONI!$F:$F,SMALL(PRENOTAZIONI!$AG:$AG,21)),"")</f>
        <v/>
      </c>
      <c r="Y24" s="35" t="str">
        <f>IFERROR(INDEX(PRENOTAZIONI!$H:$H,SMALL(PRENOTAZIONI!$AG:$AG,21)),"")</f>
        <v/>
      </c>
      <c r="Z24" s="34" t="str">
        <f>IFERROR(INDEX(PRENOTAZIONI!$K:$K,SMALL(PRENOTAZIONI!$AG:$AG,21)),"")</f>
        <v/>
      </c>
      <c r="AA24" s="34"/>
      <c r="AB24" s="34"/>
      <c r="AC24" s="40" t="str">
        <f t="shared" si="6"/>
        <v/>
      </c>
      <c r="AD24" s="41" t="str">
        <f t="shared" si="7"/>
        <v/>
      </c>
    </row>
    <row r="25" spans="1:42" ht="22" customHeight="1" x14ac:dyDescent="0.2">
      <c r="A25" s="31" t="str">
        <f>IFERROR(INDEX(PRENOTAZIONI!$A:$A,SMALL(PRENOTAZIONI!$S:$S,22)),"")</f>
        <v/>
      </c>
      <c r="B25" s="31" t="str">
        <f>IFERROR(INDEX(PRENOTAZIONI!$B:$B,SMALL(PRENOTAZIONI!$S:$S,22)),"")</f>
        <v/>
      </c>
      <c r="C25" s="32" t="str">
        <f t="shared" si="0"/>
        <v/>
      </c>
      <c r="D25" s="34" t="str">
        <f>IFERROR(INDEX(PRENOTAZIONI!$E:$E,SMALL(PRENOTAZIONI!$S:$S,22)),"")</f>
        <v/>
      </c>
      <c r="E25" s="34" t="str">
        <f>IFERROR(INDEX(PRENOTAZIONI!$F:$F,SMALL(PRENOTAZIONI!$S:$S,22)),"")</f>
        <v/>
      </c>
      <c r="F25" s="34" t="str">
        <f>IFERROR(INDEX(PRENOTAZIONI!$G:$G,SMALL(PRENOTAZIONI!$S:$S,22)),"")</f>
        <v/>
      </c>
      <c r="G25" s="35" t="str">
        <f>IFERROR(INDEX(PRENOTAZIONI!$H:$H,SMALL(PRENOTAZIONI!$S:$S,22)),"")</f>
        <v/>
      </c>
      <c r="H25" s="35" t="str">
        <f t="shared" si="1"/>
        <v/>
      </c>
      <c r="I25" s="35" t="str">
        <f t="shared" si="9"/>
        <v/>
      </c>
      <c r="J25" s="149" t="str">
        <f t="shared" si="8"/>
        <v/>
      </c>
      <c r="K25" s="34" t="str">
        <f>IFERROR(INDEX(PRENOTAZIONI!$K:$K,SMALL(PRENOTAZIONI!$S:$S,22)),"")</f>
        <v/>
      </c>
      <c r="L25" s="35" t="str">
        <f>IFERROR(INDEX(PRENOTAZIONI!$L:$L,SMALL(PRENOTAZIONI!$S:$S,22)),"")</f>
        <v/>
      </c>
      <c r="M25" s="150" t="str">
        <f t="shared" si="2"/>
        <v/>
      </c>
      <c r="N25" s="35" t="str">
        <f t="shared" si="3"/>
        <v/>
      </c>
      <c r="O25" s="35"/>
      <c r="P25" s="43"/>
      <c r="Q25" s="150" t="str">
        <f t="shared" si="4"/>
        <v/>
      </c>
      <c r="R25" s="89" t="str">
        <f>IFERROR(INDEX(PRENOTAZIONI!$R:$R,SMALL(PRENOTAZIONI!$S:$S,22)),"")</f>
        <v/>
      </c>
      <c r="S25" s="80"/>
      <c r="T25" s="31" t="str">
        <f>IFERROR(INDEX(PRENOTAZIONI!$A:$A,SMALL(PRENOTAZIONI!$AG:$AG,22)),"")</f>
        <v/>
      </c>
      <c r="U25" s="31" t="str">
        <f>IFERROR(INDEX(PRENOTAZIONI!$B:$B,SMALL(PRENOTAZIONI!$AG:$AG,22)),"")</f>
        <v/>
      </c>
      <c r="V25" s="32" t="str">
        <f t="shared" si="5"/>
        <v/>
      </c>
      <c r="W25" s="34" t="str">
        <f>IFERROR(INDEX(PRENOTAZIONI!$E:$E,SMALL(PRENOTAZIONI!$AG:$AG,22)),"")</f>
        <v/>
      </c>
      <c r="X25" s="34" t="str">
        <f>IFERROR(INDEX(PRENOTAZIONI!$F:$F,SMALL(PRENOTAZIONI!$AG:$AG,22)),"")</f>
        <v/>
      </c>
      <c r="Y25" s="35" t="str">
        <f>IFERROR(INDEX(PRENOTAZIONI!$H:$H,SMALL(PRENOTAZIONI!$AG:$AG,22)),"")</f>
        <v/>
      </c>
      <c r="Z25" s="34" t="str">
        <f>IFERROR(INDEX(PRENOTAZIONI!$K:$K,SMALL(PRENOTAZIONI!$AG:$AG,22)),"")</f>
        <v/>
      </c>
      <c r="AA25" s="34"/>
      <c r="AB25" s="34"/>
      <c r="AC25" s="40" t="str">
        <f t="shared" si="6"/>
        <v/>
      </c>
      <c r="AD25" s="41" t="str">
        <f t="shared" si="7"/>
        <v/>
      </c>
    </row>
    <row r="26" spans="1:42" ht="22" customHeight="1" x14ac:dyDescent="0.2">
      <c r="A26" s="31" t="str">
        <f>IFERROR(INDEX(PRENOTAZIONI!$A:$A,SMALL(PRENOTAZIONI!$S:$S,23)),"")</f>
        <v/>
      </c>
      <c r="B26" s="31" t="str">
        <f>IFERROR(INDEX(PRENOTAZIONI!$B:$B,SMALL(PRENOTAZIONI!$S:$S,23)),"")</f>
        <v/>
      </c>
      <c r="C26" s="32" t="str">
        <f t="shared" si="0"/>
        <v/>
      </c>
      <c r="D26" s="34" t="str">
        <f>IFERROR(INDEX(PRENOTAZIONI!$E:$E,SMALL(PRENOTAZIONI!$S:$S,23)),"")</f>
        <v/>
      </c>
      <c r="E26" s="34" t="str">
        <f>IFERROR(INDEX(PRENOTAZIONI!$F:$F,SMALL(PRENOTAZIONI!$S:$S,23)),"")</f>
        <v/>
      </c>
      <c r="F26" s="34" t="str">
        <f>IFERROR(INDEX(PRENOTAZIONI!$G:$G,SMALL(PRENOTAZIONI!$S:$S,23)),"")</f>
        <v/>
      </c>
      <c r="G26" s="35" t="str">
        <f>IFERROR(INDEX(PRENOTAZIONI!$H:$H,SMALL(PRENOTAZIONI!$S:$S,23)),"")</f>
        <v/>
      </c>
      <c r="H26" s="35" t="str">
        <f t="shared" si="1"/>
        <v/>
      </c>
      <c r="I26" s="35" t="str">
        <f t="shared" si="9"/>
        <v/>
      </c>
      <c r="J26" s="149" t="str">
        <f t="shared" si="8"/>
        <v/>
      </c>
      <c r="K26" s="34" t="str">
        <f>IFERROR(INDEX(PRENOTAZIONI!$K:$K,SMALL(PRENOTAZIONI!$S:$S,23)),"")</f>
        <v/>
      </c>
      <c r="L26" s="35" t="str">
        <f>IFERROR(INDEX(PRENOTAZIONI!$L:$L,SMALL(PRENOTAZIONI!$S:$S,23)),"")</f>
        <v/>
      </c>
      <c r="M26" s="150" t="str">
        <f t="shared" si="2"/>
        <v/>
      </c>
      <c r="N26" s="35" t="str">
        <f t="shared" si="3"/>
        <v/>
      </c>
      <c r="O26" s="35"/>
      <c r="P26" s="43"/>
      <c r="Q26" s="150" t="str">
        <f t="shared" si="4"/>
        <v/>
      </c>
      <c r="R26" s="89" t="str">
        <f>IFERROR(INDEX(PRENOTAZIONI!$R:$R,SMALL(PRENOTAZIONI!$S:$S,23)),"")</f>
        <v/>
      </c>
      <c r="S26" s="80"/>
      <c r="T26" s="31" t="str">
        <f>IFERROR(INDEX(PRENOTAZIONI!$A:$A,SMALL(PRENOTAZIONI!$AG:$AG,23)),"")</f>
        <v/>
      </c>
      <c r="U26" s="31" t="str">
        <f>IFERROR(INDEX(PRENOTAZIONI!$B:$B,SMALL(PRENOTAZIONI!$AG:$AG,23)),"")</f>
        <v/>
      </c>
      <c r="V26" s="32" t="str">
        <f t="shared" si="5"/>
        <v/>
      </c>
      <c r="W26" s="34" t="str">
        <f>IFERROR(INDEX(PRENOTAZIONI!$E:$E,SMALL(PRENOTAZIONI!$AG:$AG,23)),"")</f>
        <v/>
      </c>
      <c r="X26" s="34" t="str">
        <f>IFERROR(INDEX(PRENOTAZIONI!$F:$F,SMALL(PRENOTAZIONI!$AG:$AG,23)),"")</f>
        <v/>
      </c>
      <c r="Y26" s="35" t="str">
        <f>IFERROR(INDEX(PRENOTAZIONI!$H:$H,SMALL(PRENOTAZIONI!$AG:$AG,23)),"")</f>
        <v/>
      </c>
      <c r="Z26" s="34" t="str">
        <f>IFERROR(INDEX(PRENOTAZIONI!$K:$K,SMALL(PRENOTAZIONI!$AG:$AG,23)),"")</f>
        <v/>
      </c>
      <c r="AA26" s="34"/>
      <c r="AB26" s="34"/>
      <c r="AC26" s="40" t="str">
        <f t="shared" si="6"/>
        <v/>
      </c>
      <c r="AD26" s="41" t="str">
        <f t="shared" si="7"/>
        <v/>
      </c>
    </row>
    <row r="27" spans="1:42" ht="22" customHeight="1" x14ac:dyDescent="0.2">
      <c r="A27" s="31" t="str">
        <f>IFERROR(INDEX(PRENOTAZIONI!$A:$A,SMALL(PRENOTAZIONI!$S:$S,24)),"")</f>
        <v/>
      </c>
      <c r="B27" s="31" t="str">
        <f>IFERROR(INDEX(PRENOTAZIONI!$B:$B,SMALL(PRENOTAZIONI!$S:$S,24)),"")</f>
        <v/>
      </c>
      <c r="C27" s="32" t="str">
        <f t="shared" si="0"/>
        <v/>
      </c>
      <c r="D27" s="34" t="str">
        <f>IFERROR(INDEX(PRENOTAZIONI!$E:$E,SMALL(PRENOTAZIONI!$S:$S,24)),"")</f>
        <v/>
      </c>
      <c r="E27" s="34" t="str">
        <f>IFERROR(INDEX(PRENOTAZIONI!$F:$F,SMALL(PRENOTAZIONI!$S:$S,24)),"")</f>
        <v/>
      </c>
      <c r="F27" s="34" t="str">
        <f>IFERROR(INDEX(PRENOTAZIONI!$G:$G,SMALL(PRENOTAZIONI!$S:$S,24)),"")</f>
        <v/>
      </c>
      <c r="G27" s="35" t="str">
        <f>IFERROR(INDEX(PRENOTAZIONI!$H:$H,SMALL(PRENOTAZIONI!$S:$S,24)),"")</f>
        <v/>
      </c>
      <c r="H27" s="35" t="str">
        <f t="shared" si="1"/>
        <v/>
      </c>
      <c r="I27" s="35" t="str">
        <f t="shared" si="9"/>
        <v/>
      </c>
      <c r="J27" s="149" t="str">
        <f t="shared" si="8"/>
        <v/>
      </c>
      <c r="K27" s="34" t="str">
        <f>IFERROR(INDEX(PRENOTAZIONI!$K:$K,SMALL(PRENOTAZIONI!$S:$S,24)),"")</f>
        <v/>
      </c>
      <c r="L27" s="35" t="str">
        <f>IFERROR(INDEX(PRENOTAZIONI!$L:$L,SMALL(PRENOTAZIONI!$S:$S,24)),"")</f>
        <v/>
      </c>
      <c r="M27" s="150" t="str">
        <f t="shared" si="2"/>
        <v/>
      </c>
      <c r="N27" s="35" t="str">
        <f t="shared" si="3"/>
        <v/>
      </c>
      <c r="O27" s="35"/>
      <c r="P27" s="43"/>
      <c r="Q27" s="150" t="str">
        <f t="shared" si="4"/>
        <v/>
      </c>
      <c r="R27" s="89" t="str">
        <f>IFERROR(INDEX(PRENOTAZIONI!$R:$R,SMALL(PRENOTAZIONI!$S:$S,24)),"")</f>
        <v/>
      </c>
      <c r="S27" s="80"/>
      <c r="T27" s="31" t="str">
        <f>IFERROR(INDEX(PRENOTAZIONI!$A:$A,SMALL(PRENOTAZIONI!$AG:$AG,24)),"")</f>
        <v/>
      </c>
      <c r="U27" s="31" t="str">
        <f>IFERROR(INDEX(PRENOTAZIONI!$B:$B,SMALL(PRENOTAZIONI!$AG:$AG,24)),"")</f>
        <v/>
      </c>
      <c r="V27" s="32" t="str">
        <f t="shared" si="5"/>
        <v/>
      </c>
      <c r="W27" s="34" t="str">
        <f>IFERROR(INDEX(PRENOTAZIONI!$E:$E,SMALL(PRENOTAZIONI!$AG:$AG,24)),"")</f>
        <v/>
      </c>
      <c r="X27" s="34" t="str">
        <f>IFERROR(INDEX(PRENOTAZIONI!$F:$F,SMALL(PRENOTAZIONI!$AG:$AG,24)),"")</f>
        <v/>
      </c>
      <c r="Y27" s="35" t="str">
        <f>IFERROR(INDEX(PRENOTAZIONI!$H:$H,SMALL(PRENOTAZIONI!$AG:$AG,24)),"")</f>
        <v/>
      </c>
      <c r="Z27" s="34" t="str">
        <f>IFERROR(INDEX(PRENOTAZIONI!$K:$K,SMALL(PRENOTAZIONI!$AG:$AG,24)),"")</f>
        <v/>
      </c>
      <c r="AA27" s="34"/>
      <c r="AB27" s="34"/>
      <c r="AC27" s="40" t="str">
        <f t="shared" si="6"/>
        <v/>
      </c>
      <c r="AD27" s="41" t="str">
        <f t="shared" si="7"/>
        <v/>
      </c>
    </row>
    <row r="28" spans="1:42" ht="22" customHeight="1" x14ac:dyDescent="0.2">
      <c r="A28" s="31" t="str">
        <f>IFERROR(INDEX(PRENOTAZIONI!$A:$A,SMALL(PRENOTAZIONI!$S:$S,25)),"")</f>
        <v/>
      </c>
      <c r="B28" s="31" t="str">
        <f>IFERROR(INDEX(PRENOTAZIONI!$B:$B,SMALL(PRENOTAZIONI!$S:$S,25)),"")</f>
        <v/>
      </c>
      <c r="C28" s="32" t="str">
        <f t="shared" si="0"/>
        <v/>
      </c>
      <c r="D28" s="34" t="str">
        <f>IFERROR(INDEX(PRENOTAZIONI!$E:$E,SMALL(PRENOTAZIONI!$S:$S,25)),"")</f>
        <v/>
      </c>
      <c r="E28" s="34" t="str">
        <f>IFERROR(INDEX(PRENOTAZIONI!$F:$F,SMALL(PRENOTAZIONI!$S:$S,25)),"")</f>
        <v/>
      </c>
      <c r="F28" s="34" t="str">
        <f>IFERROR(INDEX(PRENOTAZIONI!$G:$G,SMALL(PRENOTAZIONI!$S:$S,25)),"")</f>
        <v/>
      </c>
      <c r="G28" s="35" t="str">
        <f>IFERROR(INDEX(PRENOTAZIONI!$H:$H,SMALL(PRENOTAZIONI!$S:$S,25)),"")</f>
        <v/>
      </c>
      <c r="H28" s="35" t="str">
        <f t="shared" si="1"/>
        <v/>
      </c>
      <c r="I28" s="35" t="str">
        <f t="shared" si="9"/>
        <v/>
      </c>
      <c r="J28" s="149" t="str">
        <f t="shared" si="8"/>
        <v/>
      </c>
      <c r="K28" s="34" t="str">
        <f>IFERROR(INDEX(PRENOTAZIONI!$K:$K,SMALL(PRENOTAZIONI!$S:$S,25)),"")</f>
        <v/>
      </c>
      <c r="L28" s="35" t="str">
        <f>IFERROR(INDEX(PRENOTAZIONI!$L:$L,SMALL(PRENOTAZIONI!$S:$S,25)),"")</f>
        <v/>
      </c>
      <c r="M28" s="150" t="str">
        <f t="shared" si="2"/>
        <v/>
      </c>
      <c r="N28" s="35" t="str">
        <f t="shared" si="3"/>
        <v/>
      </c>
      <c r="O28" s="35"/>
      <c r="P28" s="43"/>
      <c r="Q28" s="150" t="str">
        <f t="shared" si="4"/>
        <v/>
      </c>
      <c r="R28" s="89" t="str">
        <f>IFERROR(INDEX(PRENOTAZIONI!$R:$R,SMALL(PRENOTAZIONI!$S:$S,25)),"")</f>
        <v/>
      </c>
      <c r="S28" s="80"/>
      <c r="T28" s="31" t="str">
        <f>IFERROR(INDEX(PRENOTAZIONI!$A:$A,SMALL(PRENOTAZIONI!$AG:$AG,25)),"")</f>
        <v/>
      </c>
      <c r="U28" s="31" t="str">
        <f>IFERROR(INDEX(PRENOTAZIONI!$B:$B,SMALL(PRENOTAZIONI!$AG:$AG,25)),"")</f>
        <v/>
      </c>
      <c r="V28" s="32" t="str">
        <f t="shared" si="5"/>
        <v/>
      </c>
      <c r="W28" s="34" t="str">
        <f>IFERROR(INDEX(PRENOTAZIONI!$E:$E,SMALL(PRENOTAZIONI!$AG:$AG,25)),"")</f>
        <v/>
      </c>
      <c r="X28" s="34" t="str">
        <f>IFERROR(INDEX(PRENOTAZIONI!$F:$F,SMALL(PRENOTAZIONI!$AG:$AG,25)),"")</f>
        <v/>
      </c>
      <c r="Y28" s="35" t="str">
        <f>IFERROR(INDEX(PRENOTAZIONI!$H:$H,SMALL(PRENOTAZIONI!$AG:$AG,25)),"")</f>
        <v/>
      </c>
      <c r="Z28" s="34" t="str">
        <f>IFERROR(INDEX(PRENOTAZIONI!$K:$K,SMALL(PRENOTAZIONI!$AG:$AG,25)),"")</f>
        <v/>
      </c>
      <c r="AA28" s="34"/>
      <c r="AB28" s="34"/>
      <c r="AC28" s="40" t="str">
        <f t="shared" si="6"/>
        <v/>
      </c>
      <c r="AD28" s="41" t="str">
        <f t="shared" si="7"/>
        <v/>
      </c>
    </row>
    <row r="29" spans="1:42" ht="22" customHeight="1" x14ac:dyDescent="0.2">
      <c r="A29" s="31" t="str">
        <f>IFERROR(INDEX(PRENOTAZIONI!$A:$A,SMALL(PRENOTAZIONI!$S:$S,26)),"")</f>
        <v/>
      </c>
      <c r="B29" s="31" t="str">
        <f>IFERROR(INDEX(PRENOTAZIONI!$B:$B,SMALL(PRENOTAZIONI!$S:$S,26)),"")</f>
        <v/>
      </c>
      <c r="C29" s="32" t="str">
        <f t="shared" si="0"/>
        <v/>
      </c>
      <c r="D29" s="34" t="str">
        <f>IFERROR(INDEX(PRENOTAZIONI!$E:$E,SMALL(PRENOTAZIONI!$S:$S,26)),"")</f>
        <v/>
      </c>
      <c r="E29" s="34" t="str">
        <f>IFERROR(INDEX(PRENOTAZIONI!$F:$F,SMALL(PRENOTAZIONI!$S:$S,26)),"")</f>
        <v/>
      </c>
      <c r="F29" s="34" t="str">
        <f>IFERROR(INDEX(PRENOTAZIONI!$G:$G,SMALL(PRENOTAZIONI!$S:$S,26)),"")</f>
        <v/>
      </c>
      <c r="G29" s="35" t="str">
        <f>IFERROR(INDEX(PRENOTAZIONI!$H:$H,SMALL(PRENOTAZIONI!$S:$S,26)),"")</f>
        <v/>
      </c>
      <c r="H29" s="35" t="str">
        <f t="shared" si="1"/>
        <v/>
      </c>
      <c r="I29" s="35" t="str">
        <f t="shared" si="9"/>
        <v/>
      </c>
      <c r="J29" s="149" t="str">
        <f t="shared" si="8"/>
        <v/>
      </c>
      <c r="K29" s="34" t="str">
        <f>IFERROR(INDEX(PRENOTAZIONI!$K:$K,SMALL(PRENOTAZIONI!$S:$S,26)),"")</f>
        <v/>
      </c>
      <c r="L29" s="35" t="str">
        <f>IFERROR(INDEX(PRENOTAZIONI!$L:$L,SMALL(PRENOTAZIONI!$S:$S,26)),"")</f>
        <v/>
      </c>
      <c r="M29" s="150" t="str">
        <f t="shared" si="2"/>
        <v/>
      </c>
      <c r="N29" s="35" t="str">
        <f t="shared" si="3"/>
        <v/>
      </c>
      <c r="O29" s="35"/>
      <c r="P29" s="43"/>
      <c r="Q29" s="150" t="str">
        <f t="shared" si="4"/>
        <v/>
      </c>
      <c r="R29" s="89" t="str">
        <f>IFERROR(INDEX(PRENOTAZIONI!$R:$R,SMALL(PRENOTAZIONI!$S:$S,26)),"")</f>
        <v/>
      </c>
      <c r="S29" s="80"/>
      <c r="T29" s="31" t="str">
        <f>IFERROR(INDEX(PRENOTAZIONI!$A:$A,SMALL(PRENOTAZIONI!$AG:$AG,26)),"")</f>
        <v/>
      </c>
      <c r="U29" s="31" t="str">
        <f>IFERROR(INDEX(PRENOTAZIONI!$B:$B,SMALL(PRENOTAZIONI!$AG:$AG,26)),"")</f>
        <v/>
      </c>
      <c r="V29" s="32" t="str">
        <f t="shared" si="5"/>
        <v/>
      </c>
      <c r="W29" s="34" t="str">
        <f>IFERROR(INDEX(PRENOTAZIONI!$E:$E,SMALL(PRENOTAZIONI!$AG:$AG,26)),"")</f>
        <v/>
      </c>
      <c r="X29" s="34" t="str">
        <f>IFERROR(INDEX(PRENOTAZIONI!$F:$F,SMALL(PRENOTAZIONI!$AG:$AG,26)),"")</f>
        <v/>
      </c>
      <c r="Y29" s="35" t="str">
        <f>IFERROR(INDEX(PRENOTAZIONI!$H:$H,SMALL(PRENOTAZIONI!$AG:$AG,26)),"")</f>
        <v/>
      </c>
      <c r="Z29" s="34" t="str">
        <f>IFERROR(INDEX(PRENOTAZIONI!$K:$K,SMALL(PRENOTAZIONI!$AG:$AG,26)),"")</f>
        <v/>
      </c>
      <c r="AA29" s="34"/>
      <c r="AB29" s="34"/>
      <c r="AC29" s="40" t="str">
        <f t="shared" si="6"/>
        <v/>
      </c>
      <c r="AD29" s="41" t="str">
        <f t="shared" si="7"/>
        <v/>
      </c>
    </row>
    <row r="30" spans="1:42" ht="22" customHeight="1" x14ac:dyDescent="0.2">
      <c r="A30" s="31" t="str">
        <f>IFERROR(INDEX(PRENOTAZIONI!$A:$A,SMALL(PRENOTAZIONI!$S:$S,27)),"")</f>
        <v/>
      </c>
      <c r="B30" s="31" t="str">
        <f>IFERROR(INDEX(PRENOTAZIONI!$B:$B,SMALL(PRENOTAZIONI!$S:$S,27)),"")</f>
        <v/>
      </c>
      <c r="C30" s="32" t="str">
        <f t="shared" si="0"/>
        <v/>
      </c>
      <c r="D30" s="34" t="str">
        <f>IFERROR(INDEX(PRENOTAZIONI!$E:$E,SMALL(PRENOTAZIONI!$S:$S,27)),"")</f>
        <v/>
      </c>
      <c r="E30" s="34" t="str">
        <f>IFERROR(INDEX(PRENOTAZIONI!$F:$F,SMALL(PRENOTAZIONI!$S:$S,27)),"")</f>
        <v/>
      </c>
      <c r="F30" s="34" t="str">
        <f>IFERROR(INDEX(PRENOTAZIONI!$G:$G,SMALL(PRENOTAZIONI!$S:$S,27)),"")</f>
        <v/>
      </c>
      <c r="G30" s="35" t="str">
        <f>IFERROR(INDEX(PRENOTAZIONI!$H:$H,SMALL(PRENOTAZIONI!$S:$S,27)),"")</f>
        <v/>
      </c>
      <c r="H30" s="35" t="str">
        <f t="shared" si="1"/>
        <v/>
      </c>
      <c r="I30" s="35" t="str">
        <f t="shared" si="9"/>
        <v/>
      </c>
      <c r="J30" s="149" t="str">
        <f t="shared" si="8"/>
        <v/>
      </c>
      <c r="K30" s="34" t="str">
        <f>IFERROR(INDEX(PRENOTAZIONI!$K:$K,SMALL(PRENOTAZIONI!$S:$S,27)),"")</f>
        <v/>
      </c>
      <c r="L30" s="35" t="str">
        <f>IFERROR(INDEX(PRENOTAZIONI!$L:$L,SMALL(PRENOTAZIONI!$S:$S,27)),"")</f>
        <v/>
      </c>
      <c r="M30" s="150" t="str">
        <f t="shared" si="2"/>
        <v/>
      </c>
      <c r="N30" s="35" t="str">
        <f t="shared" si="3"/>
        <v/>
      </c>
      <c r="O30" s="35"/>
      <c r="P30" s="43"/>
      <c r="Q30" s="150" t="str">
        <f t="shared" si="4"/>
        <v/>
      </c>
      <c r="R30" s="89" t="str">
        <f>IFERROR(INDEX(PRENOTAZIONI!$R:$R,SMALL(PRENOTAZIONI!$S:$S,27)),"")</f>
        <v/>
      </c>
      <c r="S30" s="80"/>
      <c r="T30" s="31" t="str">
        <f>IFERROR(INDEX(PRENOTAZIONI!$A:$A,SMALL(PRENOTAZIONI!$AG:$AG,27)),"")</f>
        <v/>
      </c>
      <c r="U30" s="31" t="str">
        <f>IFERROR(INDEX(PRENOTAZIONI!$B:$B,SMALL(PRENOTAZIONI!$AG:$AG,27)),"")</f>
        <v/>
      </c>
      <c r="V30" s="32" t="str">
        <f t="shared" si="5"/>
        <v/>
      </c>
      <c r="W30" s="34" t="str">
        <f>IFERROR(INDEX(PRENOTAZIONI!$E:$E,SMALL(PRENOTAZIONI!$AG:$AG,27)),"")</f>
        <v/>
      </c>
      <c r="X30" s="34" t="str">
        <f>IFERROR(INDEX(PRENOTAZIONI!$F:$F,SMALL(PRENOTAZIONI!$AG:$AG,27)),"")</f>
        <v/>
      </c>
      <c r="Y30" s="35" t="str">
        <f>IFERROR(INDEX(PRENOTAZIONI!$H:$H,SMALL(PRENOTAZIONI!$AG:$AG,27)),"")</f>
        <v/>
      </c>
      <c r="Z30" s="34" t="str">
        <f>IFERROR(INDEX(PRENOTAZIONI!$K:$K,SMALL(PRENOTAZIONI!$AG:$AG,27)),"")</f>
        <v/>
      </c>
      <c r="AA30" s="34"/>
      <c r="AB30" s="34"/>
      <c r="AC30" s="40" t="str">
        <f t="shared" si="6"/>
        <v/>
      </c>
      <c r="AD30" s="41" t="str">
        <f t="shared" si="7"/>
        <v/>
      </c>
    </row>
    <row r="31" spans="1:42" ht="22" customHeight="1" x14ac:dyDescent="0.2">
      <c r="A31" s="31" t="str">
        <f>IFERROR(INDEX(PRENOTAZIONI!$A:$A,SMALL(PRENOTAZIONI!$S:$S,28)),"")</f>
        <v/>
      </c>
      <c r="B31" s="31" t="str">
        <f>IFERROR(INDEX(PRENOTAZIONI!$B:$B,SMALL(PRENOTAZIONI!$S:$S,28)),"")</f>
        <v/>
      </c>
      <c r="C31" s="32" t="str">
        <f t="shared" si="0"/>
        <v/>
      </c>
      <c r="D31" s="34" t="str">
        <f>IFERROR(INDEX(PRENOTAZIONI!$E:$E,SMALL(PRENOTAZIONI!$S:$S,28)),"")</f>
        <v/>
      </c>
      <c r="E31" s="34" t="str">
        <f>IFERROR(INDEX(PRENOTAZIONI!$F:$F,SMALL(PRENOTAZIONI!$S:$S,28)),"")</f>
        <v/>
      </c>
      <c r="F31" s="34" t="str">
        <f>IFERROR(INDEX(PRENOTAZIONI!$G:$G,SMALL(PRENOTAZIONI!$S:$S,28)),"")</f>
        <v/>
      </c>
      <c r="G31" s="35" t="str">
        <f>IFERROR(INDEX(PRENOTAZIONI!$H:$H,SMALL(PRENOTAZIONI!$S:$S,28)),"")</f>
        <v/>
      </c>
      <c r="H31" s="35" t="str">
        <f t="shared" si="1"/>
        <v/>
      </c>
      <c r="I31" s="35" t="str">
        <f t="shared" si="9"/>
        <v/>
      </c>
      <c r="J31" s="149" t="str">
        <f t="shared" si="8"/>
        <v/>
      </c>
      <c r="K31" s="34" t="str">
        <f>IFERROR(INDEX(PRENOTAZIONI!$K:$K,SMALL(PRENOTAZIONI!$S:$S,28)),"")</f>
        <v/>
      </c>
      <c r="L31" s="35" t="str">
        <f>IFERROR(INDEX(PRENOTAZIONI!$L:$L,SMALL(PRENOTAZIONI!$S:$S,28)),"")</f>
        <v/>
      </c>
      <c r="M31" s="150" t="str">
        <f t="shared" si="2"/>
        <v/>
      </c>
      <c r="N31" s="35" t="str">
        <f t="shared" si="3"/>
        <v/>
      </c>
      <c r="O31" s="35"/>
      <c r="P31" s="43"/>
      <c r="Q31" s="150" t="str">
        <f t="shared" si="4"/>
        <v/>
      </c>
      <c r="R31" s="89" t="str">
        <f>IFERROR(INDEX(PRENOTAZIONI!$R:$R,SMALL(PRENOTAZIONI!$S:$S,28)),"")</f>
        <v/>
      </c>
      <c r="S31" s="80"/>
      <c r="T31" s="31" t="str">
        <f>IFERROR(INDEX(PRENOTAZIONI!$A:$A,SMALL(PRENOTAZIONI!$AG:$AG,28)),"")</f>
        <v/>
      </c>
      <c r="U31" s="31" t="str">
        <f>IFERROR(INDEX(PRENOTAZIONI!$B:$B,SMALL(PRENOTAZIONI!$AG:$AG,28)),"")</f>
        <v/>
      </c>
      <c r="V31" s="32" t="str">
        <f t="shared" si="5"/>
        <v/>
      </c>
      <c r="W31" s="34" t="str">
        <f>IFERROR(INDEX(PRENOTAZIONI!$E:$E,SMALL(PRENOTAZIONI!$AG:$AG,28)),"")</f>
        <v/>
      </c>
      <c r="X31" s="34" t="str">
        <f>IFERROR(INDEX(PRENOTAZIONI!$F:$F,SMALL(PRENOTAZIONI!$AG:$AG,28)),"")</f>
        <v/>
      </c>
      <c r="Y31" s="35" t="str">
        <f>IFERROR(INDEX(PRENOTAZIONI!$H:$H,SMALL(PRENOTAZIONI!$AG:$AG,28)),"")</f>
        <v/>
      </c>
      <c r="Z31" s="34" t="str">
        <f>IFERROR(INDEX(PRENOTAZIONI!$K:$K,SMALL(PRENOTAZIONI!$AG:$AG,28)),"")</f>
        <v/>
      </c>
      <c r="AA31" s="34"/>
      <c r="AB31" s="34"/>
      <c r="AC31" s="40" t="str">
        <f t="shared" si="6"/>
        <v/>
      </c>
      <c r="AD31" s="41" t="str">
        <f t="shared" si="7"/>
        <v/>
      </c>
    </row>
    <row r="32" spans="1:42" ht="22" customHeight="1" x14ac:dyDescent="0.2">
      <c r="A32" s="31" t="str">
        <f>IFERROR(INDEX(PRENOTAZIONI!$A:$A,SMALL(PRENOTAZIONI!$S:$S,29)),"")</f>
        <v/>
      </c>
      <c r="B32" s="31" t="str">
        <f>IFERROR(INDEX(PRENOTAZIONI!$B:$B,SMALL(PRENOTAZIONI!$S:$S,29)),"")</f>
        <v/>
      </c>
      <c r="C32" s="32" t="str">
        <f t="shared" si="0"/>
        <v/>
      </c>
      <c r="D32" s="34" t="str">
        <f>IFERROR(INDEX(PRENOTAZIONI!$E:$E,SMALL(PRENOTAZIONI!$S:$S,29)),"")</f>
        <v/>
      </c>
      <c r="E32" s="34" t="str">
        <f>IFERROR(INDEX(PRENOTAZIONI!$F:$F,SMALL(PRENOTAZIONI!$S:$S,29)),"")</f>
        <v/>
      </c>
      <c r="F32" s="34" t="str">
        <f>IFERROR(INDEX(PRENOTAZIONI!$G:$G,SMALL(PRENOTAZIONI!$S:$S,29)),"")</f>
        <v/>
      </c>
      <c r="G32" s="35" t="str">
        <f>IFERROR(INDEX(PRENOTAZIONI!$H:$H,SMALL(PRENOTAZIONI!$S:$S,29)),"")</f>
        <v/>
      </c>
      <c r="H32" s="35" t="str">
        <f t="shared" si="1"/>
        <v/>
      </c>
      <c r="I32" s="35" t="str">
        <f t="shared" si="9"/>
        <v/>
      </c>
      <c r="J32" s="149" t="str">
        <f t="shared" si="8"/>
        <v/>
      </c>
      <c r="K32" s="34" t="str">
        <f>IFERROR(INDEX(PRENOTAZIONI!$K:$K,SMALL(PRENOTAZIONI!$S:$S,29)),"")</f>
        <v/>
      </c>
      <c r="L32" s="35" t="str">
        <f>IFERROR(INDEX(PRENOTAZIONI!$L:$L,SMALL(PRENOTAZIONI!$S:$S,29)),"")</f>
        <v/>
      </c>
      <c r="M32" s="150" t="str">
        <f t="shared" si="2"/>
        <v/>
      </c>
      <c r="N32" s="35" t="str">
        <f t="shared" si="3"/>
        <v/>
      </c>
      <c r="O32" s="35"/>
      <c r="P32" s="43"/>
      <c r="Q32" s="150" t="str">
        <f t="shared" si="4"/>
        <v/>
      </c>
      <c r="R32" s="89" t="str">
        <f>IFERROR(INDEX(PRENOTAZIONI!$R:$R,SMALL(PRENOTAZIONI!$S:$S,29)),"")</f>
        <v/>
      </c>
      <c r="S32" s="80"/>
      <c r="T32" s="31" t="str">
        <f>IFERROR(INDEX(PRENOTAZIONI!$A:$A,SMALL(PRENOTAZIONI!$AG:$AG,29)),"")</f>
        <v/>
      </c>
      <c r="U32" s="31" t="str">
        <f>IFERROR(INDEX(PRENOTAZIONI!$B:$B,SMALL(PRENOTAZIONI!$AG:$AG,29)),"")</f>
        <v/>
      </c>
      <c r="V32" s="32" t="str">
        <f t="shared" si="5"/>
        <v/>
      </c>
      <c r="W32" s="34" t="str">
        <f>IFERROR(INDEX(PRENOTAZIONI!$E:$E,SMALL(PRENOTAZIONI!$AG:$AG,29)),"")</f>
        <v/>
      </c>
      <c r="X32" s="34" t="str">
        <f>IFERROR(INDEX(PRENOTAZIONI!$F:$F,SMALL(PRENOTAZIONI!$AG:$AG,29)),"")</f>
        <v/>
      </c>
      <c r="Y32" s="35" t="str">
        <f>IFERROR(INDEX(PRENOTAZIONI!$H:$H,SMALL(PRENOTAZIONI!$AG:$AG,29)),"")</f>
        <v/>
      </c>
      <c r="Z32" s="34" t="str">
        <f>IFERROR(INDEX(PRENOTAZIONI!$K:$K,SMALL(PRENOTAZIONI!$AG:$AG,29)),"")</f>
        <v/>
      </c>
      <c r="AA32" s="34"/>
      <c r="AB32" s="34"/>
      <c r="AC32" s="40" t="str">
        <f t="shared" si="6"/>
        <v/>
      </c>
      <c r="AD32" s="41" t="str">
        <f t="shared" si="7"/>
        <v/>
      </c>
    </row>
    <row r="33" spans="1:30" ht="22" customHeight="1" x14ac:dyDescent="0.2">
      <c r="A33" s="31" t="str">
        <f>IFERROR(INDEX(PRENOTAZIONI!$A:$A,SMALL(PRENOTAZIONI!$S:$S,30)),"")</f>
        <v/>
      </c>
      <c r="B33" s="31" t="str">
        <f>IFERROR(INDEX(PRENOTAZIONI!$B:$B,SMALL(PRENOTAZIONI!$S:$S,30)),"")</f>
        <v/>
      </c>
      <c r="C33" s="32" t="str">
        <f t="shared" si="0"/>
        <v/>
      </c>
      <c r="D33" s="34" t="str">
        <f>IFERROR(INDEX(PRENOTAZIONI!$E:$E,SMALL(PRENOTAZIONI!$S:$S,30)),"")</f>
        <v/>
      </c>
      <c r="E33" s="34" t="str">
        <f>IFERROR(INDEX(PRENOTAZIONI!$F:$F,SMALL(PRENOTAZIONI!$S:$S,30)),"")</f>
        <v/>
      </c>
      <c r="F33" s="34" t="str">
        <f>IFERROR(INDEX(PRENOTAZIONI!$G:$G,SMALL(PRENOTAZIONI!$S:$S,30)),"")</f>
        <v/>
      </c>
      <c r="G33" s="35" t="str">
        <f>IFERROR(INDEX(PRENOTAZIONI!$H:$H,SMALL(PRENOTAZIONI!$S:$S,30)),"")</f>
        <v/>
      </c>
      <c r="H33" s="35" t="str">
        <f t="shared" si="1"/>
        <v/>
      </c>
      <c r="I33" s="35" t="str">
        <f t="shared" si="9"/>
        <v/>
      </c>
      <c r="J33" s="149" t="str">
        <f t="shared" si="8"/>
        <v/>
      </c>
      <c r="K33" s="34" t="str">
        <f>IFERROR(INDEX(PRENOTAZIONI!$K:$K,SMALL(PRENOTAZIONI!$S:$S,30)),"")</f>
        <v/>
      </c>
      <c r="L33" s="35" t="str">
        <f>IFERROR(INDEX(PRENOTAZIONI!$L:$L,SMALL(PRENOTAZIONI!$S:$S,30)),"")</f>
        <v/>
      </c>
      <c r="M33" s="150" t="str">
        <f t="shared" si="2"/>
        <v/>
      </c>
      <c r="N33" s="35" t="str">
        <f t="shared" si="3"/>
        <v/>
      </c>
      <c r="O33" s="35"/>
      <c r="P33" s="43"/>
      <c r="Q33" s="150" t="str">
        <f t="shared" si="4"/>
        <v/>
      </c>
      <c r="R33" s="89" t="str">
        <f>IFERROR(INDEX(PRENOTAZIONI!$R:$R,SMALL(PRENOTAZIONI!$S:$S,30)),"")</f>
        <v/>
      </c>
      <c r="S33" s="81"/>
      <c r="T33" s="48" t="str">
        <f>IFERROR(INDEX(PRENOTAZIONI!$A:$A,SMALL(PRENOTAZIONI!$AG:$AG,30)),"")</f>
        <v/>
      </c>
      <c r="U33" s="48" t="str">
        <f>IFERROR(INDEX(PRENOTAZIONI!$B:$B,SMALL(PRENOTAZIONI!$AG:$AG,30)),"")</f>
        <v/>
      </c>
      <c r="V33" s="52" t="str">
        <f t="shared" si="5"/>
        <v/>
      </c>
      <c r="W33" s="53" t="str">
        <f>IFERROR(INDEX(PRENOTAZIONI!$E:$E,SMALL(PRENOTAZIONI!$AG:$AG,30)),"")</f>
        <v/>
      </c>
      <c r="X33" s="53" t="str">
        <f>IFERROR(INDEX(PRENOTAZIONI!$F:$F,SMALL(PRENOTAZIONI!$AG:$AG,30)),"")</f>
        <v/>
      </c>
      <c r="Y33" s="54" t="str">
        <f>IFERROR(INDEX(PRENOTAZIONI!$H:$H,SMALL(PRENOTAZIONI!$AG:$AG,30)),"")</f>
        <v/>
      </c>
      <c r="Z33" s="53" t="str">
        <f>IFERROR(INDEX(PRENOTAZIONI!$K:$K,SMALL(PRENOTAZIONI!$AG:$AG,30)),"")</f>
        <v/>
      </c>
      <c r="AA33" s="53"/>
      <c r="AB33" s="53"/>
      <c r="AC33" s="55" t="str">
        <f t="shared" si="6"/>
        <v/>
      </c>
      <c r="AD33" s="56" t="str">
        <f t="shared" si="7"/>
        <v/>
      </c>
    </row>
    <row r="34" spans="1:30" ht="24" customHeight="1" x14ac:dyDescent="0.2">
      <c r="A34" s="31" t="str">
        <f>IFERROR(INDEX(PRENOTAZIONI!$A:$A,SMALL(PRENOTAZIONI!$S:$S,31)),"")</f>
        <v/>
      </c>
      <c r="B34" s="31" t="str">
        <f>IFERROR(INDEX(PRENOTAZIONI!$B:$B,SMALL(PRENOTAZIONI!$S:$S,31)),"")</f>
        <v/>
      </c>
      <c r="C34" s="32" t="str">
        <f t="shared" si="0"/>
        <v/>
      </c>
      <c r="D34" s="34" t="str">
        <f>IFERROR(INDEX(PRENOTAZIONI!$E:$E,SMALL(PRENOTAZIONI!$S:$S,31)),"")</f>
        <v/>
      </c>
      <c r="E34" s="34" t="str">
        <f>IFERROR(INDEX(PRENOTAZIONI!$F:$F,SMALL(PRENOTAZIONI!$S:$S,31)),"")</f>
        <v/>
      </c>
      <c r="F34" s="34" t="str">
        <f>IFERROR(INDEX(PRENOTAZIONI!$G:$G,SMALL(PRENOTAZIONI!$S:$S,31)),"")</f>
        <v/>
      </c>
      <c r="G34" s="35" t="str">
        <f>IFERROR(INDEX(PRENOTAZIONI!$H:$H,SMALL(PRENOTAZIONI!$S:$S,31)),"")</f>
        <v/>
      </c>
      <c r="H34" s="35" t="str">
        <f t="shared" si="1"/>
        <v/>
      </c>
      <c r="I34" s="35" t="str">
        <f t="shared" si="9"/>
        <v/>
      </c>
      <c r="J34" s="149" t="str">
        <f t="shared" si="8"/>
        <v/>
      </c>
      <c r="K34" s="34" t="str">
        <f>IFERROR(INDEX(PRENOTAZIONI!$K:$K,SMALL(PRENOTAZIONI!$S:$S,31)),"")</f>
        <v/>
      </c>
      <c r="L34" s="35" t="str">
        <f>IFERROR(INDEX(PRENOTAZIONI!$L:$L,SMALL(PRENOTAZIONI!$S:$S,31)),"")</f>
        <v/>
      </c>
      <c r="M34" s="150" t="str">
        <f t="shared" si="2"/>
        <v/>
      </c>
      <c r="N34" s="35" t="str">
        <f t="shared" si="3"/>
        <v/>
      </c>
      <c r="O34" s="35"/>
      <c r="P34" s="43"/>
      <c r="Q34" s="150" t="str">
        <f t="shared" si="4"/>
        <v/>
      </c>
      <c r="R34" s="90" t="str">
        <f>IFERROR(INDEX(PRENOTAZIONI!$R:$R,SMALL(PRENOTAZIONI!$S:$S,31)),"")</f>
        <v/>
      </c>
      <c r="S34" s="82"/>
      <c r="T34" s="49"/>
      <c r="U34" s="57"/>
      <c r="V34" s="57"/>
      <c r="W34" s="57"/>
      <c r="X34" s="57"/>
      <c r="Y34" s="58"/>
      <c r="Z34" s="57"/>
      <c r="AA34" s="57"/>
      <c r="AB34" s="57"/>
      <c r="AC34" s="58"/>
      <c r="AD34" s="58"/>
    </row>
    <row r="35" spans="1:30" ht="22" customHeight="1" x14ac:dyDescent="0.25">
      <c r="A35" s="31" t="str">
        <f>IFERROR(INDEX(PRENOTAZIONI!$A:$A,SMALL(PRENOTAZIONI!$S:$S,32)),"")</f>
        <v/>
      </c>
      <c r="B35" s="31" t="str">
        <f>IFERROR(INDEX(PRENOTAZIONI!$B:$B,SMALL(PRENOTAZIONI!$S:$S,32)),"")</f>
        <v/>
      </c>
      <c r="C35" s="32" t="str">
        <f t="shared" si="0"/>
        <v/>
      </c>
      <c r="D35" s="34" t="str">
        <f>IFERROR(INDEX(PRENOTAZIONI!$E:$E,SMALL(PRENOTAZIONI!$S:$S,32)),"")</f>
        <v/>
      </c>
      <c r="E35" s="34" t="str">
        <f>IFERROR(INDEX(PRENOTAZIONI!$F:$F,SMALL(PRENOTAZIONI!$S:$S,32)),"")</f>
        <v/>
      </c>
      <c r="F35" s="34" t="str">
        <f>IFERROR(INDEX(PRENOTAZIONI!$G:$G,SMALL(PRENOTAZIONI!$S:$S,32)),"")</f>
        <v/>
      </c>
      <c r="G35" s="35" t="str">
        <f>IFERROR(INDEX(PRENOTAZIONI!$H:$H,SMALL(PRENOTAZIONI!$S:$S,32)),"")</f>
        <v/>
      </c>
      <c r="H35" s="35" t="str">
        <f t="shared" si="1"/>
        <v/>
      </c>
      <c r="I35" s="35" t="str">
        <f t="shared" si="9"/>
        <v/>
      </c>
      <c r="J35" s="149" t="str">
        <f t="shared" si="8"/>
        <v/>
      </c>
      <c r="K35" s="34" t="str">
        <f>IFERROR(INDEX(PRENOTAZIONI!$K:$K,SMALL(PRENOTAZIONI!$S:$S,32)),"")</f>
        <v/>
      </c>
      <c r="L35" s="35" t="str">
        <f>IFERROR(INDEX(PRENOTAZIONI!$L:$L,SMALL(PRENOTAZIONI!$S:$S,32)),"")</f>
        <v/>
      </c>
      <c r="M35" s="150" t="str">
        <f t="shared" si="2"/>
        <v/>
      </c>
      <c r="N35" s="35" t="str">
        <f t="shared" si="3"/>
        <v/>
      </c>
      <c r="O35" s="35"/>
      <c r="P35" s="43"/>
      <c r="Q35" s="150" t="str">
        <f t="shared" si="4"/>
        <v/>
      </c>
      <c r="R35" s="89" t="str">
        <f>IFERROR(INDEX(PRENOTAZIONI!$R:$R,SMALL(PRENOTAZIONI!$S:$S,32)),"")</f>
        <v/>
      </c>
      <c r="S35" s="77"/>
    </row>
    <row r="36" spans="1:30" ht="22" customHeight="1" x14ac:dyDescent="0.25">
      <c r="A36" s="31" t="str">
        <f>IFERROR(INDEX(PRENOTAZIONI!$A:$A,SMALL(PRENOTAZIONI!$S:$S,33)),"")</f>
        <v/>
      </c>
      <c r="B36" s="31" t="str">
        <f>IFERROR(INDEX(PRENOTAZIONI!$B:$B,SMALL(PRENOTAZIONI!$S:$S,33)),"")</f>
        <v/>
      </c>
      <c r="C36" s="32" t="str">
        <f t="shared" ref="C36:C63" si="11">IF(A36&lt;&gt;"",B36-A36,"")</f>
        <v/>
      </c>
      <c r="D36" s="34" t="str">
        <f>IFERROR(INDEX(PRENOTAZIONI!$E:$E,SMALL(PRENOTAZIONI!$S:$S,33)),"")</f>
        <v/>
      </c>
      <c r="E36" s="34" t="str">
        <f>IFERROR(INDEX(PRENOTAZIONI!$F:$F,SMALL(PRENOTAZIONI!$S:$S,33)),"")</f>
        <v/>
      </c>
      <c r="F36" s="34" t="str">
        <f>IFERROR(INDEX(PRENOTAZIONI!$G:$G,SMALL(PRENOTAZIONI!$S:$S,33)),"")</f>
        <v/>
      </c>
      <c r="G36" s="35" t="str">
        <f>IFERROR(INDEX(PRENOTAZIONI!$H:$H,SMALL(PRENOTAZIONI!$S:$S,33)),"")</f>
        <v/>
      </c>
      <c r="H36" s="35" t="str">
        <f t="shared" ref="H36:H63" si="12">IF(AND(G36&lt;&gt;"",C36&lt;&gt;"",C36&lt;&gt;0),G36/C36,"")</f>
        <v/>
      </c>
      <c r="I36" s="35" t="str">
        <f t="shared" si="9"/>
        <v/>
      </c>
      <c r="J36" s="149" t="str">
        <f t="shared" si="8"/>
        <v/>
      </c>
      <c r="K36" s="34" t="str">
        <f>IFERROR(INDEX(PRENOTAZIONI!$K:$K,SMALL(PRENOTAZIONI!$S:$S,33)),"")</f>
        <v/>
      </c>
      <c r="L36" s="35" t="str">
        <f>IFERROR(INDEX(PRENOTAZIONI!$L:$L,SMALL(PRENOTAZIONI!$S:$S,33)),"")</f>
        <v/>
      </c>
      <c r="M36" s="150" t="str">
        <f t="shared" ref="M36:M63" si="13">IF(G36&lt;&gt;"",G36*0.21,"")</f>
        <v/>
      </c>
      <c r="N36" s="35" t="str">
        <f t="shared" ref="N36:N63" si="14">IF(G36&lt;&gt;"",G36*0.25,"")</f>
        <v/>
      </c>
      <c r="O36" s="35"/>
      <c r="P36" s="43"/>
      <c r="Q36" s="150" t="str">
        <f t="shared" ref="Q36:Q63" si="15">IF(G36&lt;&gt;"",G36-I36-J36-M36-N36-O36,"")</f>
        <v/>
      </c>
      <c r="R36" s="89" t="str">
        <f>IFERROR(INDEX(PRENOTAZIONI!$R:$R,SMALL(PRENOTAZIONI!$S:$S,33)),"")</f>
        <v/>
      </c>
      <c r="S36" s="77"/>
    </row>
    <row r="37" spans="1:30" ht="22" customHeight="1" x14ac:dyDescent="0.25">
      <c r="A37" s="31" t="str">
        <f>IFERROR(INDEX(PRENOTAZIONI!$A:$A,SMALL(PRENOTAZIONI!$S:$S,34)),"")</f>
        <v/>
      </c>
      <c r="B37" s="31" t="str">
        <f>IFERROR(INDEX(PRENOTAZIONI!$B:$B,SMALL(PRENOTAZIONI!$S:$S,34)),"")</f>
        <v/>
      </c>
      <c r="C37" s="32" t="str">
        <f t="shared" si="11"/>
        <v/>
      </c>
      <c r="D37" s="34" t="str">
        <f>IFERROR(INDEX(PRENOTAZIONI!$E:$E,SMALL(PRENOTAZIONI!$S:$S,34)),"")</f>
        <v/>
      </c>
      <c r="E37" s="34" t="str">
        <f>IFERROR(INDEX(PRENOTAZIONI!$F:$F,SMALL(PRENOTAZIONI!$S:$S,34)),"")</f>
        <v/>
      </c>
      <c r="F37" s="34" t="str">
        <f>IFERROR(INDEX(PRENOTAZIONI!$G:$G,SMALL(PRENOTAZIONI!$S:$S,34)),"")</f>
        <v/>
      </c>
      <c r="G37" s="35" t="str">
        <f>IFERROR(INDEX(PRENOTAZIONI!$H:$H,SMALL(PRENOTAZIONI!$S:$S,34)),"")</f>
        <v/>
      </c>
      <c r="H37" s="35" t="str">
        <f t="shared" si="12"/>
        <v/>
      </c>
      <c r="I37" s="35" t="str">
        <f t="shared" si="9"/>
        <v/>
      </c>
      <c r="J37" s="149" t="str">
        <f t="shared" si="8"/>
        <v/>
      </c>
      <c r="K37" s="34" t="str">
        <f>IFERROR(INDEX(PRENOTAZIONI!$K:$K,SMALL(PRENOTAZIONI!$S:$S,34)),"")</f>
        <v/>
      </c>
      <c r="L37" s="35" t="str">
        <f>IFERROR(INDEX(PRENOTAZIONI!$L:$L,SMALL(PRENOTAZIONI!$S:$S,34)),"")</f>
        <v/>
      </c>
      <c r="M37" s="150" t="str">
        <f t="shared" si="13"/>
        <v/>
      </c>
      <c r="N37" s="35" t="str">
        <f t="shared" si="14"/>
        <v/>
      </c>
      <c r="O37" s="35"/>
      <c r="P37" s="43"/>
      <c r="Q37" s="150" t="str">
        <f t="shared" si="15"/>
        <v/>
      </c>
      <c r="R37" s="89" t="str">
        <f>IFERROR(INDEX(PRENOTAZIONI!$R:$R,SMALL(PRENOTAZIONI!$S:$S,34)),"")</f>
        <v/>
      </c>
      <c r="S37" s="77"/>
    </row>
    <row r="38" spans="1:30" ht="22" customHeight="1" x14ac:dyDescent="0.25">
      <c r="A38" s="31" t="str">
        <f>IFERROR(INDEX(PRENOTAZIONI!$A:$A,SMALL(PRENOTAZIONI!$S:$S,35)),"")</f>
        <v/>
      </c>
      <c r="B38" s="31" t="str">
        <f>IFERROR(INDEX(PRENOTAZIONI!$B:$B,SMALL(PRENOTAZIONI!$S:$S,35)),"")</f>
        <v/>
      </c>
      <c r="C38" s="32" t="str">
        <f t="shared" si="11"/>
        <v/>
      </c>
      <c r="D38" s="34" t="str">
        <f>IFERROR(INDEX(PRENOTAZIONI!$E:$E,SMALL(PRENOTAZIONI!$S:$S,35)),"")</f>
        <v/>
      </c>
      <c r="E38" s="34" t="str">
        <f>IFERROR(INDEX(PRENOTAZIONI!$F:$F,SMALL(PRENOTAZIONI!$S:$S,35)),"")</f>
        <v/>
      </c>
      <c r="F38" s="34" t="str">
        <f>IFERROR(INDEX(PRENOTAZIONI!$G:$G,SMALL(PRENOTAZIONI!$S:$S,35)),"")</f>
        <v/>
      </c>
      <c r="G38" s="35" t="str">
        <f>IFERROR(INDEX(PRENOTAZIONI!$H:$H,SMALL(PRENOTAZIONI!$S:$S,35)),"")</f>
        <v/>
      </c>
      <c r="H38" s="35" t="str">
        <f t="shared" si="12"/>
        <v/>
      </c>
      <c r="I38" s="35" t="str">
        <f t="shared" si="9"/>
        <v/>
      </c>
      <c r="J38" s="149" t="str">
        <f t="shared" si="8"/>
        <v/>
      </c>
      <c r="K38" s="34" t="str">
        <f>IFERROR(INDEX(PRENOTAZIONI!$K:$K,SMALL(PRENOTAZIONI!$S:$S,35)),"")</f>
        <v/>
      </c>
      <c r="L38" s="35" t="str">
        <f>IFERROR(INDEX(PRENOTAZIONI!$L:$L,SMALL(PRENOTAZIONI!$S:$S,35)),"")</f>
        <v/>
      </c>
      <c r="M38" s="150" t="str">
        <f t="shared" si="13"/>
        <v/>
      </c>
      <c r="N38" s="35" t="str">
        <f t="shared" si="14"/>
        <v/>
      </c>
      <c r="O38" s="35"/>
      <c r="P38" s="43"/>
      <c r="Q38" s="150" t="str">
        <f t="shared" si="15"/>
        <v/>
      </c>
      <c r="R38" s="89" t="str">
        <f>IFERROR(INDEX(PRENOTAZIONI!$R:$R,SMALL(PRENOTAZIONI!$S:$S,35)),"")</f>
        <v/>
      </c>
      <c r="S38" s="77"/>
    </row>
    <row r="39" spans="1:30" ht="22" customHeight="1" x14ac:dyDescent="0.25">
      <c r="A39" s="31" t="str">
        <f>IFERROR(INDEX(PRENOTAZIONI!$A:$A,SMALL(PRENOTAZIONI!$S:$S,36)),"")</f>
        <v/>
      </c>
      <c r="B39" s="31" t="str">
        <f>IFERROR(INDEX(PRENOTAZIONI!$B:$B,SMALL(PRENOTAZIONI!$S:$S,36)),"")</f>
        <v/>
      </c>
      <c r="C39" s="32" t="str">
        <f t="shared" si="11"/>
        <v/>
      </c>
      <c r="D39" s="34" t="str">
        <f>IFERROR(INDEX(PRENOTAZIONI!$E:$E,SMALL(PRENOTAZIONI!$S:$S,36)),"")</f>
        <v/>
      </c>
      <c r="E39" s="34" t="str">
        <f>IFERROR(INDEX(PRENOTAZIONI!$F:$F,SMALL(PRENOTAZIONI!$S:$S,36)),"")</f>
        <v/>
      </c>
      <c r="F39" s="34" t="str">
        <f>IFERROR(INDEX(PRENOTAZIONI!$G:$G,SMALL(PRENOTAZIONI!$S:$S,36)),"")</f>
        <v/>
      </c>
      <c r="G39" s="35" t="str">
        <f>IFERROR(INDEX(PRENOTAZIONI!$H:$H,SMALL(PRENOTAZIONI!$S:$S,36)),"")</f>
        <v/>
      </c>
      <c r="H39" s="35" t="str">
        <f t="shared" si="12"/>
        <v/>
      </c>
      <c r="I39" s="35" t="str">
        <f t="shared" si="9"/>
        <v/>
      </c>
      <c r="J39" s="149" t="str">
        <f t="shared" si="8"/>
        <v/>
      </c>
      <c r="K39" s="34" t="str">
        <f>IFERROR(INDEX(PRENOTAZIONI!$K:$K,SMALL(PRENOTAZIONI!$S:$S,36)),"")</f>
        <v/>
      </c>
      <c r="L39" s="35" t="str">
        <f>IFERROR(INDEX(PRENOTAZIONI!$L:$L,SMALL(PRENOTAZIONI!$S:$S,36)),"")</f>
        <v/>
      </c>
      <c r="M39" s="150" t="str">
        <f t="shared" si="13"/>
        <v/>
      </c>
      <c r="N39" s="35" t="str">
        <f t="shared" si="14"/>
        <v/>
      </c>
      <c r="O39" s="35"/>
      <c r="P39" s="43"/>
      <c r="Q39" s="150" t="str">
        <f t="shared" si="15"/>
        <v/>
      </c>
      <c r="R39" s="89" t="str">
        <f>IFERROR(INDEX(PRENOTAZIONI!$R:$R,SMALL(PRENOTAZIONI!$S:$S,36)),"")</f>
        <v/>
      </c>
      <c r="S39" s="77"/>
    </row>
    <row r="40" spans="1:30" ht="22" customHeight="1" x14ac:dyDescent="0.25">
      <c r="A40" s="31" t="str">
        <f>IFERROR(INDEX(PRENOTAZIONI!$A:$A,SMALL(PRENOTAZIONI!$S:$S,37)),"")</f>
        <v/>
      </c>
      <c r="B40" s="31" t="str">
        <f>IFERROR(INDEX(PRENOTAZIONI!$B:$B,SMALL(PRENOTAZIONI!$S:$S,37)),"")</f>
        <v/>
      </c>
      <c r="C40" s="32" t="str">
        <f t="shared" si="11"/>
        <v/>
      </c>
      <c r="D40" s="34" t="str">
        <f>IFERROR(INDEX(PRENOTAZIONI!$E:$E,SMALL(PRENOTAZIONI!$S:$S,37)),"")</f>
        <v/>
      </c>
      <c r="E40" s="34" t="str">
        <f>IFERROR(INDEX(PRENOTAZIONI!$F:$F,SMALL(PRENOTAZIONI!$S:$S,37)),"")</f>
        <v/>
      </c>
      <c r="F40" s="34" t="str">
        <f>IFERROR(INDEX(PRENOTAZIONI!$G:$G,SMALL(PRENOTAZIONI!$S:$S,37)),"")</f>
        <v/>
      </c>
      <c r="G40" s="35" t="str">
        <f>IFERROR(INDEX(PRENOTAZIONI!$H:$H,SMALL(PRENOTAZIONI!$S:$S,37)),"")</f>
        <v/>
      </c>
      <c r="H40" s="35" t="str">
        <f t="shared" si="12"/>
        <v/>
      </c>
      <c r="I40" s="35" t="str">
        <f t="shared" si="9"/>
        <v/>
      </c>
      <c r="J40" s="149" t="str">
        <f t="shared" si="8"/>
        <v/>
      </c>
      <c r="K40" s="34" t="str">
        <f>IFERROR(INDEX(PRENOTAZIONI!$K:$K,SMALL(PRENOTAZIONI!$S:$S,37)),"")</f>
        <v/>
      </c>
      <c r="L40" s="35" t="str">
        <f>IFERROR(INDEX(PRENOTAZIONI!$L:$L,SMALL(PRENOTAZIONI!$S:$S,37)),"")</f>
        <v/>
      </c>
      <c r="M40" s="150" t="str">
        <f t="shared" si="13"/>
        <v/>
      </c>
      <c r="N40" s="35" t="str">
        <f t="shared" si="14"/>
        <v/>
      </c>
      <c r="O40" s="35"/>
      <c r="P40" s="43"/>
      <c r="Q40" s="150" t="str">
        <f t="shared" si="15"/>
        <v/>
      </c>
      <c r="R40" s="89" t="str">
        <f>IFERROR(INDEX(PRENOTAZIONI!$R:$R,SMALL(PRENOTAZIONI!$S:$S,37)),"")</f>
        <v/>
      </c>
      <c r="S40" s="77"/>
    </row>
    <row r="41" spans="1:30" ht="22" customHeight="1" x14ac:dyDescent="0.25">
      <c r="A41" s="31" t="str">
        <f>IFERROR(INDEX(PRENOTAZIONI!$A:$A,SMALL(PRENOTAZIONI!$S:$S,38)),"")</f>
        <v/>
      </c>
      <c r="B41" s="31" t="str">
        <f>IFERROR(INDEX(PRENOTAZIONI!$B:$B,SMALL(PRENOTAZIONI!$S:$S,38)),"")</f>
        <v/>
      </c>
      <c r="C41" s="32" t="str">
        <f t="shared" si="11"/>
        <v/>
      </c>
      <c r="D41" s="34" t="str">
        <f>IFERROR(INDEX(PRENOTAZIONI!$E:$E,SMALL(PRENOTAZIONI!$S:$S,38)),"")</f>
        <v/>
      </c>
      <c r="E41" s="34" t="str">
        <f>IFERROR(INDEX(PRENOTAZIONI!$F:$F,SMALL(PRENOTAZIONI!$S:$S,38)),"")</f>
        <v/>
      </c>
      <c r="F41" s="34" t="str">
        <f>IFERROR(INDEX(PRENOTAZIONI!$G:$G,SMALL(PRENOTAZIONI!$S:$S,38)),"")</f>
        <v/>
      </c>
      <c r="G41" s="35" t="str">
        <f>IFERROR(INDEX(PRENOTAZIONI!$H:$H,SMALL(PRENOTAZIONI!$S:$S,38)),"")</f>
        <v/>
      </c>
      <c r="H41" s="35" t="str">
        <f t="shared" si="12"/>
        <v/>
      </c>
      <c r="I41" s="35" t="str">
        <f t="shared" si="9"/>
        <v/>
      </c>
      <c r="J41" s="149" t="str">
        <f t="shared" si="8"/>
        <v/>
      </c>
      <c r="K41" s="34" t="str">
        <f>IFERROR(INDEX(PRENOTAZIONI!$K:$K,SMALL(PRENOTAZIONI!$S:$S,38)),"")</f>
        <v/>
      </c>
      <c r="L41" s="35" t="str">
        <f>IFERROR(INDEX(PRENOTAZIONI!$L:$L,SMALL(PRENOTAZIONI!$S:$S,38)),"")</f>
        <v/>
      </c>
      <c r="M41" s="150" t="str">
        <f t="shared" si="13"/>
        <v/>
      </c>
      <c r="N41" s="35" t="str">
        <f t="shared" si="14"/>
        <v/>
      </c>
      <c r="O41" s="35"/>
      <c r="P41" s="43"/>
      <c r="Q41" s="150" t="str">
        <f t="shared" si="15"/>
        <v/>
      </c>
      <c r="R41" s="89" t="str">
        <f>IFERROR(INDEX(PRENOTAZIONI!$R:$R,SMALL(PRENOTAZIONI!$S:$S,38)),"")</f>
        <v/>
      </c>
      <c r="S41" s="77"/>
    </row>
    <row r="42" spans="1:30" ht="22" customHeight="1" x14ac:dyDescent="0.25">
      <c r="A42" s="31" t="str">
        <f>IFERROR(INDEX(PRENOTAZIONI!$A:$A,SMALL(PRENOTAZIONI!$S:$S,39)),"")</f>
        <v/>
      </c>
      <c r="B42" s="31" t="str">
        <f>IFERROR(INDEX(PRENOTAZIONI!$B:$B,SMALL(PRENOTAZIONI!$S:$S,39)),"")</f>
        <v/>
      </c>
      <c r="C42" s="32" t="str">
        <f t="shared" si="11"/>
        <v/>
      </c>
      <c r="D42" s="34" t="str">
        <f>IFERROR(INDEX(PRENOTAZIONI!$E:$E,SMALL(PRENOTAZIONI!$S:$S,39)),"")</f>
        <v/>
      </c>
      <c r="E42" s="34" t="str">
        <f>IFERROR(INDEX(PRENOTAZIONI!$F:$F,SMALL(PRENOTAZIONI!$S:$S,39)),"")</f>
        <v/>
      </c>
      <c r="F42" s="34" t="str">
        <f>IFERROR(INDEX(PRENOTAZIONI!$G:$G,SMALL(PRENOTAZIONI!$S:$S,39)),"")</f>
        <v/>
      </c>
      <c r="G42" s="35" t="str">
        <f>IFERROR(INDEX(PRENOTAZIONI!$H:$H,SMALL(PRENOTAZIONI!$S:$S,39)),"")</f>
        <v/>
      </c>
      <c r="H42" s="35" t="str">
        <f t="shared" si="12"/>
        <v/>
      </c>
      <c r="I42" s="35" t="str">
        <f t="shared" si="9"/>
        <v/>
      </c>
      <c r="J42" s="149" t="str">
        <f t="shared" ref="J42:J63" si="16">IF(I42&lt;&gt;"",I42*0.22,"")</f>
        <v/>
      </c>
      <c r="K42" s="34" t="str">
        <f>IFERROR(INDEX(PRENOTAZIONI!$K:$K,SMALL(PRENOTAZIONI!$S:$S,39)),"")</f>
        <v/>
      </c>
      <c r="L42" s="35" t="str">
        <f>IFERROR(INDEX(PRENOTAZIONI!$L:$L,SMALL(PRENOTAZIONI!$S:$S,39)),"")</f>
        <v/>
      </c>
      <c r="M42" s="150" t="str">
        <f t="shared" si="13"/>
        <v/>
      </c>
      <c r="N42" s="35" t="str">
        <f t="shared" si="14"/>
        <v/>
      </c>
      <c r="O42" s="35"/>
      <c r="P42" s="43"/>
      <c r="Q42" s="150" t="str">
        <f t="shared" si="15"/>
        <v/>
      </c>
      <c r="R42" s="89" t="str">
        <f>IFERROR(INDEX(PRENOTAZIONI!$R:$R,SMALL(PRENOTAZIONI!$S:$S,39)),"")</f>
        <v/>
      </c>
      <c r="S42" s="77"/>
    </row>
    <row r="43" spans="1:30" ht="22" customHeight="1" x14ac:dyDescent="0.25">
      <c r="A43" s="31" t="str">
        <f>IFERROR(INDEX(PRENOTAZIONI!$A:$A,SMALL(PRENOTAZIONI!$S:$S,40)),"")</f>
        <v/>
      </c>
      <c r="B43" s="31" t="str">
        <f>IFERROR(INDEX(PRENOTAZIONI!$B:$B,SMALL(PRENOTAZIONI!$S:$S,40)),"")</f>
        <v/>
      </c>
      <c r="C43" s="32" t="str">
        <f t="shared" si="11"/>
        <v/>
      </c>
      <c r="D43" s="34" t="str">
        <f>IFERROR(INDEX(PRENOTAZIONI!$E:$E,SMALL(PRENOTAZIONI!$S:$S,40)),"")</f>
        <v/>
      </c>
      <c r="E43" s="34" t="str">
        <f>IFERROR(INDEX(PRENOTAZIONI!$F:$F,SMALL(PRENOTAZIONI!$S:$S,40)),"")</f>
        <v/>
      </c>
      <c r="F43" s="34" t="str">
        <f>IFERROR(INDEX(PRENOTAZIONI!$G:$G,SMALL(PRENOTAZIONI!$S:$S,40)),"")</f>
        <v/>
      </c>
      <c r="G43" s="35" t="str">
        <f>IFERROR(INDEX(PRENOTAZIONI!$H:$H,SMALL(PRENOTAZIONI!$S:$S,40)),"")</f>
        <v/>
      </c>
      <c r="H43" s="35" t="str">
        <f t="shared" si="12"/>
        <v/>
      </c>
      <c r="I43" s="35" t="str">
        <f t="shared" si="9"/>
        <v/>
      </c>
      <c r="J43" s="149" t="str">
        <f t="shared" si="16"/>
        <v/>
      </c>
      <c r="K43" s="34" t="str">
        <f>IFERROR(INDEX(PRENOTAZIONI!$K:$K,SMALL(PRENOTAZIONI!$S:$S,40)),"")</f>
        <v/>
      </c>
      <c r="L43" s="35" t="str">
        <f>IFERROR(INDEX(PRENOTAZIONI!$L:$L,SMALL(PRENOTAZIONI!$S:$S,40)),"")</f>
        <v/>
      </c>
      <c r="M43" s="150" t="str">
        <f t="shared" si="13"/>
        <v/>
      </c>
      <c r="N43" s="35" t="str">
        <f t="shared" si="14"/>
        <v/>
      </c>
      <c r="O43" s="35"/>
      <c r="P43" s="43"/>
      <c r="Q43" s="150" t="str">
        <f t="shared" si="15"/>
        <v/>
      </c>
      <c r="R43" s="89" t="str">
        <f>IFERROR(INDEX(PRENOTAZIONI!$R:$R,SMALL(PRENOTAZIONI!$S:$S,40)),"")</f>
        <v/>
      </c>
      <c r="S43" s="77"/>
    </row>
    <row r="44" spans="1:30" ht="22" customHeight="1" x14ac:dyDescent="0.25">
      <c r="A44" s="31" t="str">
        <f>IFERROR(INDEX(PRENOTAZIONI!$A:$A,SMALL(PRENOTAZIONI!$S:$S,41)),"")</f>
        <v/>
      </c>
      <c r="B44" s="31" t="str">
        <f>IFERROR(INDEX(PRENOTAZIONI!$B:$B,SMALL(PRENOTAZIONI!$S:$S,41)),"")</f>
        <v/>
      </c>
      <c r="C44" s="32" t="str">
        <f t="shared" si="11"/>
        <v/>
      </c>
      <c r="D44" s="34" t="str">
        <f>IFERROR(INDEX(PRENOTAZIONI!$E:$E,SMALL(PRENOTAZIONI!$S:$S,41)),"")</f>
        <v/>
      </c>
      <c r="E44" s="34" t="str">
        <f>IFERROR(INDEX(PRENOTAZIONI!$F:$F,SMALL(PRENOTAZIONI!$S:$S,41)),"")</f>
        <v/>
      </c>
      <c r="F44" s="34" t="str">
        <f>IFERROR(INDEX(PRENOTAZIONI!$G:$G,SMALL(PRENOTAZIONI!$S:$S,41)),"")</f>
        <v/>
      </c>
      <c r="G44" s="35" t="str">
        <f>IFERROR(INDEX(PRENOTAZIONI!$H:$H,SMALL(PRENOTAZIONI!$S:$S,41)),"")</f>
        <v/>
      </c>
      <c r="H44" s="35" t="str">
        <f t="shared" si="12"/>
        <v/>
      </c>
      <c r="I44" s="35" t="str">
        <f t="shared" si="9"/>
        <v/>
      </c>
      <c r="J44" s="149" t="str">
        <f t="shared" si="16"/>
        <v/>
      </c>
      <c r="K44" s="34" t="str">
        <f>IFERROR(INDEX(PRENOTAZIONI!$K:$K,SMALL(PRENOTAZIONI!$S:$S,41)),"")</f>
        <v/>
      </c>
      <c r="L44" s="35" t="str">
        <f>IFERROR(INDEX(PRENOTAZIONI!$L:$L,SMALL(PRENOTAZIONI!$S:$S,41)),"")</f>
        <v/>
      </c>
      <c r="M44" s="150" t="str">
        <f t="shared" si="13"/>
        <v/>
      </c>
      <c r="N44" s="35" t="str">
        <f t="shared" si="14"/>
        <v/>
      </c>
      <c r="O44" s="35"/>
      <c r="P44" s="43"/>
      <c r="Q44" s="150" t="str">
        <f t="shared" si="15"/>
        <v/>
      </c>
      <c r="R44" s="89" t="str">
        <f>IFERROR(INDEX(PRENOTAZIONI!$R:$R,SMALL(PRENOTAZIONI!$S:$S,41)),"")</f>
        <v/>
      </c>
      <c r="S44" s="77"/>
    </row>
    <row r="45" spans="1:30" ht="22" customHeight="1" x14ac:dyDescent="0.25">
      <c r="A45" s="31" t="str">
        <f>IFERROR(INDEX(PRENOTAZIONI!$A:$A,SMALL(PRENOTAZIONI!$S:$S,42)),"")</f>
        <v/>
      </c>
      <c r="B45" s="31" t="str">
        <f>IFERROR(INDEX(PRENOTAZIONI!$B:$B,SMALL(PRENOTAZIONI!$S:$S,42)),"")</f>
        <v/>
      </c>
      <c r="C45" s="32" t="str">
        <f t="shared" si="11"/>
        <v/>
      </c>
      <c r="D45" s="34" t="str">
        <f>IFERROR(INDEX(PRENOTAZIONI!$E:$E,SMALL(PRENOTAZIONI!$S:$S,42)),"")</f>
        <v/>
      </c>
      <c r="E45" s="34" t="str">
        <f>IFERROR(INDEX(PRENOTAZIONI!$F:$F,SMALL(PRENOTAZIONI!$S:$S,42)),"")</f>
        <v/>
      </c>
      <c r="F45" s="34" t="str">
        <f>IFERROR(INDEX(PRENOTAZIONI!$G:$G,SMALL(PRENOTAZIONI!$S:$S,42)),"")</f>
        <v/>
      </c>
      <c r="G45" s="35" t="str">
        <f>IFERROR(INDEX(PRENOTAZIONI!$H:$H,SMALL(PRENOTAZIONI!$S:$S,42)),"")</f>
        <v/>
      </c>
      <c r="H45" s="35" t="str">
        <f t="shared" si="12"/>
        <v/>
      </c>
      <c r="I45" s="35" t="str">
        <f t="shared" si="9"/>
        <v/>
      </c>
      <c r="J45" s="149" t="str">
        <f t="shared" si="16"/>
        <v/>
      </c>
      <c r="K45" s="34" t="str">
        <f>IFERROR(INDEX(PRENOTAZIONI!$K:$K,SMALL(PRENOTAZIONI!$S:$S,42)),"")</f>
        <v/>
      </c>
      <c r="L45" s="35" t="str">
        <f>IFERROR(INDEX(PRENOTAZIONI!$L:$L,SMALL(PRENOTAZIONI!$S:$S,42)),"")</f>
        <v/>
      </c>
      <c r="M45" s="150" t="str">
        <f t="shared" si="13"/>
        <v/>
      </c>
      <c r="N45" s="35" t="str">
        <f t="shared" si="14"/>
        <v/>
      </c>
      <c r="O45" s="35"/>
      <c r="P45" s="43"/>
      <c r="Q45" s="150" t="str">
        <f t="shared" si="15"/>
        <v/>
      </c>
      <c r="R45" s="89" t="str">
        <f>IFERROR(INDEX(PRENOTAZIONI!$R:$R,SMALL(PRENOTAZIONI!$S:$S,42)),"")</f>
        <v/>
      </c>
      <c r="S45" s="77"/>
    </row>
    <row r="46" spans="1:30" ht="22" customHeight="1" x14ac:dyDescent="0.25">
      <c r="A46" s="31" t="str">
        <f>IFERROR(INDEX(PRENOTAZIONI!$A:$A,SMALL(PRENOTAZIONI!$S:$S,43)),"")</f>
        <v/>
      </c>
      <c r="B46" s="31" t="str">
        <f>IFERROR(INDEX(PRENOTAZIONI!$B:$B,SMALL(PRENOTAZIONI!$S:$S,43)),"")</f>
        <v/>
      </c>
      <c r="C46" s="32" t="str">
        <f t="shared" si="11"/>
        <v/>
      </c>
      <c r="D46" s="34" t="str">
        <f>IFERROR(INDEX(PRENOTAZIONI!$E:$E,SMALL(PRENOTAZIONI!$S:$S,43)),"")</f>
        <v/>
      </c>
      <c r="E46" s="34" t="str">
        <f>IFERROR(INDEX(PRENOTAZIONI!$F:$F,SMALL(PRENOTAZIONI!$S:$S,43)),"")</f>
        <v/>
      </c>
      <c r="F46" s="34" t="str">
        <f>IFERROR(INDEX(PRENOTAZIONI!$G:$G,SMALL(PRENOTAZIONI!$S:$S,43)),"")</f>
        <v/>
      </c>
      <c r="G46" s="35" t="str">
        <f>IFERROR(INDEX(PRENOTAZIONI!$H:$H,SMALL(PRENOTAZIONI!$S:$S,43)),"")</f>
        <v/>
      </c>
      <c r="H46" s="35" t="str">
        <f t="shared" si="12"/>
        <v/>
      </c>
      <c r="I46" s="35" t="str">
        <f t="shared" ref="I46:I63" si="17">IF(G46="","",IF(NOT(ISERROR(SEARCH("diretta",F46))),0,IF(NOT(ISERROR(SEARCH("booking",F46))),G46*0.15,IF(NOT(ISERROR(SEARCH("airbnb",F46))),G46*0.155,""))))</f>
        <v/>
      </c>
      <c r="J46" s="149" t="str">
        <f t="shared" si="16"/>
        <v/>
      </c>
      <c r="K46" s="34" t="str">
        <f>IFERROR(INDEX(PRENOTAZIONI!$K:$K,SMALL(PRENOTAZIONI!$S:$S,43)),"")</f>
        <v/>
      </c>
      <c r="L46" s="35" t="str">
        <f>IFERROR(INDEX(PRENOTAZIONI!$L:$L,SMALL(PRENOTAZIONI!$S:$S,43)),"")</f>
        <v/>
      </c>
      <c r="M46" s="150" t="str">
        <f t="shared" si="13"/>
        <v/>
      </c>
      <c r="N46" s="35" t="str">
        <f t="shared" si="14"/>
        <v/>
      </c>
      <c r="O46" s="35"/>
      <c r="P46" s="43"/>
      <c r="Q46" s="150" t="str">
        <f t="shared" si="15"/>
        <v/>
      </c>
      <c r="R46" s="89" t="str">
        <f>IFERROR(INDEX(PRENOTAZIONI!$R:$R,SMALL(PRENOTAZIONI!$S:$S,43)),"")</f>
        <v/>
      </c>
      <c r="S46" s="77"/>
    </row>
    <row r="47" spans="1:30" ht="22" customHeight="1" x14ac:dyDescent="0.25">
      <c r="A47" s="31" t="str">
        <f>IFERROR(INDEX(PRENOTAZIONI!$A:$A,SMALL(PRENOTAZIONI!$S:$S,44)),"")</f>
        <v/>
      </c>
      <c r="B47" s="31" t="str">
        <f>IFERROR(INDEX(PRENOTAZIONI!$B:$B,SMALL(PRENOTAZIONI!$S:$S,44)),"")</f>
        <v/>
      </c>
      <c r="C47" s="32" t="str">
        <f t="shared" si="11"/>
        <v/>
      </c>
      <c r="D47" s="34" t="str">
        <f>IFERROR(INDEX(PRENOTAZIONI!$E:$E,SMALL(PRENOTAZIONI!$S:$S,44)),"")</f>
        <v/>
      </c>
      <c r="E47" s="34" t="str">
        <f>IFERROR(INDEX(PRENOTAZIONI!$F:$F,SMALL(PRENOTAZIONI!$S:$S,44)),"")</f>
        <v/>
      </c>
      <c r="F47" s="34" t="str">
        <f>IFERROR(INDEX(PRENOTAZIONI!$G:$G,SMALL(PRENOTAZIONI!$S:$S,44)),"")</f>
        <v/>
      </c>
      <c r="G47" s="35" t="str">
        <f>IFERROR(INDEX(PRENOTAZIONI!$H:$H,SMALL(PRENOTAZIONI!$S:$S,44)),"")</f>
        <v/>
      </c>
      <c r="H47" s="35" t="str">
        <f t="shared" si="12"/>
        <v/>
      </c>
      <c r="I47" s="35" t="str">
        <f t="shared" si="17"/>
        <v/>
      </c>
      <c r="J47" s="149" t="str">
        <f t="shared" si="16"/>
        <v/>
      </c>
      <c r="K47" s="34" t="str">
        <f>IFERROR(INDEX(PRENOTAZIONI!$K:$K,SMALL(PRENOTAZIONI!$S:$S,44)),"")</f>
        <v/>
      </c>
      <c r="L47" s="35" t="str">
        <f>IFERROR(INDEX(PRENOTAZIONI!$L:$L,SMALL(PRENOTAZIONI!$S:$S,44)),"")</f>
        <v/>
      </c>
      <c r="M47" s="150" t="str">
        <f t="shared" si="13"/>
        <v/>
      </c>
      <c r="N47" s="35" t="str">
        <f t="shared" si="14"/>
        <v/>
      </c>
      <c r="O47" s="35"/>
      <c r="P47" s="43"/>
      <c r="Q47" s="150" t="str">
        <f t="shared" si="15"/>
        <v/>
      </c>
      <c r="R47" s="89" t="str">
        <f>IFERROR(INDEX(PRENOTAZIONI!$R:$R,SMALL(PRENOTAZIONI!$S:$S,44)),"")</f>
        <v/>
      </c>
      <c r="S47" s="77"/>
    </row>
    <row r="48" spans="1:30" ht="22" customHeight="1" x14ac:dyDescent="0.25">
      <c r="A48" s="31" t="str">
        <f>IFERROR(INDEX(PRENOTAZIONI!$A:$A,SMALL(PRENOTAZIONI!$S:$S,45)),"")</f>
        <v/>
      </c>
      <c r="B48" s="31" t="str">
        <f>IFERROR(INDEX(PRENOTAZIONI!$B:$B,SMALL(PRENOTAZIONI!$S:$S,45)),"")</f>
        <v/>
      </c>
      <c r="C48" s="32" t="str">
        <f t="shared" si="11"/>
        <v/>
      </c>
      <c r="D48" s="34" t="str">
        <f>IFERROR(INDEX(PRENOTAZIONI!$E:$E,SMALL(PRENOTAZIONI!$S:$S,45)),"")</f>
        <v/>
      </c>
      <c r="E48" s="34" t="str">
        <f>IFERROR(INDEX(PRENOTAZIONI!$F:$F,SMALL(PRENOTAZIONI!$S:$S,45)),"")</f>
        <v/>
      </c>
      <c r="F48" s="34" t="str">
        <f>IFERROR(INDEX(PRENOTAZIONI!$G:$G,SMALL(PRENOTAZIONI!$S:$S,45)),"")</f>
        <v/>
      </c>
      <c r="G48" s="35" t="str">
        <f>IFERROR(INDEX(PRENOTAZIONI!$H:$H,SMALL(PRENOTAZIONI!$S:$S,45)),"")</f>
        <v/>
      </c>
      <c r="H48" s="35" t="str">
        <f t="shared" si="12"/>
        <v/>
      </c>
      <c r="I48" s="35" t="str">
        <f t="shared" si="17"/>
        <v/>
      </c>
      <c r="J48" s="149" t="str">
        <f t="shared" si="16"/>
        <v/>
      </c>
      <c r="K48" s="34" t="str">
        <f>IFERROR(INDEX(PRENOTAZIONI!$K:$K,SMALL(PRENOTAZIONI!$S:$S,45)),"")</f>
        <v/>
      </c>
      <c r="L48" s="35" t="str">
        <f>IFERROR(INDEX(PRENOTAZIONI!$L:$L,SMALL(PRENOTAZIONI!$S:$S,45)),"")</f>
        <v/>
      </c>
      <c r="M48" s="150" t="str">
        <f t="shared" si="13"/>
        <v/>
      </c>
      <c r="N48" s="35" t="str">
        <f t="shared" si="14"/>
        <v/>
      </c>
      <c r="O48" s="35"/>
      <c r="P48" s="43"/>
      <c r="Q48" s="150" t="str">
        <f t="shared" si="15"/>
        <v/>
      </c>
      <c r="R48" s="89" t="str">
        <f>IFERROR(INDEX(PRENOTAZIONI!$R:$R,SMALL(PRENOTAZIONI!$S:$S,45)),"")</f>
        <v/>
      </c>
      <c r="S48" s="77"/>
    </row>
    <row r="49" spans="1:19" ht="22" customHeight="1" x14ac:dyDescent="0.25">
      <c r="A49" s="31" t="str">
        <f>IFERROR(INDEX(PRENOTAZIONI!$A:$A,SMALL(PRENOTAZIONI!$S:$S,46)),"")</f>
        <v/>
      </c>
      <c r="B49" s="31" t="str">
        <f>IFERROR(INDEX(PRENOTAZIONI!$B:$B,SMALL(PRENOTAZIONI!$S:$S,46)),"")</f>
        <v/>
      </c>
      <c r="C49" s="32" t="str">
        <f t="shared" si="11"/>
        <v/>
      </c>
      <c r="D49" s="34" t="str">
        <f>IFERROR(INDEX(PRENOTAZIONI!$E:$E,SMALL(PRENOTAZIONI!$S:$S,46)),"")</f>
        <v/>
      </c>
      <c r="E49" s="34" t="str">
        <f>IFERROR(INDEX(PRENOTAZIONI!$F:$F,SMALL(PRENOTAZIONI!$S:$S,46)),"")</f>
        <v/>
      </c>
      <c r="F49" s="34" t="str">
        <f>IFERROR(INDEX(PRENOTAZIONI!$G:$G,SMALL(PRENOTAZIONI!$S:$S,46)),"")</f>
        <v/>
      </c>
      <c r="G49" s="35" t="str">
        <f>IFERROR(INDEX(PRENOTAZIONI!$H:$H,SMALL(PRENOTAZIONI!$S:$S,46)),"")</f>
        <v/>
      </c>
      <c r="H49" s="35" t="str">
        <f t="shared" si="12"/>
        <v/>
      </c>
      <c r="I49" s="35" t="str">
        <f t="shared" si="17"/>
        <v/>
      </c>
      <c r="J49" s="149" t="str">
        <f t="shared" si="16"/>
        <v/>
      </c>
      <c r="K49" s="34" t="str">
        <f>IFERROR(INDEX(PRENOTAZIONI!$K:$K,SMALL(PRENOTAZIONI!$S:$S,46)),"")</f>
        <v/>
      </c>
      <c r="L49" s="35" t="str">
        <f>IFERROR(INDEX(PRENOTAZIONI!$L:$L,SMALL(PRENOTAZIONI!$S:$S,46)),"")</f>
        <v/>
      </c>
      <c r="M49" s="150" t="str">
        <f t="shared" si="13"/>
        <v/>
      </c>
      <c r="N49" s="35" t="str">
        <f t="shared" si="14"/>
        <v/>
      </c>
      <c r="O49" s="35"/>
      <c r="P49" s="43"/>
      <c r="Q49" s="150" t="str">
        <f t="shared" si="15"/>
        <v/>
      </c>
      <c r="R49" s="89" t="str">
        <f>IFERROR(INDEX(PRENOTAZIONI!$R:$R,SMALL(PRENOTAZIONI!$S:$S,46)),"")</f>
        <v/>
      </c>
      <c r="S49" s="77"/>
    </row>
    <row r="50" spans="1:19" ht="22" customHeight="1" x14ac:dyDescent="0.25">
      <c r="A50" s="31" t="str">
        <f>IFERROR(INDEX(PRENOTAZIONI!$A:$A,SMALL(PRENOTAZIONI!$S:$S,47)),"")</f>
        <v/>
      </c>
      <c r="B50" s="31" t="str">
        <f>IFERROR(INDEX(PRENOTAZIONI!$B:$B,SMALL(PRENOTAZIONI!$S:$S,47)),"")</f>
        <v/>
      </c>
      <c r="C50" s="32" t="str">
        <f t="shared" si="11"/>
        <v/>
      </c>
      <c r="D50" s="34" t="str">
        <f>IFERROR(INDEX(PRENOTAZIONI!$E:$E,SMALL(PRENOTAZIONI!$S:$S,47)),"")</f>
        <v/>
      </c>
      <c r="E50" s="34" t="str">
        <f>IFERROR(INDEX(PRENOTAZIONI!$F:$F,SMALL(PRENOTAZIONI!$S:$S,47)),"")</f>
        <v/>
      </c>
      <c r="F50" s="34" t="str">
        <f>IFERROR(INDEX(PRENOTAZIONI!$G:$G,SMALL(PRENOTAZIONI!$S:$S,47)),"")</f>
        <v/>
      </c>
      <c r="G50" s="35" t="str">
        <f>IFERROR(INDEX(PRENOTAZIONI!$H:$H,SMALL(PRENOTAZIONI!$S:$S,47)),"")</f>
        <v/>
      </c>
      <c r="H50" s="35" t="str">
        <f t="shared" si="12"/>
        <v/>
      </c>
      <c r="I50" s="35" t="str">
        <f t="shared" si="17"/>
        <v/>
      </c>
      <c r="J50" s="149" t="str">
        <f t="shared" si="16"/>
        <v/>
      </c>
      <c r="K50" s="34" t="str">
        <f>IFERROR(INDEX(PRENOTAZIONI!$K:$K,SMALL(PRENOTAZIONI!$S:$S,47)),"")</f>
        <v/>
      </c>
      <c r="L50" s="35" t="str">
        <f>IFERROR(INDEX(PRENOTAZIONI!$L:$L,SMALL(PRENOTAZIONI!$S:$S,47)),"")</f>
        <v/>
      </c>
      <c r="M50" s="150" t="str">
        <f t="shared" si="13"/>
        <v/>
      </c>
      <c r="N50" s="35" t="str">
        <f t="shared" si="14"/>
        <v/>
      </c>
      <c r="O50" s="35"/>
      <c r="P50" s="43"/>
      <c r="Q50" s="150" t="str">
        <f t="shared" si="15"/>
        <v/>
      </c>
      <c r="R50" s="89" t="str">
        <f>IFERROR(INDEX(PRENOTAZIONI!$R:$R,SMALL(PRENOTAZIONI!$S:$S,47)),"")</f>
        <v/>
      </c>
      <c r="S50" s="77"/>
    </row>
    <row r="51" spans="1:19" ht="22" customHeight="1" x14ac:dyDescent="0.25">
      <c r="A51" s="31" t="str">
        <f>IFERROR(INDEX(PRENOTAZIONI!$A:$A,SMALL(PRENOTAZIONI!$S:$S,48)),"")</f>
        <v/>
      </c>
      <c r="B51" s="31" t="str">
        <f>IFERROR(INDEX(PRENOTAZIONI!$B:$B,SMALL(PRENOTAZIONI!$S:$S,48)),"")</f>
        <v/>
      </c>
      <c r="C51" s="32" t="str">
        <f t="shared" si="11"/>
        <v/>
      </c>
      <c r="D51" s="34" t="str">
        <f>IFERROR(INDEX(PRENOTAZIONI!$E:$E,SMALL(PRENOTAZIONI!$S:$S,48)),"")</f>
        <v/>
      </c>
      <c r="E51" s="34" t="str">
        <f>IFERROR(INDEX(PRENOTAZIONI!$F:$F,SMALL(PRENOTAZIONI!$S:$S,48)),"")</f>
        <v/>
      </c>
      <c r="F51" s="34" t="str">
        <f>IFERROR(INDEX(PRENOTAZIONI!$G:$G,SMALL(PRENOTAZIONI!$S:$S,48)),"")</f>
        <v/>
      </c>
      <c r="G51" s="35" t="str">
        <f>IFERROR(INDEX(PRENOTAZIONI!$H:$H,SMALL(PRENOTAZIONI!$S:$S,48)),"")</f>
        <v/>
      </c>
      <c r="H51" s="35" t="str">
        <f t="shared" si="12"/>
        <v/>
      </c>
      <c r="I51" s="35" t="str">
        <f t="shared" si="17"/>
        <v/>
      </c>
      <c r="J51" s="149" t="str">
        <f t="shared" si="16"/>
        <v/>
      </c>
      <c r="K51" s="34" t="str">
        <f>IFERROR(INDEX(PRENOTAZIONI!$K:$K,SMALL(PRENOTAZIONI!$S:$S,48)),"")</f>
        <v/>
      </c>
      <c r="L51" s="35" t="str">
        <f>IFERROR(INDEX(PRENOTAZIONI!$L:$L,SMALL(PRENOTAZIONI!$S:$S,48)),"")</f>
        <v/>
      </c>
      <c r="M51" s="150" t="str">
        <f t="shared" si="13"/>
        <v/>
      </c>
      <c r="N51" s="35" t="str">
        <f t="shared" si="14"/>
        <v/>
      </c>
      <c r="O51" s="35"/>
      <c r="P51" s="43"/>
      <c r="Q51" s="150" t="str">
        <f t="shared" si="15"/>
        <v/>
      </c>
      <c r="R51" s="89" t="str">
        <f>IFERROR(INDEX(PRENOTAZIONI!$R:$R,SMALL(PRENOTAZIONI!$S:$S,48)),"")</f>
        <v/>
      </c>
      <c r="S51" s="77"/>
    </row>
    <row r="52" spans="1:19" ht="22" customHeight="1" x14ac:dyDescent="0.25">
      <c r="A52" s="31" t="str">
        <f>IFERROR(INDEX(PRENOTAZIONI!$A:$A,SMALL(PRENOTAZIONI!$S:$S,49)),"")</f>
        <v/>
      </c>
      <c r="B52" s="31" t="str">
        <f>IFERROR(INDEX(PRENOTAZIONI!$B:$B,SMALL(PRENOTAZIONI!$S:$S,49)),"")</f>
        <v/>
      </c>
      <c r="C52" s="32" t="str">
        <f t="shared" si="11"/>
        <v/>
      </c>
      <c r="D52" s="34" t="str">
        <f>IFERROR(INDEX(PRENOTAZIONI!$E:$E,SMALL(PRENOTAZIONI!$S:$S,49)),"")</f>
        <v/>
      </c>
      <c r="E52" s="34" t="str">
        <f>IFERROR(INDEX(PRENOTAZIONI!$F:$F,SMALL(PRENOTAZIONI!$S:$S,49)),"")</f>
        <v/>
      </c>
      <c r="F52" s="34" t="str">
        <f>IFERROR(INDEX(PRENOTAZIONI!$G:$G,SMALL(PRENOTAZIONI!$S:$S,49)),"")</f>
        <v/>
      </c>
      <c r="G52" s="35" t="str">
        <f>IFERROR(INDEX(PRENOTAZIONI!$H:$H,SMALL(PRENOTAZIONI!$S:$S,49)),"")</f>
        <v/>
      </c>
      <c r="H52" s="35" t="str">
        <f t="shared" si="12"/>
        <v/>
      </c>
      <c r="I52" s="35" t="str">
        <f t="shared" si="17"/>
        <v/>
      </c>
      <c r="J52" s="149" t="str">
        <f t="shared" si="16"/>
        <v/>
      </c>
      <c r="K52" s="34" t="str">
        <f>IFERROR(INDEX(PRENOTAZIONI!$K:$K,SMALL(PRENOTAZIONI!$S:$S,49)),"")</f>
        <v/>
      </c>
      <c r="L52" s="35" t="str">
        <f>IFERROR(INDEX(PRENOTAZIONI!$L:$L,SMALL(PRENOTAZIONI!$S:$S,49)),"")</f>
        <v/>
      </c>
      <c r="M52" s="150" t="str">
        <f t="shared" si="13"/>
        <v/>
      </c>
      <c r="N52" s="35" t="str">
        <f t="shared" si="14"/>
        <v/>
      </c>
      <c r="O52" s="35"/>
      <c r="P52" s="43"/>
      <c r="Q52" s="150" t="str">
        <f t="shared" si="15"/>
        <v/>
      </c>
      <c r="R52" s="89" t="str">
        <f>IFERROR(INDEX(PRENOTAZIONI!$R:$R,SMALL(PRENOTAZIONI!$S:$S,49)),"")</f>
        <v/>
      </c>
      <c r="S52" s="77"/>
    </row>
    <row r="53" spans="1:19" ht="22" customHeight="1" x14ac:dyDescent="0.25">
      <c r="A53" s="31" t="str">
        <f>IFERROR(INDEX(PRENOTAZIONI!$A:$A,SMALL(PRENOTAZIONI!$S:$S,50)),"")</f>
        <v/>
      </c>
      <c r="B53" s="31" t="str">
        <f>IFERROR(INDEX(PRENOTAZIONI!$B:$B,SMALL(PRENOTAZIONI!$S:$S,50)),"")</f>
        <v/>
      </c>
      <c r="C53" s="32" t="str">
        <f t="shared" si="11"/>
        <v/>
      </c>
      <c r="D53" s="34" t="str">
        <f>IFERROR(INDEX(PRENOTAZIONI!$E:$E,SMALL(PRENOTAZIONI!$S:$S,50)),"")</f>
        <v/>
      </c>
      <c r="E53" s="34" t="str">
        <f>IFERROR(INDEX(PRENOTAZIONI!$F:$F,SMALL(PRENOTAZIONI!$S:$S,50)),"")</f>
        <v/>
      </c>
      <c r="F53" s="34" t="str">
        <f>IFERROR(INDEX(PRENOTAZIONI!$G:$G,SMALL(PRENOTAZIONI!$S:$S,50)),"")</f>
        <v/>
      </c>
      <c r="G53" s="35" t="str">
        <f>IFERROR(INDEX(PRENOTAZIONI!$H:$H,SMALL(PRENOTAZIONI!$S:$S,50)),"")</f>
        <v/>
      </c>
      <c r="H53" s="35" t="str">
        <f t="shared" si="12"/>
        <v/>
      </c>
      <c r="I53" s="35" t="str">
        <f t="shared" si="17"/>
        <v/>
      </c>
      <c r="J53" s="149" t="str">
        <f t="shared" si="16"/>
        <v/>
      </c>
      <c r="K53" s="34" t="str">
        <f>IFERROR(INDEX(PRENOTAZIONI!$K:$K,SMALL(PRENOTAZIONI!$S:$S,50)),"")</f>
        <v/>
      </c>
      <c r="L53" s="35" t="str">
        <f>IFERROR(INDEX(PRENOTAZIONI!$L:$L,SMALL(PRENOTAZIONI!$S:$S,50)),"")</f>
        <v/>
      </c>
      <c r="M53" s="150" t="str">
        <f t="shared" si="13"/>
        <v/>
      </c>
      <c r="N53" s="35" t="str">
        <f t="shared" si="14"/>
        <v/>
      </c>
      <c r="O53" s="35"/>
      <c r="P53" s="43"/>
      <c r="Q53" s="150" t="str">
        <f t="shared" si="15"/>
        <v/>
      </c>
      <c r="R53" s="89" t="str">
        <f>IFERROR(INDEX(PRENOTAZIONI!$R:$R,SMALL(PRENOTAZIONI!$S:$S,50)),"")</f>
        <v/>
      </c>
      <c r="S53" s="77"/>
    </row>
    <row r="54" spans="1:19" ht="22" customHeight="1" x14ac:dyDescent="0.25">
      <c r="A54" s="31" t="str">
        <f>IFERROR(INDEX(PRENOTAZIONI!$A:$A,SMALL(PRENOTAZIONI!$S:$S,51)),"")</f>
        <v/>
      </c>
      <c r="B54" s="31" t="str">
        <f>IFERROR(INDEX(PRENOTAZIONI!$B:$B,SMALL(PRENOTAZIONI!$S:$S,51)),"")</f>
        <v/>
      </c>
      <c r="C54" s="32" t="str">
        <f t="shared" si="11"/>
        <v/>
      </c>
      <c r="D54" s="34" t="str">
        <f>IFERROR(INDEX(PRENOTAZIONI!$E:$E,SMALL(PRENOTAZIONI!$S:$S,51)),"")</f>
        <v/>
      </c>
      <c r="E54" s="34" t="str">
        <f>IFERROR(INDEX(PRENOTAZIONI!$F:$F,SMALL(PRENOTAZIONI!$S:$S,51)),"")</f>
        <v/>
      </c>
      <c r="F54" s="34" t="str">
        <f>IFERROR(INDEX(PRENOTAZIONI!$G:$G,SMALL(PRENOTAZIONI!$S:$S,51)),"")</f>
        <v/>
      </c>
      <c r="G54" s="35" t="str">
        <f>IFERROR(INDEX(PRENOTAZIONI!$H:$H,SMALL(PRENOTAZIONI!$S:$S,51)),"")</f>
        <v/>
      </c>
      <c r="H54" s="35" t="str">
        <f t="shared" si="12"/>
        <v/>
      </c>
      <c r="I54" s="35" t="str">
        <f t="shared" si="17"/>
        <v/>
      </c>
      <c r="J54" s="149" t="str">
        <f t="shared" si="16"/>
        <v/>
      </c>
      <c r="K54" s="34" t="str">
        <f>IFERROR(INDEX(PRENOTAZIONI!$K:$K,SMALL(PRENOTAZIONI!$S:$S,51)),"")</f>
        <v/>
      </c>
      <c r="L54" s="35" t="str">
        <f>IFERROR(INDEX(PRENOTAZIONI!$L:$L,SMALL(PRENOTAZIONI!$S:$S,51)),"")</f>
        <v/>
      </c>
      <c r="M54" s="150" t="str">
        <f t="shared" si="13"/>
        <v/>
      </c>
      <c r="N54" s="35" t="str">
        <f t="shared" si="14"/>
        <v/>
      </c>
      <c r="O54" s="35"/>
      <c r="P54" s="43"/>
      <c r="Q54" s="150" t="str">
        <f t="shared" si="15"/>
        <v/>
      </c>
      <c r="R54" s="89" t="str">
        <f>IFERROR(INDEX(PRENOTAZIONI!$R:$R,SMALL(PRENOTAZIONI!$S:$S,51)),"")</f>
        <v/>
      </c>
      <c r="S54" s="77"/>
    </row>
    <row r="55" spans="1:19" ht="22" customHeight="1" x14ac:dyDescent="0.25">
      <c r="A55" s="31" t="str">
        <f>IFERROR(INDEX(PRENOTAZIONI!$A:$A,SMALL(PRENOTAZIONI!$S:$S,52)),"")</f>
        <v/>
      </c>
      <c r="B55" s="31" t="str">
        <f>IFERROR(INDEX(PRENOTAZIONI!$B:$B,SMALL(PRENOTAZIONI!$S:$S,52)),"")</f>
        <v/>
      </c>
      <c r="C55" s="32" t="str">
        <f t="shared" si="11"/>
        <v/>
      </c>
      <c r="D55" s="34" t="str">
        <f>IFERROR(INDEX(PRENOTAZIONI!$E:$E,SMALL(PRENOTAZIONI!$S:$S,52)),"")</f>
        <v/>
      </c>
      <c r="E55" s="34" t="str">
        <f>IFERROR(INDEX(PRENOTAZIONI!$F:$F,SMALL(PRENOTAZIONI!$S:$S,52)),"")</f>
        <v/>
      </c>
      <c r="F55" s="34" t="str">
        <f>IFERROR(INDEX(PRENOTAZIONI!$G:$G,SMALL(PRENOTAZIONI!$S:$S,52)),"")</f>
        <v/>
      </c>
      <c r="G55" s="35" t="str">
        <f>IFERROR(INDEX(PRENOTAZIONI!$H:$H,SMALL(PRENOTAZIONI!$S:$S,52)),"")</f>
        <v/>
      </c>
      <c r="H55" s="35" t="str">
        <f t="shared" si="12"/>
        <v/>
      </c>
      <c r="I55" s="35" t="str">
        <f t="shared" si="17"/>
        <v/>
      </c>
      <c r="J55" s="149" t="str">
        <f t="shared" si="16"/>
        <v/>
      </c>
      <c r="K55" s="34" t="str">
        <f>IFERROR(INDEX(PRENOTAZIONI!$K:$K,SMALL(PRENOTAZIONI!$S:$S,52)),"")</f>
        <v/>
      </c>
      <c r="L55" s="35" t="str">
        <f>IFERROR(INDEX(PRENOTAZIONI!$L:$L,SMALL(PRENOTAZIONI!$S:$S,52)),"")</f>
        <v/>
      </c>
      <c r="M55" s="150" t="str">
        <f t="shared" si="13"/>
        <v/>
      </c>
      <c r="N55" s="35" t="str">
        <f t="shared" si="14"/>
        <v/>
      </c>
      <c r="O55" s="35"/>
      <c r="P55" s="43"/>
      <c r="Q55" s="150" t="str">
        <f t="shared" si="15"/>
        <v/>
      </c>
      <c r="R55" s="89" t="str">
        <f>IFERROR(INDEX(PRENOTAZIONI!$R:$R,SMALL(PRENOTAZIONI!$S:$S,52)),"")</f>
        <v/>
      </c>
      <c r="S55" s="77"/>
    </row>
    <row r="56" spans="1:19" ht="22" customHeight="1" x14ac:dyDescent="0.25">
      <c r="A56" s="31" t="str">
        <f>IFERROR(INDEX(PRENOTAZIONI!$A:$A,SMALL(PRENOTAZIONI!$S:$S,53)),"")</f>
        <v/>
      </c>
      <c r="B56" s="31" t="str">
        <f>IFERROR(INDEX(PRENOTAZIONI!$B:$B,SMALL(PRENOTAZIONI!$S:$S,53)),"")</f>
        <v/>
      </c>
      <c r="C56" s="32" t="str">
        <f t="shared" si="11"/>
        <v/>
      </c>
      <c r="D56" s="34" t="str">
        <f>IFERROR(INDEX(PRENOTAZIONI!$E:$E,SMALL(PRENOTAZIONI!$S:$S,53)),"")</f>
        <v/>
      </c>
      <c r="E56" s="34" t="str">
        <f>IFERROR(INDEX(PRENOTAZIONI!$F:$F,SMALL(PRENOTAZIONI!$S:$S,53)),"")</f>
        <v/>
      </c>
      <c r="F56" s="34" t="str">
        <f>IFERROR(INDEX(PRENOTAZIONI!$G:$G,SMALL(PRENOTAZIONI!$S:$S,53)),"")</f>
        <v/>
      </c>
      <c r="G56" s="35" t="str">
        <f>IFERROR(INDEX(PRENOTAZIONI!$H:$H,SMALL(PRENOTAZIONI!$S:$S,53)),"")</f>
        <v/>
      </c>
      <c r="H56" s="35" t="str">
        <f t="shared" si="12"/>
        <v/>
      </c>
      <c r="I56" s="35" t="str">
        <f t="shared" si="17"/>
        <v/>
      </c>
      <c r="J56" s="149" t="str">
        <f t="shared" si="16"/>
        <v/>
      </c>
      <c r="K56" s="34" t="str">
        <f>IFERROR(INDEX(PRENOTAZIONI!$K:$K,SMALL(PRENOTAZIONI!$S:$S,53)),"")</f>
        <v/>
      </c>
      <c r="L56" s="35" t="str">
        <f>IFERROR(INDEX(PRENOTAZIONI!$L:$L,SMALL(PRENOTAZIONI!$S:$S,53)),"")</f>
        <v/>
      </c>
      <c r="M56" s="150" t="str">
        <f t="shared" si="13"/>
        <v/>
      </c>
      <c r="N56" s="35" t="str">
        <f t="shared" si="14"/>
        <v/>
      </c>
      <c r="O56" s="35"/>
      <c r="P56" s="43"/>
      <c r="Q56" s="150" t="str">
        <f t="shared" si="15"/>
        <v/>
      </c>
      <c r="R56" s="89" t="str">
        <f>IFERROR(INDEX(PRENOTAZIONI!$R:$R,SMALL(PRENOTAZIONI!$S:$S,53)),"")</f>
        <v/>
      </c>
      <c r="S56" s="77"/>
    </row>
    <row r="57" spans="1:19" ht="22" customHeight="1" x14ac:dyDescent="0.25">
      <c r="A57" s="31" t="str">
        <f>IFERROR(INDEX(PRENOTAZIONI!$A:$A,SMALL(PRENOTAZIONI!$S:$S,54)),"")</f>
        <v/>
      </c>
      <c r="B57" s="31" t="str">
        <f>IFERROR(INDEX(PRENOTAZIONI!$B:$B,SMALL(PRENOTAZIONI!$S:$S,54)),"")</f>
        <v/>
      </c>
      <c r="C57" s="32" t="str">
        <f t="shared" si="11"/>
        <v/>
      </c>
      <c r="D57" s="34" t="str">
        <f>IFERROR(INDEX(PRENOTAZIONI!$E:$E,SMALL(PRENOTAZIONI!$S:$S,54)),"")</f>
        <v/>
      </c>
      <c r="E57" s="34" t="str">
        <f>IFERROR(INDEX(PRENOTAZIONI!$F:$F,SMALL(PRENOTAZIONI!$S:$S,54)),"")</f>
        <v/>
      </c>
      <c r="F57" s="34" t="str">
        <f>IFERROR(INDEX(PRENOTAZIONI!$G:$G,SMALL(PRENOTAZIONI!$S:$S,54)),"")</f>
        <v/>
      </c>
      <c r="G57" s="35" t="str">
        <f>IFERROR(INDEX(PRENOTAZIONI!$H:$H,SMALL(PRENOTAZIONI!$S:$S,54)),"")</f>
        <v/>
      </c>
      <c r="H57" s="35" t="str">
        <f t="shared" si="12"/>
        <v/>
      </c>
      <c r="I57" s="35" t="str">
        <f t="shared" si="17"/>
        <v/>
      </c>
      <c r="J57" s="149" t="str">
        <f t="shared" si="16"/>
        <v/>
      </c>
      <c r="K57" s="34" t="str">
        <f>IFERROR(INDEX(PRENOTAZIONI!$K:$K,SMALL(PRENOTAZIONI!$S:$S,54)),"")</f>
        <v/>
      </c>
      <c r="L57" s="35" t="str">
        <f>IFERROR(INDEX(PRENOTAZIONI!$L:$L,SMALL(PRENOTAZIONI!$S:$S,54)),"")</f>
        <v/>
      </c>
      <c r="M57" s="150" t="str">
        <f t="shared" si="13"/>
        <v/>
      </c>
      <c r="N57" s="35" t="str">
        <f t="shared" si="14"/>
        <v/>
      </c>
      <c r="O57" s="35"/>
      <c r="P57" s="43"/>
      <c r="Q57" s="150" t="str">
        <f t="shared" si="15"/>
        <v/>
      </c>
      <c r="R57" s="89" t="str">
        <f>IFERROR(INDEX(PRENOTAZIONI!$R:$R,SMALL(PRENOTAZIONI!$S:$S,54)),"")</f>
        <v/>
      </c>
      <c r="S57" s="77"/>
    </row>
    <row r="58" spans="1:19" ht="22" customHeight="1" x14ac:dyDescent="0.25">
      <c r="A58" s="31" t="str">
        <f>IFERROR(INDEX(PRENOTAZIONI!$A:$A,SMALL(PRENOTAZIONI!$S:$S,55)),"")</f>
        <v/>
      </c>
      <c r="B58" s="31" t="str">
        <f>IFERROR(INDEX(PRENOTAZIONI!$B:$B,SMALL(PRENOTAZIONI!$S:$S,55)),"")</f>
        <v/>
      </c>
      <c r="C58" s="32" t="str">
        <f t="shared" si="11"/>
        <v/>
      </c>
      <c r="D58" s="34" t="str">
        <f>IFERROR(INDEX(PRENOTAZIONI!$E:$E,SMALL(PRENOTAZIONI!$S:$S,55)),"")</f>
        <v/>
      </c>
      <c r="E58" s="34" t="str">
        <f>IFERROR(INDEX(PRENOTAZIONI!$F:$F,SMALL(PRENOTAZIONI!$S:$S,55)),"")</f>
        <v/>
      </c>
      <c r="F58" s="34" t="str">
        <f>IFERROR(INDEX(PRENOTAZIONI!$G:$G,SMALL(PRENOTAZIONI!$S:$S,55)),"")</f>
        <v/>
      </c>
      <c r="G58" s="35" t="str">
        <f>IFERROR(INDEX(PRENOTAZIONI!$H:$H,SMALL(PRENOTAZIONI!$S:$S,55)),"")</f>
        <v/>
      </c>
      <c r="H58" s="35" t="str">
        <f t="shared" si="12"/>
        <v/>
      </c>
      <c r="I58" s="35" t="str">
        <f t="shared" si="17"/>
        <v/>
      </c>
      <c r="J58" s="149" t="str">
        <f t="shared" si="16"/>
        <v/>
      </c>
      <c r="K58" s="34" t="str">
        <f>IFERROR(INDEX(PRENOTAZIONI!$K:$K,SMALL(PRENOTAZIONI!$S:$S,55)),"")</f>
        <v/>
      </c>
      <c r="L58" s="35" t="str">
        <f>IFERROR(INDEX(PRENOTAZIONI!$L:$L,SMALL(PRENOTAZIONI!$S:$S,55)),"")</f>
        <v/>
      </c>
      <c r="M58" s="150" t="str">
        <f t="shared" si="13"/>
        <v/>
      </c>
      <c r="N58" s="35" t="str">
        <f t="shared" si="14"/>
        <v/>
      </c>
      <c r="O58" s="35"/>
      <c r="P58" s="43"/>
      <c r="Q58" s="150" t="str">
        <f t="shared" si="15"/>
        <v/>
      </c>
      <c r="R58" s="89" t="str">
        <f>IFERROR(INDEX(PRENOTAZIONI!$R:$R,SMALL(PRENOTAZIONI!$S:$S,55)),"")</f>
        <v/>
      </c>
      <c r="S58" s="77"/>
    </row>
    <row r="59" spans="1:19" ht="22" customHeight="1" x14ac:dyDescent="0.25">
      <c r="A59" s="31" t="str">
        <f>IFERROR(INDEX(PRENOTAZIONI!$A:$A,SMALL(PRENOTAZIONI!$S:$S,56)),"")</f>
        <v/>
      </c>
      <c r="B59" s="31" t="str">
        <f>IFERROR(INDEX(PRENOTAZIONI!$B:$B,SMALL(PRENOTAZIONI!$S:$S,56)),"")</f>
        <v/>
      </c>
      <c r="C59" s="32" t="str">
        <f t="shared" si="11"/>
        <v/>
      </c>
      <c r="D59" s="34" t="str">
        <f>IFERROR(INDEX(PRENOTAZIONI!$E:$E,SMALL(PRENOTAZIONI!$S:$S,56)),"")</f>
        <v/>
      </c>
      <c r="E59" s="34" t="str">
        <f>IFERROR(INDEX(PRENOTAZIONI!$F:$F,SMALL(PRENOTAZIONI!$S:$S,56)),"")</f>
        <v/>
      </c>
      <c r="F59" s="34" t="str">
        <f>IFERROR(INDEX(PRENOTAZIONI!$G:$G,SMALL(PRENOTAZIONI!$S:$S,56)),"")</f>
        <v/>
      </c>
      <c r="G59" s="35" t="str">
        <f>IFERROR(INDEX(PRENOTAZIONI!$H:$H,SMALL(PRENOTAZIONI!$S:$S,56)),"")</f>
        <v/>
      </c>
      <c r="H59" s="35" t="str">
        <f t="shared" si="12"/>
        <v/>
      </c>
      <c r="I59" s="35" t="str">
        <f t="shared" si="17"/>
        <v/>
      </c>
      <c r="J59" s="149" t="str">
        <f t="shared" si="16"/>
        <v/>
      </c>
      <c r="K59" s="34" t="str">
        <f>IFERROR(INDEX(PRENOTAZIONI!$K:$K,SMALL(PRENOTAZIONI!$S:$S,56)),"")</f>
        <v/>
      </c>
      <c r="L59" s="35" t="str">
        <f>IFERROR(INDEX(PRENOTAZIONI!$L:$L,SMALL(PRENOTAZIONI!$S:$S,56)),"")</f>
        <v/>
      </c>
      <c r="M59" s="150" t="str">
        <f t="shared" si="13"/>
        <v/>
      </c>
      <c r="N59" s="35" t="str">
        <f t="shared" si="14"/>
        <v/>
      </c>
      <c r="O59" s="35"/>
      <c r="P59" s="35"/>
      <c r="Q59" s="150" t="str">
        <f t="shared" si="15"/>
        <v/>
      </c>
      <c r="R59" s="89" t="str">
        <f>IFERROR(INDEX(PRENOTAZIONI!$R:$R,SMALL(PRENOTAZIONI!$S:$S,56)),"")</f>
        <v/>
      </c>
      <c r="S59" s="77"/>
    </row>
    <row r="60" spans="1:19" ht="22" customHeight="1" x14ac:dyDescent="0.25">
      <c r="A60" s="31" t="str">
        <f>IFERROR(INDEX(PRENOTAZIONI!$A:$A,SMALL(PRENOTAZIONI!$S:$S,57)),"")</f>
        <v/>
      </c>
      <c r="B60" s="31" t="str">
        <f>IFERROR(INDEX(PRENOTAZIONI!$B:$B,SMALL(PRENOTAZIONI!$S:$S,57)),"")</f>
        <v/>
      </c>
      <c r="C60" s="32" t="str">
        <f t="shared" si="11"/>
        <v/>
      </c>
      <c r="D60" s="34" t="str">
        <f>IFERROR(INDEX(PRENOTAZIONI!$E:$E,SMALL(PRENOTAZIONI!$S:$S,57)),"")</f>
        <v/>
      </c>
      <c r="E60" s="34" t="str">
        <f>IFERROR(INDEX(PRENOTAZIONI!$F:$F,SMALL(PRENOTAZIONI!$S:$S,57)),"")</f>
        <v/>
      </c>
      <c r="F60" s="34" t="str">
        <f>IFERROR(INDEX(PRENOTAZIONI!$G:$G,SMALL(PRENOTAZIONI!$S:$S,57)),"")</f>
        <v/>
      </c>
      <c r="G60" s="35" t="str">
        <f>IFERROR(INDEX(PRENOTAZIONI!$H:$H,SMALL(PRENOTAZIONI!$S:$S,57)),"")</f>
        <v/>
      </c>
      <c r="H60" s="35" t="str">
        <f t="shared" si="12"/>
        <v/>
      </c>
      <c r="I60" s="35" t="str">
        <f t="shared" si="17"/>
        <v/>
      </c>
      <c r="J60" s="149" t="str">
        <f t="shared" si="16"/>
        <v/>
      </c>
      <c r="K60" s="34" t="str">
        <f>IFERROR(INDEX(PRENOTAZIONI!$K:$K,SMALL(PRENOTAZIONI!$S:$S,57)),"")</f>
        <v/>
      </c>
      <c r="L60" s="35" t="str">
        <f>IFERROR(INDEX(PRENOTAZIONI!$L:$L,SMALL(PRENOTAZIONI!$S:$S,57)),"")</f>
        <v/>
      </c>
      <c r="M60" s="150" t="str">
        <f t="shared" si="13"/>
        <v/>
      </c>
      <c r="N60" s="35" t="str">
        <f t="shared" si="14"/>
        <v/>
      </c>
      <c r="O60" s="35"/>
      <c r="P60" s="35"/>
      <c r="Q60" s="150" t="str">
        <f t="shared" si="15"/>
        <v/>
      </c>
      <c r="R60" s="89" t="str">
        <f>IFERROR(INDEX(PRENOTAZIONI!$R:$R,SMALL(PRENOTAZIONI!$S:$S,57)),"")</f>
        <v/>
      </c>
      <c r="S60" s="77"/>
    </row>
    <row r="61" spans="1:19" ht="22" customHeight="1" x14ac:dyDescent="0.25">
      <c r="A61" s="31" t="str">
        <f>IFERROR(INDEX(PRENOTAZIONI!$A:$A,SMALL(PRENOTAZIONI!$S:$S,58)),"")</f>
        <v/>
      </c>
      <c r="B61" s="31" t="str">
        <f>IFERROR(INDEX(PRENOTAZIONI!$B:$B,SMALL(PRENOTAZIONI!$S:$S,58)),"")</f>
        <v/>
      </c>
      <c r="C61" s="32" t="str">
        <f t="shared" si="11"/>
        <v/>
      </c>
      <c r="D61" s="34" t="str">
        <f>IFERROR(INDEX(PRENOTAZIONI!$E:$E,SMALL(PRENOTAZIONI!$S:$S,58)),"")</f>
        <v/>
      </c>
      <c r="E61" s="34" t="str">
        <f>IFERROR(INDEX(PRENOTAZIONI!$F:$F,SMALL(PRENOTAZIONI!$S:$S,58)),"")</f>
        <v/>
      </c>
      <c r="F61" s="34" t="str">
        <f>IFERROR(INDEX(PRENOTAZIONI!$G:$G,SMALL(PRENOTAZIONI!$S:$S,58)),"")</f>
        <v/>
      </c>
      <c r="G61" s="35" t="str">
        <f>IFERROR(INDEX(PRENOTAZIONI!$H:$H,SMALL(PRENOTAZIONI!$S:$S,58)),"")</f>
        <v/>
      </c>
      <c r="H61" s="35" t="str">
        <f t="shared" si="12"/>
        <v/>
      </c>
      <c r="I61" s="35" t="str">
        <f t="shared" si="17"/>
        <v/>
      </c>
      <c r="J61" s="149" t="str">
        <f t="shared" si="16"/>
        <v/>
      </c>
      <c r="K61" s="34" t="str">
        <f>IFERROR(INDEX(PRENOTAZIONI!$K:$K,SMALL(PRENOTAZIONI!$S:$S,58)),"")</f>
        <v/>
      </c>
      <c r="L61" s="35" t="str">
        <f>IFERROR(INDEX(PRENOTAZIONI!$L:$L,SMALL(PRENOTAZIONI!$S:$S,58)),"")</f>
        <v/>
      </c>
      <c r="M61" s="150" t="str">
        <f t="shared" si="13"/>
        <v/>
      </c>
      <c r="N61" s="35" t="str">
        <f t="shared" si="14"/>
        <v/>
      </c>
      <c r="O61" s="35"/>
      <c r="P61" s="35"/>
      <c r="Q61" s="150" t="str">
        <f t="shared" si="15"/>
        <v/>
      </c>
      <c r="R61" s="89" t="str">
        <f>IFERROR(INDEX(PRENOTAZIONI!$R:$R,SMALL(PRENOTAZIONI!$S:$S,58)),"")</f>
        <v/>
      </c>
      <c r="S61" s="77"/>
    </row>
    <row r="62" spans="1:19" ht="22" customHeight="1" x14ac:dyDescent="0.25">
      <c r="A62" s="31" t="str">
        <f>IFERROR(INDEX(PRENOTAZIONI!$A:$A,SMALL(PRENOTAZIONI!$S:$S,59)),"")</f>
        <v/>
      </c>
      <c r="B62" s="31" t="str">
        <f>IFERROR(INDEX(PRENOTAZIONI!$B:$B,SMALL(PRENOTAZIONI!$S:$S,59)),"")</f>
        <v/>
      </c>
      <c r="C62" s="32" t="str">
        <f t="shared" si="11"/>
        <v/>
      </c>
      <c r="D62" s="34" t="str">
        <f>IFERROR(INDEX(PRENOTAZIONI!$E:$E,SMALL(PRENOTAZIONI!$S:$S,59)),"")</f>
        <v/>
      </c>
      <c r="E62" s="34" t="str">
        <f>IFERROR(INDEX(PRENOTAZIONI!$F:$F,SMALL(PRENOTAZIONI!$S:$S,59)),"")</f>
        <v/>
      </c>
      <c r="F62" s="34" t="str">
        <f>IFERROR(INDEX(PRENOTAZIONI!$G:$G,SMALL(PRENOTAZIONI!$S:$S,59)),"")</f>
        <v/>
      </c>
      <c r="G62" s="35" t="str">
        <f>IFERROR(INDEX(PRENOTAZIONI!$H:$H,SMALL(PRENOTAZIONI!$S:$S,59)),"")</f>
        <v/>
      </c>
      <c r="H62" s="35" t="str">
        <f t="shared" si="12"/>
        <v/>
      </c>
      <c r="I62" s="35" t="str">
        <f t="shared" si="17"/>
        <v/>
      </c>
      <c r="J62" s="149" t="str">
        <f t="shared" si="16"/>
        <v/>
      </c>
      <c r="K62" s="34" t="str">
        <f>IFERROR(INDEX(PRENOTAZIONI!$K:$K,SMALL(PRENOTAZIONI!$S:$S,59)),"")</f>
        <v/>
      </c>
      <c r="L62" s="35" t="str">
        <f>IFERROR(INDEX(PRENOTAZIONI!$L:$L,SMALL(PRENOTAZIONI!$S:$S,59)),"")</f>
        <v/>
      </c>
      <c r="M62" s="150" t="str">
        <f t="shared" si="13"/>
        <v/>
      </c>
      <c r="N62" s="35" t="str">
        <f t="shared" si="14"/>
        <v/>
      </c>
      <c r="O62" s="35"/>
      <c r="P62" s="35"/>
      <c r="Q62" s="150" t="str">
        <f t="shared" si="15"/>
        <v/>
      </c>
      <c r="R62" s="89" t="str">
        <f>IFERROR(INDEX(PRENOTAZIONI!$R:$R,SMALL(PRENOTAZIONI!$S:$S,59)),"")</f>
        <v/>
      </c>
      <c r="S62" s="77"/>
    </row>
    <row r="63" spans="1:19" ht="22" customHeight="1" x14ac:dyDescent="0.25">
      <c r="A63" s="31" t="str">
        <f>IFERROR(INDEX(PRENOTAZIONI!$A:$A,SMALL(PRENOTAZIONI!$S:$S,60)),"")</f>
        <v/>
      </c>
      <c r="B63" s="31" t="str">
        <f>IFERROR(INDEX(PRENOTAZIONI!$B:$B,SMALL(PRENOTAZIONI!$S:$S,60)),"")</f>
        <v/>
      </c>
      <c r="C63" s="32" t="str">
        <f t="shared" si="11"/>
        <v/>
      </c>
      <c r="D63" s="34" t="str">
        <f>IFERROR(INDEX(PRENOTAZIONI!$E:$E,SMALL(PRENOTAZIONI!$S:$S,60)),"")</f>
        <v/>
      </c>
      <c r="E63" s="34" t="str">
        <f>IFERROR(INDEX(PRENOTAZIONI!$F:$F,SMALL(PRENOTAZIONI!$S:$S,60)),"")</f>
        <v/>
      </c>
      <c r="F63" s="34" t="str">
        <f>IFERROR(INDEX(PRENOTAZIONI!$G:$G,SMALL(PRENOTAZIONI!$S:$S,60)),"")</f>
        <v/>
      </c>
      <c r="G63" s="35" t="str">
        <f>IFERROR(INDEX(PRENOTAZIONI!$H:$H,SMALL(PRENOTAZIONI!$S:$S,60)),"")</f>
        <v/>
      </c>
      <c r="H63" s="35" t="str">
        <f t="shared" si="12"/>
        <v/>
      </c>
      <c r="I63" s="35" t="str">
        <f t="shared" si="17"/>
        <v/>
      </c>
      <c r="J63" s="149" t="str">
        <f t="shared" si="16"/>
        <v/>
      </c>
      <c r="K63" s="34" t="str">
        <f>IFERROR(INDEX(PRENOTAZIONI!$K:$K,SMALL(PRENOTAZIONI!$S:$S,60)),"")</f>
        <v/>
      </c>
      <c r="L63" s="35" t="str">
        <f>IFERROR(INDEX(PRENOTAZIONI!$L:$L,SMALL(PRENOTAZIONI!$S:$S,60)),"")</f>
        <v/>
      </c>
      <c r="M63" s="150" t="str">
        <f t="shared" si="13"/>
        <v/>
      </c>
      <c r="N63" s="35" t="str">
        <f t="shared" si="14"/>
        <v/>
      </c>
      <c r="O63" s="35"/>
      <c r="P63" s="35"/>
      <c r="Q63" s="150" t="str">
        <f t="shared" si="15"/>
        <v/>
      </c>
      <c r="R63" s="89" t="str">
        <f>IFERROR(INDEX(PRENOTAZIONI!$R:$R,SMALL(PRENOTAZIONI!$S:$S,60)),"")</f>
        <v/>
      </c>
      <c r="S63" s="77"/>
    </row>
    <row r="64" spans="1:19" ht="19" customHeight="1" x14ac:dyDescent="0.25">
      <c r="S64" s="77"/>
    </row>
    <row r="65" spans="19:19" ht="19" customHeight="1" x14ac:dyDescent="0.25">
      <c r="S65" s="77"/>
    </row>
  </sheetData>
  <autoFilter ref="A3:R63" xr:uid="{00000000-0009-0000-0000-000005000000}"/>
  <mergeCells count="1">
    <mergeCell ref="AG1:AL1"/>
  </mergeCells>
  <pageMargins left="0.25" right="0.25" top="0.75" bottom="0.75" header="0.3" footer="0.3"/>
  <pageSetup paperSize="9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33C00"/>
  </sheetPr>
  <dimension ref="A1:BG65"/>
  <sheetViews>
    <sheetView zoomScale="120" zoomScaleNormal="120" workbookViewId="0">
      <pane ySplit="3" topLeftCell="A4" activePane="bottomLeft" state="frozen"/>
      <selection pane="bottomLeft" activeCell="S6" sqref="S6"/>
    </sheetView>
  </sheetViews>
  <sheetFormatPr baseColWidth="10" defaultColWidth="8.83203125" defaultRowHeight="15" x14ac:dyDescent="0.2"/>
  <cols>
    <col min="1" max="2" width="12.6640625" bestFit="1" customWidth="1"/>
    <col min="3" max="3" width="7" customWidth="1"/>
    <col min="4" max="4" width="22" customWidth="1"/>
    <col min="5" max="5" width="11.5" bestFit="1" customWidth="1"/>
    <col min="6" max="6" width="13.6640625" bestFit="1" customWidth="1"/>
    <col min="7" max="9" width="11" customWidth="1"/>
    <col min="10" max="10" width="13" customWidth="1"/>
    <col min="11" max="11" width="12.1640625" customWidth="1"/>
    <col min="12" max="12" width="10" customWidth="1"/>
    <col min="13" max="13" width="13" customWidth="1"/>
    <col min="14" max="15" width="10" customWidth="1"/>
    <col min="16" max="16" width="35" customWidth="1"/>
    <col min="17" max="17" width="11.83203125" bestFit="1" customWidth="1"/>
    <col min="18" max="18" width="53.33203125" style="93" bestFit="1" customWidth="1"/>
    <col min="19" max="19" width="61.1640625" style="93" customWidth="1"/>
    <col min="20" max="20" width="11" style="93" customWidth="1"/>
    <col min="21" max="21" width="11" customWidth="1"/>
    <col min="22" max="22" width="7" customWidth="1"/>
    <col min="23" max="23" width="20" customWidth="1"/>
    <col min="24" max="24" width="10" customWidth="1"/>
    <col min="25" max="25" width="11" customWidth="1"/>
    <col min="26" max="26" width="12" customWidth="1"/>
    <col min="27" max="28" width="10" customWidth="1"/>
    <col min="29" max="30" width="12" customWidth="1"/>
    <col min="31" max="31" width="13" customWidth="1"/>
    <col min="32" max="32" width="2" customWidth="1"/>
    <col min="33" max="33" width="13" customWidth="1"/>
    <col min="34" max="34" width="9.33203125" bestFit="1" customWidth="1"/>
    <col min="35" max="35" width="9.83203125" bestFit="1" customWidth="1"/>
    <col min="36" max="36" width="14" bestFit="1" customWidth="1"/>
    <col min="37" max="37" width="12.83203125" bestFit="1" customWidth="1"/>
    <col min="38" max="38" width="11" bestFit="1" customWidth="1"/>
    <col min="39" max="39" width="12.6640625" bestFit="1" customWidth="1"/>
    <col min="40" max="40" width="11" bestFit="1" customWidth="1"/>
    <col min="41" max="42" width="11" customWidth="1"/>
  </cols>
  <sheetData>
    <row r="1" spans="1:59" ht="28" customHeight="1" thickBot="1" x14ac:dyDescent="0.3">
      <c r="A1" s="285" t="s">
        <v>281</v>
      </c>
      <c r="B1" s="284"/>
      <c r="C1" s="279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92"/>
      <c r="S1" s="78"/>
      <c r="AF1" s="38"/>
      <c r="AG1" s="110" t="s">
        <v>282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59" ht="4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7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</row>
    <row r="3" spans="1:59" ht="34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39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79"/>
      <c r="T3" s="51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59" ht="20" customHeight="1" x14ac:dyDescent="0.2">
      <c r="A4" s="174">
        <f>IFERROR(INDEX(PRENOTAZIONI!$A:$A,SMALL(PRENOTAZIONI!$U:$U,1)),"")</f>
        <v>46172</v>
      </c>
      <c r="B4" s="175">
        <f>IFERROR(INDEX(PRENOTAZIONI!$B:$B,SMALL(PRENOTAZIONI!$U:$U,1)),"")</f>
        <v>46175</v>
      </c>
      <c r="C4" s="176">
        <f t="shared" ref="C4:C35" si="0">IF(A4&lt;&gt;"",B4-A4,"")</f>
        <v>3</v>
      </c>
      <c r="D4" s="177" t="str">
        <f>IFERROR(INDEX(PRENOTAZIONI!$E:$E,SMALL(PRENOTAZIONI!$U:$U,1)),"")</f>
        <v>Elisabetta Cappuccini</v>
      </c>
      <c r="E4" s="177" t="str">
        <f>IFERROR(INDEX(PRENOTAZIONI!$F:$F,SMALL(PRENOTAZIONI!$U:$U,1)),"")</f>
        <v>2 ad + 2 b</v>
      </c>
      <c r="F4" s="177" t="str">
        <f>IFERROR(INDEX(PRENOTAZIONI!$G:$G,SMALL(PRENOTAZIONI!$U:$U,1)),"")</f>
        <v>booking.com</v>
      </c>
      <c r="G4" s="178">
        <f>IFERROR(INDEX(PRENOTAZIONI!$H:$H,SMALL(PRENOTAZIONI!$U:$U,1)),"")</f>
        <v>301.31</v>
      </c>
      <c r="H4" s="229">
        <f t="shared" ref="H4:H35" si="1">IF(AND(G4&lt;&gt;"",C4&lt;&gt;"",C4&lt;&gt;0),G4/C4,"")</f>
        <v>100.43666666666667</v>
      </c>
      <c r="I4" s="231">
        <f>IF(G4="","",IF(NOT(ISERROR(SEARCH("diretta",F4))),0,IF(NOT(ISERROR(SEARCH("booking",F4))),G4*0.15,IF(NOT(ISERROR(SEARCH("airbnb",F4))),G4*0.155,""))))</f>
        <v>45.1965</v>
      </c>
      <c r="J4" s="230">
        <f t="shared" ref="J4:J35" si="2">IF(I4&lt;&gt;"",I4*0.22,"")</f>
        <v>9.9432299999999998</v>
      </c>
      <c r="K4" s="177" t="str">
        <f>IFERROR(INDEX(PRENOTAZIONI!$K:$K,SMALL(PRENOTAZIONI!$U:$U,1)),"")</f>
        <v>VISA</v>
      </c>
      <c r="L4" s="178">
        <f>IFERROR(INDEX(PRENOTAZIONI!$L:$L,SMALL(PRENOTAZIONI!$U:$U,1)),"")</f>
        <v>6</v>
      </c>
      <c r="M4" s="180">
        <f t="shared" ref="M4:M35" si="3">IF(G4&lt;&gt;"",G4*0.21,"")</f>
        <v>63.275099999999995</v>
      </c>
      <c r="N4" s="178">
        <f t="shared" ref="N4:N35" si="4">IF(G4&lt;&gt;"",G4*0.25,"")</f>
        <v>75.327500000000001</v>
      </c>
      <c r="O4" s="178"/>
      <c r="P4" s="181"/>
      <c r="Q4" s="180">
        <f t="shared" ref="Q4:Q35" si="5">IF(G4&lt;&gt;"",G4-I4-J4-M4-N4-O4,"")</f>
        <v>107.56767000000001</v>
      </c>
      <c r="R4" s="216">
        <f>IFERROR(INDEX(PRENOTAZIONI!$R:$R,SMALL(PRENOTAZIONI!$U:$U,1)),"")</f>
        <v>0</v>
      </c>
      <c r="S4" s="233" t="s">
        <v>350</v>
      </c>
      <c r="T4" s="94" t="str">
        <f>IFERROR(INDEX(PRENOTAZIONI!$A:$A,SMALL(PRENOTAZIONI!$AI:$AI,1)),"")</f>
        <v/>
      </c>
      <c r="U4" s="31" t="str">
        <f>IFERROR(INDEX(PRENOTAZIONI!$B:$B,SMALL(PRENOTAZIONI!$AI:$AI,1)),"")</f>
        <v/>
      </c>
      <c r="V4" s="32" t="str">
        <f t="shared" ref="V4:V33" si="6">IF(T4&lt;&gt;"",U4-T4,"")</f>
        <v/>
      </c>
      <c r="W4" s="34" t="str">
        <f>IFERROR(INDEX(PRENOTAZIONI!$E:$E,SMALL(PRENOTAZIONI!$AI:$AI,1)),"")</f>
        <v/>
      </c>
      <c r="X4" s="34" t="str">
        <f>IFERROR(INDEX(PRENOTAZIONI!$F:$F,SMALL(PRENOTAZIONI!$AI:$AI,1)),"")</f>
        <v/>
      </c>
      <c r="Y4" s="35" t="str">
        <f>IFERROR(INDEX(PRENOTAZIONI!$H:$H,SMALL(PRENOTAZIONI!$AI:$AI,1)),"")</f>
        <v/>
      </c>
      <c r="Z4" s="34" t="str">
        <f>IFERROR(INDEX(PRENOTAZIONI!$K:$K,SMALL(PRENOTAZIONI!$AI:$AI,1)),"")</f>
        <v/>
      </c>
      <c r="AA4" s="34"/>
      <c r="AB4" s="34"/>
      <c r="AC4" s="40" t="str">
        <f t="shared" ref="AC4:AC33" si="7">IF(Y4&lt;&gt;"",Y4*0.25,"")</f>
        <v/>
      </c>
      <c r="AD4" s="41" t="str">
        <f t="shared" ref="AD4:AD33" si="8">IF(Y4&lt;&gt;"",Y4-AC4,"")</f>
        <v/>
      </c>
      <c r="AF4" s="38"/>
      <c r="AG4" s="113" t="s">
        <v>174</v>
      </c>
      <c r="AH4" s="114">
        <f>SUMPRODUCT((MONTH(PRENOTAZIONI!$A$3:$A$262)=1)*(YEAR(PRENOTAZIONI!$A$3:$A$262)=2026)*(PRENOTAZIONI!$D$3:$D$262="Casa Letizia"))</f>
        <v>0</v>
      </c>
      <c r="AI4" s="114">
        <f>SUMPRODUCT((PRENOTAZIONI!$A$3:$A$262&lt;DATE(2026,2,1))*(PRENOTAZIONI!$B$3:$B$262&gt;DATE(2026,1,1))*(YEAR(PRENOTAZIONI!$A$3:$A$262)=2026)*(PRENOTAZIONI!$D$3:$D$262="Casa Letizia")*((PRENOTAZIONI!$B$3:$B$262*(PRENOTAZIONI!$B$3:$B$262&lt;DATE(2026,2,1))+DATE(2026,2,1)*(PRENOTAZIONI!$B$3:$B$262&gt;=DATE(2026,2,1)))-(PRENOTAZIONI!$A$3:$A$262*(PRENOTAZIONI!$A$3:$A$262&gt;DATE(2026,1,1))+DATE(2026,1,1)*(PRENOTAZIONI!$A$3:$A$262&lt;=DATE(2026,1,1)))))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59" ht="35" thickBot="1" x14ac:dyDescent="0.25">
      <c r="A5" s="191">
        <f>IFERROR(INDEX(PRENOTAZIONI!$A:$A,SMALL(PRENOTAZIONI!$U:$U,2)),"")</f>
        <v>46201</v>
      </c>
      <c r="B5" s="192">
        <f>IFERROR(INDEX(PRENOTAZIONI!$B:$B,SMALL(PRENOTAZIONI!$U:$U,2)),"")</f>
        <v>46211</v>
      </c>
      <c r="C5" s="193">
        <f t="shared" si="0"/>
        <v>10</v>
      </c>
      <c r="D5" s="194" t="str">
        <f>IFERROR(INDEX(PRENOTAZIONI!$E:$E,SMALL(PRENOTAZIONI!$U:$U,2)),"")</f>
        <v>Sara Gandossini</v>
      </c>
      <c r="E5" s="194" t="str">
        <f>IFERROR(INDEX(PRENOTAZIONI!$F:$F,SMALL(PRENOTAZIONI!$U:$U,2)),"")</f>
        <v>2 ad</v>
      </c>
      <c r="F5" s="194" t="str">
        <f>IFERROR(INDEX(PRENOTAZIONI!$G:$G,SMALL(PRENOTAZIONI!$U:$U,2)),"")</f>
        <v>booking.com</v>
      </c>
      <c r="G5" s="195">
        <f>IFERROR(INDEX(PRENOTAZIONI!$H:$H,SMALL(PRENOTAZIONI!$U:$U,2)),"")</f>
        <v>1056.78</v>
      </c>
      <c r="H5" s="195">
        <f t="shared" si="1"/>
        <v>105.678</v>
      </c>
      <c r="I5" s="232">
        <f>IF(G5="","",IF(NOT(ISERROR(SEARCH("diretta",F5))),0,IF(NOT(ISERROR(SEARCH("booking",F5))),G5*0.15,IF(NOT(ISERROR(SEARCH("airbnb",F5))),G5*0.155,""))))</f>
        <v>158.517</v>
      </c>
      <c r="J5" s="196">
        <f t="shared" si="2"/>
        <v>34.873739999999998</v>
      </c>
      <c r="K5" s="194" t="str">
        <f>IFERROR(INDEX(PRENOTAZIONI!$K:$K,SMALL(PRENOTAZIONI!$U:$U,2)),"")</f>
        <v>VISA</v>
      </c>
      <c r="L5" s="195">
        <f>IFERROR(INDEX(PRENOTAZIONI!$L:$L,SMALL(PRENOTAZIONI!$U:$U,2)),"")</f>
        <v>10</v>
      </c>
      <c r="M5" s="197">
        <f t="shared" si="3"/>
        <v>221.9238</v>
      </c>
      <c r="N5" s="195">
        <f t="shared" si="4"/>
        <v>264.19499999999999</v>
      </c>
      <c r="O5" s="195">
        <v>30</v>
      </c>
      <c r="P5" s="227" t="s">
        <v>321</v>
      </c>
      <c r="Q5" s="197">
        <f t="shared" si="5"/>
        <v>347.2704599999999</v>
      </c>
      <c r="R5" s="219">
        <f>IFERROR(INDEX(PRENOTAZIONI!$R:$R,SMALL(PRENOTAZIONI!$U:$U,2)),"")</f>
        <v>0</v>
      </c>
      <c r="S5" s="228"/>
      <c r="T5" s="94" t="str">
        <f>IFERROR(INDEX(PRENOTAZIONI!$A:$A,SMALL(PRENOTAZIONI!$AI:$AI,2)),"")</f>
        <v/>
      </c>
      <c r="U5" s="31" t="str">
        <f>IFERROR(INDEX(PRENOTAZIONI!$B:$B,SMALL(PRENOTAZIONI!$AI:$AI,2)),"")</f>
        <v/>
      </c>
      <c r="V5" s="32" t="str">
        <f t="shared" si="6"/>
        <v/>
      </c>
      <c r="W5" s="34" t="str">
        <f>IFERROR(INDEX(PRENOTAZIONI!$E:$E,SMALL(PRENOTAZIONI!$AI:$AI,2)),"")</f>
        <v/>
      </c>
      <c r="X5" s="34" t="str">
        <f>IFERROR(INDEX(PRENOTAZIONI!$F:$F,SMALL(PRENOTAZIONI!$AI:$AI,2)),"")</f>
        <v/>
      </c>
      <c r="Y5" s="35" t="str">
        <f>IFERROR(INDEX(PRENOTAZIONI!$H:$H,SMALL(PRENOTAZIONI!$AI:$AI,2)),"")</f>
        <v/>
      </c>
      <c r="Z5" s="34" t="str">
        <f>IFERROR(INDEX(PRENOTAZIONI!$K:$K,SMALL(PRENOTAZIONI!$AI:$AI,2)),"")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SUMPRODUCT((MONTH(PRENOTAZIONI!$A$3:$A$262)=2)*(YEAR(PRENOTAZIONI!$A$3:$A$262)=2026)*(PRENOTAZIONI!$D$3:$D$262="Casa Letizia"))</f>
        <v>0</v>
      </c>
      <c r="AI5" s="114">
        <f>SUMPRODUCT((PRENOTAZIONI!$A$3:$A$262&lt;DATE(2026,3,1))*(PRENOTAZIONI!$B$3:$B$262&gt;DATE(2026,2,1))*(YEAR(PRENOTAZIONI!$A$3:$A$262)=2026)*(PRENOTAZIONI!$D$3:$D$262="Casa Letizia")*((PRENOTAZIONI!$B$3:$B$262*(PRENOTAZIONI!$B$3:$B$262&lt;DATE(2026,3,1))+DATE(2026,3,1)*(PRENOTAZIONI!$B$3:$B$262&gt;=DATE(2026,3,1)))-(PRENOTAZIONI!$A$3:$A$262*(PRENOTAZIONI!$A$3:$A$262&gt;DATE(2026,2,1))+DATE(2026,2,1)*(PRENOTAZIONI!$A$3:$A$262&lt;=DATE(2026,2,1)))))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59" ht="20" customHeight="1" x14ac:dyDescent="0.2">
      <c r="A6" s="174">
        <f>IFERROR(INDEX(PRENOTAZIONI!$A:$A,SMALL(PRENOTAZIONI!$U:$U,3)),"")</f>
        <v>46213</v>
      </c>
      <c r="B6" s="175">
        <f>IFERROR(INDEX(PRENOTAZIONI!$B:$B,SMALL(PRENOTAZIONI!$U:$U,3)),"")</f>
        <v>46218</v>
      </c>
      <c r="C6" s="176">
        <f t="shared" si="0"/>
        <v>5</v>
      </c>
      <c r="D6" s="177" t="str">
        <f>IFERROR(INDEX(PRENOTAZIONI!$E:$E,SMALL(PRENOTAZIONI!$U:$U,3)),"")</f>
        <v>Silvia Beltramea</v>
      </c>
      <c r="E6" s="177" t="str">
        <f>IFERROR(INDEX(PRENOTAZIONI!$F:$F,SMALL(PRENOTAZIONI!$U:$U,3)),"")</f>
        <v>2 ad</v>
      </c>
      <c r="F6" s="177" t="str">
        <f>IFERROR(INDEX(PRENOTAZIONI!$G:$G,SMALL(PRENOTAZIONI!$U:$U,3)),"")</f>
        <v>diretta</v>
      </c>
      <c r="G6" s="178">
        <f>IFERROR(INDEX(PRENOTAZIONI!$H:$H,SMALL(PRENOTAZIONI!$U:$U,3)),"")</f>
        <v>500</v>
      </c>
      <c r="H6" s="178">
        <f t="shared" si="1"/>
        <v>100</v>
      </c>
      <c r="I6" s="178">
        <v>0</v>
      </c>
      <c r="J6" s="179">
        <f t="shared" si="2"/>
        <v>0</v>
      </c>
      <c r="K6" s="177" t="str">
        <f>IFERROR(INDEX(PRENOTAZIONI!$K:$K,SMALL(PRENOTAZIONI!$U:$U,3)),"")</f>
        <v>MASTER</v>
      </c>
      <c r="L6" s="178">
        <f>IFERROR(INDEX(PRENOTAZIONI!$L:$L,SMALL(PRENOTAZIONI!$U:$U,3)),"")</f>
        <v>10</v>
      </c>
      <c r="M6" s="180">
        <f t="shared" si="3"/>
        <v>105</v>
      </c>
      <c r="N6" s="178">
        <f t="shared" si="4"/>
        <v>125</v>
      </c>
      <c r="O6" s="178"/>
      <c r="P6" s="181"/>
      <c r="Q6" s="180">
        <f t="shared" si="5"/>
        <v>270</v>
      </c>
      <c r="R6" s="216">
        <f>IFERROR(INDEX(PRENOTAZIONI!$R:$R,SMALL(PRENOTAZIONI!$U:$U,3)),"")</f>
        <v>0</v>
      </c>
      <c r="S6" s="233" t="s">
        <v>378</v>
      </c>
      <c r="T6" s="94" t="str">
        <f>IFERROR(INDEX(PRENOTAZIONI!$A:$A,SMALL(PRENOTAZIONI!$AI:$AI,3)),"")</f>
        <v/>
      </c>
      <c r="U6" s="31" t="str">
        <f>IFERROR(INDEX(PRENOTAZIONI!$B:$B,SMALL(PRENOTAZIONI!$AI:$AI,3)),"")</f>
        <v/>
      </c>
      <c r="V6" s="32" t="str">
        <f t="shared" si="6"/>
        <v/>
      </c>
      <c r="W6" s="34" t="str">
        <f>IFERROR(INDEX(PRENOTAZIONI!$E:$E,SMALL(PRENOTAZIONI!$AI:$AI,3)),"")</f>
        <v/>
      </c>
      <c r="X6" s="34" t="str">
        <f>IFERROR(INDEX(PRENOTAZIONI!$F:$F,SMALL(PRENOTAZIONI!$AI:$AI,3)),"")</f>
        <v/>
      </c>
      <c r="Y6" s="35" t="str">
        <f>IFERROR(INDEX(PRENOTAZIONI!$H:$H,SMALL(PRENOTAZIONI!$AI:$AI,3)),"")</f>
        <v/>
      </c>
      <c r="Z6" s="34" t="str">
        <f>IFERROR(INDEX(PRENOTAZIONI!$K:$K,SMALL(PRENOTAZIONI!$AI:$AI,3)),"")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SUMPRODUCT((MONTH(PRENOTAZIONI!$A$3:$A$262)=3)*(YEAR(PRENOTAZIONI!$A$3:$A$262)=2026)*(PRENOTAZIONI!$D$3:$D$262="Casa Letizia"))</f>
        <v>0</v>
      </c>
      <c r="AI6" s="114">
        <f>SUMPRODUCT((PRENOTAZIONI!$A$3:$A$262&lt;DATE(2026,4,1))*(PRENOTAZIONI!$B$3:$B$262&gt;DATE(2026,3,1))*(YEAR(PRENOTAZIONI!$A$3:$A$262)=2026)*(PRENOTAZIONI!$D$3:$D$262="Casa Letizia")*((PRENOTAZIONI!$B$3:$B$262*(PRENOTAZIONI!$B$3:$B$262&lt;DATE(2026,4,1))+DATE(2026,4,1)*(PRENOTAZIONI!$B$3:$B$262&gt;=DATE(2026,4,1)))-(PRENOTAZIONI!$A$3:$A$262*(PRENOTAZIONI!$A$3:$A$262&gt;DATE(2026,3,1))+DATE(2026,3,1)*(PRENOTAZIONI!$A$3:$A$262&lt;=DATE(2026,3,1)))))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59" ht="20" customHeight="1" x14ac:dyDescent="0.2">
      <c r="A7" s="183">
        <f>IFERROR(INDEX(PRENOTAZIONI!$A:$A,SMALL(PRENOTAZIONI!$U:$U,4)),"")</f>
        <v>46220</v>
      </c>
      <c r="B7" s="184">
        <f>IFERROR(INDEX(PRENOTAZIONI!$B:$B,SMALL(PRENOTAZIONI!$U:$U,4)),"")</f>
        <v>46228</v>
      </c>
      <c r="C7" s="185">
        <f t="shared" si="0"/>
        <v>8</v>
      </c>
      <c r="D7" s="186" t="str">
        <f>IFERROR(INDEX(PRENOTAZIONI!$E:$E,SMALL(PRENOTAZIONI!$U:$U,4)),"")</f>
        <v>Emidio Colabrese</v>
      </c>
      <c r="E7" s="186" t="str">
        <f>IFERROR(INDEX(PRENOTAZIONI!$F:$F,SMALL(PRENOTAZIONI!$U:$U,4)),"")</f>
        <v>3 ad</v>
      </c>
      <c r="F7" s="186" t="str">
        <f>IFERROR(INDEX(PRENOTAZIONI!$G:$G,SMALL(PRENOTAZIONI!$U:$U,4)),"")</f>
        <v>diretta</v>
      </c>
      <c r="G7" s="147">
        <f>IFERROR(INDEX(PRENOTAZIONI!$H:$H,SMALL(PRENOTAZIONI!$U:$U,4)),"")</f>
        <v>1000</v>
      </c>
      <c r="H7" s="147">
        <f t="shared" si="1"/>
        <v>125</v>
      </c>
      <c r="I7" s="147">
        <f t="shared" ref="I7:I38" si="9">IF(G7="","",IF(NOT(ISERROR(SEARCH("diretta",F7))),0,IF(NOT(ISERROR(SEARCH("booking",F7))),G7*0.15,IF(NOT(ISERROR(SEARCH("airbnb",F7))),G7*0.155,""))))</f>
        <v>0</v>
      </c>
      <c r="J7" s="187">
        <f t="shared" si="2"/>
        <v>0</v>
      </c>
      <c r="K7" s="186" t="str">
        <f>IFERROR(INDEX(PRENOTAZIONI!$K:$K,SMALL(PRENOTAZIONI!$U:$U,4)),"")</f>
        <v>contanti</v>
      </c>
      <c r="L7" s="147">
        <f>IFERROR(INDEX(PRENOTAZIONI!$L:$L,SMALL(PRENOTAZIONI!$U:$U,4)),"")</f>
        <v>15</v>
      </c>
      <c r="M7" s="188">
        <f t="shared" si="3"/>
        <v>210</v>
      </c>
      <c r="N7" s="147">
        <f t="shared" si="4"/>
        <v>250</v>
      </c>
      <c r="O7" s="147"/>
      <c r="P7" s="189"/>
      <c r="Q7" s="188">
        <f t="shared" si="5"/>
        <v>540</v>
      </c>
      <c r="R7" s="47">
        <f>IFERROR(INDEX(PRENOTAZIONI!$R:$R,SMALL(PRENOTAZIONI!$U:$U,4)),"")</f>
        <v>0</v>
      </c>
      <c r="S7" s="235"/>
      <c r="T7" s="94" t="str">
        <f>IFERROR(INDEX(PRENOTAZIONI!$A:$A,SMALL(PRENOTAZIONI!$AI:$AI,4)),"")</f>
        <v/>
      </c>
      <c r="U7" s="31" t="str">
        <f>IFERROR(INDEX(PRENOTAZIONI!$B:$B,SMALL(PRENOTAZIONI!$AI:$AI,4)),"")</f>
        <v/>
      </c>
      <c r="V7" s="32" t="str">
        <f t="shared" si="6"/>
        <v/>
      </c>
      <c r="W7" s="34" t="str">
        <f>IFERROR(INDEX(PRENOTAZIONI!$E:$E,SMALL(PRENOTAZIONI!$AI:$AI,4)),"")</f>
        <v/>
      </c>
      <c r="X7" s="34" t="str">
        <f>IFERROR(INDEX(PRENOTAZIONI!$F:$F,SMALL(PRENOTAZIONI!$AI:$AI,4)),"")</f>
        <v/>
      </c>
      <c r="Y7" s="35" t="str">
        <f>IFERROR(INDEX(PRENOTAZIONI!$H:$H,SMALL(PRENOTAZIONI!$AI:$AI,4)),"")</f>
        <v/>
      </c>
      <c r="Z7" s="34" t="str">
        <f>IFERROR(INDEX(PRENOTAZIONI!$K:$K,SMALL(PRENOTAZIONI!$AI:$AI,4)),"")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SUMPRODUCT((MONTH(PRENOTAZIONI!$A$3:$A$262)=4)*(YEAR(PRENOTAZIONI!$A$3:$A$262)=2026)*(PRENOTAZIONI!$D$3:$D$262="Casa Letizia"))</f>
        <v>0</v>
      </c>
      <c r="AI7" s="114">
        <f>SUMPRODUCT((PRENOTAZIONI!$A$3:$A$262&lt;DATE(2026,5,1))*(PRENOTAZIONI!$B$3:$B$262&gt;DATE(2026,4,1))*(YEAR(PRENOTAZIONI!$A$3:$A$262)=2026)*(PRENOTAZIONI!$D$3:$D$262="Casa Letizia")*((PRENOTAZIONI!$B$3:$B$262*(PRENOTAZIONI!$B$3:$B$262&lt;DATE(2026,5,1))+DATE(2026,5,1)*(PRENOTAZIONI!$B$3:$B$262&gt;=DATE(2026,5,1)))-(PRENOTAZIONI!$A$3:$A$262*(PRENOTAZIONI!$A$3:$A$262&gt;DATE(2026,4,1))+DATE(2026,4,1)*(PRENOTAZIONI!$A$3:$A$262&lt;=DATE(2026,4,1)))))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59" ht="20" customHeight="1" thickBot="1" x14ac:dyDescent="0.25">
      <c r="A8" s="191">
        <f>IFERROR(INDEX(PRENOTAZIONI!$A:$A,SMALL(PRENOTAZIONI!$U:$U,5)),"")</f>
        <v>46229</v>
      </c>
      <c r="B8" s="192">
        <f>IFERROR(INDEX(PRENOTAZIONI!$B:$B,SMALL(PRENOTAZIONI!$U:$U,5)),"")</f>
        <v>46235</v>
      </c>
      <c r="C8" s="193">
        <f t="shared" si="0"/>
        <v>6</v>
      </c>
      <c r="D8" s="194" t="str">
        <f>IFERROR(INDEX(PRENOTAZIONI!$E:$E,SMALL(PRENOTAZIONI!$U:$U,5)),"")</f>
        <v>Massimo Marfella</v>
      </c>
      <c r="E8" s="194" t="str">
        <f>IFERROR(INDEX(PRENOTAZIONI!$F:$F,SMALL(PRENOTAZIONI!$U:$U,5)),"")</f>
        <v>2 ad + 1 n</v>
      </c>
      <c r="F8" s="194" t="str">
        <f>IFERROR(INDEX(PRENOTAZIONI!$G:$G,SMALL(PRENOTAZIONI!$U:$U,5)),"")</f>
        <v>booking.com</v>
      </c>
      <c r="G8" s="195">
        <f>IFERROR(INDEX(PRENOTAZIONI!$H:$H,SMALL(PRENOTAZIONI!$U:$U,5)),"")</f>
        <v>687.31</v>
      </c>
      <c r="H8" s="195">
        <f t="shared" si="1"/>
        <v>114.55166666666666</v>
      </c>
      <c r="I8" s="195">
        <f t="shared" si="9"/>
        <v>103.09649999999999</v>
      </c>
      <c r="J8" s="196">
        <f t="shared" si="2"/>
        <v>22.681229999999999</v>
      </c>
      <c r="K8" s="194" t="str">
        <f>IFERROR(INDEX(PRENOTAZIONI!$K:$K,SMALL(PRENOTAZIONI!$U:$U,5)),"")</f>
        <v>VISA</v>
      </c>
      <c r="L8" s="195">
        <f>IFERROR(INDEX(PRENOTAZIONI!$L:$L,SMALL(PRENOTAZIONI!$U:$U,5)),"")</f>
        <v>10</v>
      </c>
      <c r="M8" s="197">
        <f t="shared" si="3"/>
        <v>144.33509999999998</v>
      </c>
      <c r="N8" s="195">
        <f t="shared" si="4"/>
        <v>171.82749999999999</v>
      </c>
      <c r="O8" s="195"/>
      <c r="P8" s="198"/>
      <c r="Q8" s="197">
        <f t="shared" si="5"/>
        <v>245.36966999999993</v>
      </c>
      <c r="R8" s="219" t="str">
        <f>IFERROR(INDEX(PRENOTAZIONI!$R:$R,SMALL(PRENOTAZIONI!$U:$U,5)),"")</f>
        <v>NON RIMBORSABILE - pagamento effettuato 30-01</v>
      </c>
      <c r="S8" s="228"/>
      <c r="T8" s="94" t="str">
        <f>IFERROR(INDEX(PRENOTAZIONI!$A:$A,SMALL(PRENOTAZIONI!$AI:$AI,5)),"")</f>
        <v/>
      </c>
      <c r="U8" s="31" t="str">
        <f>IFERROR(INDEX(PRENOTAZIONI!$B:$B,SMALL(PRENOTAZIONI!$AI:$AI,5)),"")</f>
        <v/>
      </c>
      <c r="V8" s="32" t="str">
        <f t="shared" si="6"/>
        <v/>
      </c>
      <c r="W8" s="34" t="str">
        <f>IFERROR(INDEX(PRENOTAZIONI!$E:$E,SMALL(PRENOTAZIONI!$AI:$AI,5)),"")</f>
        <v/>
      </c>
      <c r="X8" s="34" t="str">
        <f>IFERROR(INDEX(PRENOTAZIONI!$F:$F,SMALL(PRENOTAZIONI!$AI:$AI,5)),"")</f>
        <v/>
      </c>
      <c r="Y8" s="35" t="str">
        <f>IFERROR(INDEX(PRENOTAZIONI!$H:$H,SMALL(PRENOTAZIONI!$AI:$AI,5)),"")</f>
        <v/>
      </c>
      <c r="Z8" s="34" t="str">
        <f>IFERROR(INDEX(PRENOTAZIONI!$K:$K,SMALL(PRENOTAZIONI!$AI:$AI,5)),"")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SUMPRODUCT((MONTH(PRENOTAZIONI!$A$3:$A$262)=5)*(YEAR(PRENOTAZIONI!$A$3:$A$262)=2026)*(PRENOTAZIONI!$D$3:$D$262="Casa Letizia"))</f>
        <v>1</v>
      </c>
      <c r="AI8" s="114">
        <f>SUMPRODUCT((PRENOTAZIONI!$A$3:$A$262&lt;DATE(2026,6,1))*(PRENOTAZIONI!$B$3:$B$262&gt;DATE(2026,5,1))*(YEAR(PRENOTAZIONI!$A$3:$A$262)=2026)*(PRENOTAZIONI!$D$3:$D$262="Casa Letizia")*((PRENOTAZIONI!$B$3:$B$262*(PRENOTAZIONI!$B$3:$B$262&lt;DATE(2026,6,1))+DATE(2026,6,1)*(PRENOTAZIONI!$B$3:$B$262&gt;=DATE(2026,6,1)))-(PRENOTAZIONI!$A$3:$A$262*(PRENOTAZIONI!$A$3:$A$262&gt;DATE(2026,5,1))+DATE(2026,5,1)*(PRENOTAZIONI!$A$3:$A$262&lt;=DATE(2026,5,1)))))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2</v>
      </c>
      <c r="AJ8" s="151">
        <f>SUMIF(A4:A33,"&gt;="&amp;DATE(2026,5,1),G4:G33)-SUMIF(A4:A33,"&gt;="&amp;DATE(2026,6,1),G4:G33)</f>
        <v>301.31000000000131</v>
      </c>
      <c r="AK8" s="151">
        <f>SUMIF(A4:A33,"&gt;="&amp;DATE(2026,5,1),I4:I33)-SUMIF(A4:A33,"&gt;="&amp;DATE(2026,6,1),I4:I33)</f>
        <v>45.196500000000015</v>
      </c>
      <c r="AL8" s="151">
        <f>SUMIF(A4:A33,"&gt;="&amp;DATE(2026,5,1),L4:L33)-SUMIF(A4:A33,"&gt;="&amp;DATE(2026,6,1),L4:L33)</f>
        <v>6</v>
      </c>
      <c r="AM8" s="151">
        <f>SUMIF(A4:A33,"&gt;="&amp;DATE(2026,5,1),N4:N33)-SUMIF(A4:A33,"&gt;="&amp;DATE(2026,6,1),N4:N33)</f>
        <v>75.327500000000327</v>
      </c>
      <c r="AN8" s="152">
        <f>SUMIF(A4:A33,"&gt;="&amp;DATE(2026,5,1),M4:M33)-SUMIF(A4:A33,"&gt;="&amp;DATE(2026,6,1),M4:M33)</f>
        <v>63.275100000000066</v>
      </c>
      <c r="AO8" s="152">
        <f>SUMIF(A4:A33,"&gt;="&amp;DATE(2026,5,1),J4:J33)-SUMIF(A4:A33,"&gt;="&amp;DATE(2026,6,1),J4:J33)</f>
        <v>9.9432299999999714</v>
      </c>
      <c r="AP8" s="153">
        <f>SUMIF(A4:A33,"&gt;="&amp;DATE(2026,5,1),Q4:Q33)-SUMIF(A4:A33,"&gt;="&amp;DATE(2026,6,1),Q4:Q33)</f>
        <v>107.56767000000036</v>
      </c>
    </row>
    <row r="9" spans="1:59" ht="20" customHeight="1" x14ac:dyDescent="0.2">
      <c r="A9" s="157">
        <f>IFERROR(INDEX(PRENOTAZIONI!$A:$A,SMALL(PRENOTAZIONI!$U:$U,6)),"")</f>
        <v>46236</v>
      </c>
      <c r="B9" s="157">
        <f>IFERROR(INDEX(PRENOTAZIONI!$B:$B,SMALL(PRENOTAZIONI!$U:$U,6)),"")</f>
        <v>46242</v>
      </c>
      <c r="C9" s="158">
        <f t="shared" si="0"/>
        <v>6</v>
      </c>
      <c r="D9" s="159" t="str">
        <f>IFERROR(INDEX(PRENOTAZIONI!$E:$E,SMALL(PRENOTAZIONI!$U:$U,6)),"")</f>
        <v>Barbara Maresti</v>
      </c>
      <c r="E9" s="159" t="str">
        <f>IFERROR(INDEX(PRENOTAZIONI!$F:$F,SMALL(PRENOTAZIONI!$U:$U,6)),"")</f>
        <v>2 ad</v>
      </c>
      <c r="F9" s="159" t="str">
        <f>IFERROR(INDEX(PRENOTAZIONI!$G:$G,SMALL(PRENOTAZIONI!$U:$U,6)),"")</f>
        <v>booking.com</v>
      </c>
      <c r="G9" s="160">
        <f>IFERROR(INDEX(PRENOTAZIONI!$H:$H,SMALL(PRENOTAZIONI!$U:$U,6)),"")</f>
        <v>706.96</v>
      </c>
      <c r="H9" s="160">
        <f t="shared" si="1"/>
        <v>117.82666666666667</v>
      </c>
      <c r="I9" s="160">
        <f t="shared" si="9"/>
        <v>106.044</v>
      </c>
      <c r="J9" s="161">
        <f t="shared" si="2"/>
        <v>23.32968</v>
      </c>
      <c r="K9" s="159" t="str">
        <f>IFERROR(INDEX(PRENOTAZIONI!$K:$K,SMALL(PRENOTAZIONI!$U:$U,6)),"")</f>
        <v>MASTER</v>
      </c>
      <c r="L9" s="160">
        <f>IFERROR(INDEX(PRENOTAZIONI!$L:$L,SMALL(PRENOTAZIONI!$U:$U,6)),"")</f>
        <v>10</v>
      </c>
      <c r="M9" s="154">
        <f t="shared" si="3"/>
        <v>148.4616</v>
      </c>
      <c r="N9" s="160">
        <f t="shared" si="4"/>
        <v>176.74</v>
      </c>
      <c r="O9" s="160"/>
      <c r="P9" s="162"/>
      <c r="Q9" s="154">
        <f t="shared" si="5"/>
        <v>252.38472000000002</v>
      </c>
      <c r="R9" s="209">
        <f>IFERROR(INDEX(PRENOTAZIONI!$R:$R,SMALL(PRENOTAZIONI!$U:$U,6)),"")</f>
        <v>0</v>
      </c>
      <c r="S9" s="95"/>
      <c r="T9" s="94" t="str">
        <f>IFERROR(INDEX(PRENOTAZIONI!$A:$A,SMALL(PRENOTAZIONI!$AI:$AI,6)),"")</f>
        <v/>
      </c>
      <c r="U9" s="31" t="str">
        <f>IFERROR(INDEX(PRENOTAZIONI!$B:$B,SMALL(PRENOTAZIONI!$AI:$AI,6)),"")</f>
        <v/>
      </c>
      <c r="V9" s="32" t="str">
        <f t="shared" si="6"/>
        <v/>
      </c>
      <c r="W9" s="34" t="str">
        <f>IFERROR(INDEX(PRENOTAZIONI!$E:$E,SMALL(PRENOTAZIONI!$AI:$AI,6)),"")</f>
        <v/>
      </c>
      <c r="X9" s="34" t="str">
        <f>IFERROR(INDEX(PRENOTAZIONI!$F:$F,SMALL(PRENOTAZIONI!$AI:$AI,6)),"")</f>
        <v/>
      </c>
      <c r="Y9" s="35" t="str">
        <f>IFERROR(INDEX(PRENOTAZIONI!$H:$H,SMALL(PRENOTAZIONI!$AI:$AI,6)),"")</f>
        <v/>
      </c>
      <c r="Z9" s="34" t="str">
        <f>IFERROR(INDEX(PRENOTAZIONI!$K:$K,SMALL(PRENOTAZIONI!$AI:$AI,6)),"")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SUMPRODUCT((MONTH(PRENOTAZIONI!$A$3:$A$262)=6)*(YEAR(PRENOTAZIONI!$A$3:$A$262)=2026)*(PRENOTAZIONI!$D$3:$D$262="Casa Letizia"))</f>
        <v>1</v>
      </c>
      <c r="AI9" s="114">
        <f>SUMPRODUCT((PRENOTAZIONI!$A$3:$A$262&lt;DATE(2026,7,1))*(PRENOTAZIONI!$B$3:$B$262&gt;DATE(2026,6,1))*(YEAR(PRENOTAZIONI!$A$3:$A$262)=2026)*(PRENOTAZIONI!$D$3:$D$262="Casa Letizia")*((PRENOTAZIONI!$B$3:$B$262*(PRENOTAZIONI!$B$3:$B$262&lt;DATE(2026,7,1))+DATE(2026,7,1)*(PRENOTAZIONI!$B$3:$B$262&gt;=DATE(2026,7,1)))-(PRENOTAZIONI!$A$3:$A$262*(PRENOTAZIONI!$A$3:$A$262&gt;DATE(2026,6,1))+DATE(2026,6,1)*(PRENOTAZIONI!$A$3:$A$262&lt;=DATE(2026,6,1)))))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4</v>
      </c>
      <c r="AJ9" s="151">
        <f>SUMIF(A4:A33,"&gt;="&amp;DATE(2026,6,1),G4:G33)-SUMIF(A4:A33,"&gt;="&amp;DATE(2026,7,1),G4:G33)</f>
        <v>1056.7799999999997</v>
      </c>
      <c r="AK9" s="151">
        <f>SUMIF(A4:A33,"&gt;="&amp;DATE(2026,6,1),I4:I33)-SUMIF(A4:A33,"&gt;="&amp;DATE(2026,7,1),I4:I33)</f>
        <v>158.51699999999994</v>
      </c>
      <c r="AL9" s="151">
        <f>SUMIF(A4:A33,"&gt;="&amp;DATE(2026,6,1),L4:L33)-SUMIF(A4:A33,"&gt;="&amp;DATE(2026,7,1),L4:L33)</f>
        <v>10</v>
      </c>
      <c r="AM9" s="151">
        <f>SUMIF(A4:A33,"&gt;="&amp;DATE(2026,6,1),N4:N33)-SUMIF(A4:A33,"&gt;="&amp;DATE(2026,7,1),N4:N33)</f>
        <v>264.19499999999994</v>
      </c>
      <c r="AN9" s="152">
        <f>SUMIF(A4:A33,"&gt;="&amp;DATE(2026,6,1),M4:M33)-SUMIF(A4:A33,"&gt;="&amp;DATE(2026,7,1),M4:M33)</f>
        <v>221.92380000000003</v>
      </c>
      <c r="AO9" s="152">
        <f>SUMIF(A4:A33,"&gt;="&amp;DATE(2026,6,1),J4:J33)-SUMIF(A4:A33,"&gt;="&amp;DATE(2026,7,1),J4:J33)</f>
        <v>34.873739999999998</v>
      </c>
      <c r="AP9" s="153">
        <f>SUMIF(A4:A33,"&gt;="&amp;DATE(2026,6,1),Q4:Q33)-SUMIF(A4:A33,"&gt;="&amp;DATE(2026,7,1),Q4:Q33)</f>
        <v>347.27045999999973</v>
      </c>
    </row>
    <row r="10" spans="1:59" ht="20" customHeight="1" x14ac:dyDescent="0.2">
      <c r="A10" s="31">
        <f>IFERROR(INDEX(PRENOTAZIONI!$A:$A,SMALL(PRENOTAZIONI!$U:$U,7)),"")</f>
        <v>46244</v>
      </c>
      <c r="B10" s="31">
        <f>IFERROR(INDEX(PRENOTAZIONI!$B:$B,SMALL(PRENOTAZIONI!$U:$U,7)),"")</f>
        <v>46256</v>
      </c>
      <c r="C10" s="32">
        <f t="shared" si="0"/>
        <v>12</v>
      </c>
      <c r="D10" s="34" t="str">
        <f>IFERROR(INDEX(PRENOTAZIONI!$E:$E,SMALL(PRENOTAZIONI!$U:$U,7)),"")</f>
        <v>Eugenio Romor</v>
      </c>
      <c r="E10" s="34" t="str">
        <f>IFERROR(INDEX(PRENOTAZIONI!$F:$F,SMALL(PRENOTAZIONI!$U:$U,7)),"")</f>
        <v>2 ad 1 b</v>
      </c>
      <c r="F10" s="34" t="str">
        <f>IFERROR(INDEX(PRENOTAZIONI!$G:$G,SMALL(PRENOTAZIONI!$U:$U,7)),"")</f>
        <v>booking.com</v>
      </c>
      <c r="G10" s="35">
        <f>IFERROR(INDEX(PRENOTAZIONI!$H:$H,SMALL(PRENOTAZIONI!$U:$U,7)),"")</f>
        <v>1814.69</v>
      </c>
      <c r="H10" s="35">
        <f t="shared" si="1"/>
        <v>151.22416666666666</v>
      </c>
      <c r="I10" s="35">
        <f t="shared" si="9"/>
        <v>272.20350000000002</v>
      </c>
      <c r="J10" s="149">
        <f t="shared" si="2"/>
        <v>59.884770000000003</v>
      </c>
      <c r="K10" s="34">
        <f>IFERROR(INDEX(PRENOTAZIONI!$K:$K,SMALL(PRENOTAZIONI!$U:$U,7)),"")</f>
        <v>0</v>
      </c>
      <c r="L10" s="35">
        <f>IFERROR(INDEX(PRENOTAZIONI!$L:$L,SMALL(PRENOTAZIONI!$U:$U,7)),"")</f>
        <v>0</v>
      </c>
      <c r="M10" s="150">
        <f t="shared" si="3"/>
        <v>381.0849</v>
      </c>
      <c r="N10" s="35">
        <f t="shared" si="4"/>
        <v>453.67250000000001</v>
      </c>
      <c r="O10" s="35"/>
      <c r="P10" s="43"/>
      <c r="Q10" s="150">
        <f t="shared" si="5"/>
        <v>647.84432999999979</v>
      </c>
      <c r="R10" s="47">
        <f>IFERROR(INDEX(PRENOTAZIONI!$R:$R,SMALL(PRENOTAZIONI!$U:$U,7)),"")</f>
        <v>0</v>
      </c>
      <c r="S10" s="95"/>
      <c r="T10" s="94" t="str">
        <f>IFERROR(INDEX(PRENOTAZIONI!$A:$A,SMALL(PRENOTAZIONI!$AI:$AI,7)),"")</f>
        <v/>
      </c>
      <c r="U10" s="31" t="str">
        <f>IFERROR(INDEX(PRENOTAZIONI!$B:$B,SMALL(PRENOTAZIONI!$AI:$AI,7)),"")</f>
        <v/>
      </c>
      <c r="V10" s="32" t="str">
        <f t="shared" si="6"/>
        <v/>
      </c>
      <c r="W10" s="34" t="str">
        <f>IFERROR(INDEX(PRENOTAZIONI!$E:$E,SMALL(PRENOTAZIONI!$AI:$AI,7)),"")</f>
        <v/>
      </c>
      <c r="X10" s="34" t="str">
        <f>IFERROR(INDEX(PRENOTAZIONI!$F:$F,SMALL(PRENOTAZIONI!$AI:$AI,7)),"")</f>
        <v/>
      </c>
      <c r="Y10" s="35" t="str">
        <f>IFERROR(INDEX(PRENOTAZIONI!$H:$H,SMALL(PRENOTAZIONI!$AI:$AI,7)),"")</f>
        <v/>
      </c>
      <c r="Z10" s="34" t="str">
        <f>IFERROR(INDEX(PRENOTAZIONI!$K:$K,SMALL(PRENOTAZIONI!$AI:$AI,7)),"")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SUMPRODUCT((MONTH(PRENOTAZIONI!$A$3:$A$262)=7)*(YEAR(PRENOTAZIONI!$A$3:$A$262)=2026)*(PRENOTAZIONI!$D$3:$D$262="Casa Letizia"))</f>
        <v>3</v>
      </c>
      <c r="AI10" s="114">
        <f>SUMPRODUCT((PRENOTAZIONI!$A$3:$A$262&lt;DATE(2026,8,1))*(PRENOTAZIONI!$B$3:$B$262&gt;DATE(2026,7,1))*(YEAR(PRENOTAZIONI!$A$3:$A$262)=2026)*(PRENOTAZIONI!$D$3:$D$262="Casa Letizia")*((PRENOTAZIONI!$B$3:$B$262*(PRENOTAZIONI!$B$3:$B$262&lt;DATE(2026,8,1))+DATE(2026,8,1)*(PRENOTAZIONI!$B$3:$B$262&gt;=DATE(2026,8,1)))-(PRENOTAZIONI!$A$3:$A$262*(PRENOTAZIONI!$A$3:$A$262&gt;DATE(2026,7,1))+DATE(2026,7,1)*(PRENOTAZIONI!$A$3:$A$262&lt;=DATE(2026,7,1)))))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26</v>
      </c>
      <c r="AJ10" s="151">
        <f>SUMIF(A4:A33,"&gt;="&amp;DATE(2026,7,1),G4:G33)-SUMIF(A4:A33,"&gt;="&amp;DATE(2026,8,1),G4:G33)</f>
        <v>2187.31</v>
      </c>
      <c r="AK10" s="151">
        <f>SUMIF(A4:A33,"&gt;="&amp;DATE(2026,7,1),I4:I33)-SUMIF(A4:A33,"&gt;="&amp;DATE(2026,8,1),I4:I33)</f>
        <v>103.09649999999999</v>
      </c>
      <c r="AL10" s="151">
        <f>SUMIF(A4:A33,"&gt;="&amp;DATE(2026,7,1),L4:L33)-SUMIF(A4:A33,"&gt;="&amp;DATE(2026,8,1),L4:L33)</f>
        <v>35</v>
      </c>
      <c r="AM10" s="151">
        <f>SUMIF(A4:A33,"&gt;="&amp;DATE(2026,7,1),N4:N33)-SUMIF(A4:A33,"&gt;="&amp;DATE(2026,8,1),N4:N33)</f>
        <v>546.82749999999999</v>
      </c>
      <c r="AN10" s="152">
        <f>SUMIF(A4:A33,"&gt;="&amp;DATE(2026,7,1),M4:M33)-SUMIF(A4:A33,"&gt;="&amp;DATE(2026,8,1),M4:M33)</f>
        <v>459.33509999999978</v>
      </c>
      <c r="AO10" s="152">
        <f>SUMIF(A4:A33,"&gt;="&amp;DATE(2026,7,1),J4:J33)-SUMIF(A4:A33,"&gt;="&amp;DATE(2026,8,1),J4:J33)</f>
        <v>22.681230000000014</v>
      </c>
      <c r="AP10" s="153">
        <f>SUMIF(A4:A33,"&gt;="&amp;DATE(2026,7,1),Q4:Q33)-SUMIF(A4:A33,"&gt;="&amp;DATE(2026,8,1),Q4:Q33)</f>
        <v>1055.36967</v>
      </c>
    </row>
    <row r="11" spans="1:59" ht="20" customHeight="1" x14ac:dyDescent="0.2">
      <c r="A11" s="31">
        <f>IFERROR(INDEX(PRENOTAZIONI!$A:$A,SMALL(PRENOTAZIONI!$U:$U,8)),"")</f>
        <v>46256</v>
      </c>
      <c r="B11" s="31">
        <f>IFERROR(INDEX(PRENOTAZIONI!$B:$B,SMALL(PRENOTAZIONI!$U:$U,8)),"")</f>
        <v>46265</v>
      </c>
      <c r="C11" s="32">
        <f t="shared" si="0"/>
        <v>9</v>
      </c>
      <c r="D11" s="34" t="str">
        <f>IFERROR(INDEX(PRENOTAZIONI!$E:$E,SMALL(PRENOTAZIONI!$U:$U,8)),"")</f>
        <v>Valeria Rossi</v>
      </c>
      <c r="E11" s="34" t="str">
        <f>IFERROR(INDEX(PRENOTAZIONI!$F:$F,SMALL(PRENOTAZIONI!$U:$U,8)),"")</f>
        <v>4 ad</v>
      </c>
      <c r="F11" s="34" t="str">
        <f>IFERROR(INDEX(PRENOTAZIONI!$G:$G,SMALL(PRENOTAZIONI!$U:$U,8)),"")</f>
        <v>booking.com</v>
      </c>
      <c r="G11" s="35">
        <f>IFERROR(INDEX(PRENOTAZIONI!$H:$H,SMALL(PRENOTAZIONI!$U:$U,8)),"")</f>
        <v>1301.67</v>
      </c>
      <c r="H11" s="35">
        <f t="shared" si="1"/>
        <v>144.63</v>
      </c>
      <c r="I11" s="35">
        <f t="shared" si="9"/>
        <v>195.25050000000002</v>
      </c>
      <c r="J11" s="149">
        <f t="shared" si="2"/>
        <v>42.955110000000005</v>
      </c>
      <c r="K11" s="34">
        <f>IFERROR(INDEX(PRENOTAZIONI!$K:$K,SMALL(PRENOTAZIONI!$U:$U,8)),"")</f>
        <v>0</v>
      </c>
      <c r="L11" s="35">
        <f>IFERROR(INDEX(PRENOTAZIONI!$L:$L,SMALL(PRENOTAZIONI!$U:$U,8)),"")</f>
        <v>0</v>
      </c>
      <c r="M11" s="150">
        <f t="shared" si="3"/>
        <v>273.35070000000002</v>
      </c>
      <c r="N11" s="35">
        <f t="shared" si="4"/>
        <v>325.41750000000002</v>
      </c>
      <c r="O11" s="35"/>
      <c r="P11" s="43"/>
      <c r="Q11" s="150">
        <f t="shared" si="5"/>
        <v>464.69618999999989</v>
      </c>
      <c r="R11" s="47">
        <f>IFERROR(INDEX(PRENOTAZIONI!$R:$R,SMALL(PRENOTAZIONI!$U:$U,8)),"")</f>
        <v>0</v>
      </c>
      <c r="S11" s="95"/>
      <c r="T11" s="94" t="str">
        <f>IFERROR(INDEX(PRENOTAZIONI!$A:$A,SMALL(PRENOTAZIONI!$AI:$AI,8)),"")</f>
        <v/>
      </c>
      <c r="U11" s="31" t="str">
        <f>IFERROR(INDEX(PRENOTAZIONI!$B:$B,SMALL(PRENOTAZIONI!$AI:$AI,8)),"")</f>
        <v/>
      </c>
      <c r="V11" s="32" t="str">
        <f t="shared" si="6"/>
        <v/>
      </c>
      <c r="W11" s="34" t="str">
        <f>IFERROR(INDEX(PRENOTAZIONI!$E:$E,SMALL(PRENOTAZIONI!$AI:$AI,8)),"")</f>
        <v/>
      </c>
      <c r="X11" s="34" t="str">
        <f>IFERROR(INDEX(PRENOTAZIONI!$F:$F,SMALL(PRENOTAZIONI!$AI:$AI,8)),"")</f>
        <v/>
      </c>
      <c r="Y11" s="35" t="str">
        <f>IFERROR(INDEX(PRENOTAZIONI!$H:$H,SMALL(PRENOTAZIONI!$AI:$AI,8)),"")</f>
        <v/>
      </c>
      <c r="Z11" s="34" t="str">
        <f>IFERROR(INDEX(PRENOTAZIONI!$K:$K,SMALL(PRENOTAZIONI!$AI:$AI,8)),"")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SUMPRODUCT((MONTH(PRENOTAZIONI!$A$3:$A$262)=8)*(YEAR(PRENOTAZIONI!$A$3:$A$262)=2026)*(PRENOTAZIONI!$D$3:$D$262="Casa Letizia"))</f>
        <v>3</v>
      </c>
      <c r="AI11" s="114">
        <f>SUMPRODUCT((PRENOTAZIONI!$A$3:$A$262&lt;DATE(2026,9,1))*(PRENOTAZIONI!$B$3:$B$262&gt;DATE(2026,8,1))*(YEAR(PRENOTAZIONI!$A$3:$A$262)=2026)*(PRENOTAZIONI!$D$3:$D$262="Casa Letizia")*((PRENOTAZIONI!$B$3:$B$262*(PRENOTAZIONI!$B$3:$B$262&lt;DATE(2026,9,1))+DATE(2026,9,1)*(PRENOTAZIONI!$B$3:$B$262&gt;=DATE(2026,9,1)))-(PRENOTAZIONI!$A$3:$A$262*(PRENOTAZIONI!$A$3:$A$262&gt;DATE(2026,8,1))+DATE(2026,8,1)*(PRENOTAZIONI!$A$3:$A$262&lt;=DATE(2026,8,1)))))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27</v>
      </c>
      <c r="AJ11" s="151">
        <f>SUMIF(A4:A33,"&gt;="&amp;DATE(2026,8,1),G4:G33)-SUMIF(A4:A33,"&gt;="&amp;DATE(2026,9,1),G4:G33)</f>
        <v>3823.32</v>
      </c>
      <c r="AK11" s="151">
        <f>SUMIF(A4:A33,"&gt;="&amp;DATE(2026,8,1),I4:I33)-SUMIF(A4:A33,"&gt;="&amp;DATE(2026,9,1),I4:I33)</f>
        <v>573.49800000000005</v>
      </c>
      <c r="AL11" s="151">
        <f>SUMIF(A4:A33,"&gt;="&amp;DATE(2026,8,1),L4:L33)-SUMIF(A4:A33,"&gt;="&amp;DATE(2026,9,1),L4:L33)</f>
        <v>10</v>
      </c>
      <c r="AM11" s="151">
        <f>SUMIF(A4:A33,"&gt;="&amp;DATE(2026,8,1),N4:N33)-SUMIF(A4:A33,"&gt;="&amp;DATE(2026,9,1),N4:N33)</f>
        <v>955.83</v>
      </c>
      <c r="AN11" s="152">
        <f>SUMIF(A4:A33,"&gt;="&amp;DATE(2026,8,1),M4:M33)-SUMIF(A4:A33,"&gt;="&amp;DATE(2026,9,1),M4:M33)</f>
        <v>802.89720000000011</v>
      </c>
      <c r="AO11" s="152">
        <f>SUMIF(A4:A33,"&gt;="&amp;DATE(2026,8,1),J4:J33)-SUMIF(A4:A33,"&gt;="&amp;DATE(2026,9,1),J4:J33)</f>
        <v>126.16956</v>
      </c>
      <c r="AP11" s="153">
        <f>SUMIF(A4:A33,"&gt;="&amp;DATE(2026,8,1),Q4:Q33)-SUMIF(A4:A33,"&gt;="&amp;DATE(2026,9,1),Q4:Q33)</f>
        <v>1364.9252399999996</v>
      </c>
    </row>
    <row r="12" spans="1:59" ht="20" customHeight="1" x14ac:dyDescent="0.2">
      <c r="A12" s="31" t="str">
        <f>IFERROR(INDEX(PRENOTAZIONI!$A:$A,SMALL(PRENOTAZIONI!$U:$U,9)),"")</f>
        <v/>
      </c>
      <c r="B12" s="31" t="str">
        <f>IFERROR(INDEX(PRENOTAZIONI!$B:$B,SMALL(PRENOTAZIONI!$U:$U,9)),"")</f>
        <v/>
      </c>
      <c r="C12" s="32" t="str">
        <f t="shared" si="0"/>
        <v/>
      </c>
      <c r="D12" s="34" t="str">
        <f>IFERROR(INDEX(PRENOTAZIONI!$E:$E,SMALL(PRENOTAZIONI!$U:$U,9)),"")</f>
        <v/>
      </c>
      <c r="E12" s="34" t="str">
        <f>IFERROR(INDEX(PRENOTAZIONI!$F:$F,SMALL(PRENOTAZIONI!$U:$U,9)),"")</f>
        <v/>
      </c>
      <c r="F12" s="34" t="str">
        <f>IFERROR(INDEX(PRENOTAZIONI!$G:$G,SMALL(PRENOTAZIONI!$U:$U,9)),"")</f>
        <v/>
      </c>
      <c r="G12" s="35" t="str">
        <f>IFERROR(INDEX(PRENOTAZIONI!$H:$H,SMALL(PRENOTAZIONI!$U:$U,9)),"")</f>
        <v/>
      </c>
      <c r="H12" s="35" t="str">
        <f t="shared" si="1"/>
        <v/>
      </c>
      <c r="I12" s="35" t="str">
        <f t="shared" si="9"/>
        <v/>
      </c>
      <c r="J12" s="149" t="str">
        <f t="shared" si="2"/>
        <v/>
      </c>
      <c r="K12" s="34" t="str">
        <f>IFERROR(INDEX(PRENOTAZIONI!$K:$K,SMALL(PRENOTAZIONI!$U:$U,9)),"")</f>
        <v/>
      </c>
      <c r="L12" s="35" t="str">
        <f>IFERROR(INDEX(PRENOTAZIONI!$L:$L,SMALL(PRENOTAZIONI!$U:$U,9)),"")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47" t="str">
        <f>IFERROR(INDEX(PRENOTAZIONI!$R:$R,SMALL(PRENOTAZIONI!$U:$U,9)),"")</f>
        <v/>
      </c>
      <c r="S12" s="95"/>
      <c r="T12" s="94" t="str">
        <f>IFERROR(INDEX(PRENOTAZIONI!$A:$A,SMALL(PRENOTAZIONI!$AI:$AI,9)),"")</f>
        <v/>
      </c>
      <c r="U12" s="31" t="str">
        <f>IFERROR(INDEX(PRENOTAZIONI!$B:$B,SMALL(PRENOTAZIONI!$AI:$AI,9)),"")</f>
        <v/>
      </c>
      <c r="V12" s="32" t="str">
        <f t="shared" si="6"/>
        <v/>
      </c>
      <c r="W12" s="34" t="str">
        <f>IFERROR(INDEX(PRENOTAZIONI!$E:$E,SMALL(PRENOTAZIONI!$AI:$AI,9)),"")</f>
        <v/>
      </c>
      <c r="X12" s="34" t="str">
        <f>IFERROR(INDEX(PRENOTAZIONI!$F:$F,SMALL(PRENOTAZIONI!$AI:$AI,9)),"")</f>
        <v/>
      </c>
      <c r="Y12" s="35" t="str">
        <f>IFERROR(INDEX(PRENOTAZIONI!$H:$H,SMALL(PRENOTAZIONI!$AI:$AI,9)),"")</f>
        <v/>
      </c>
      <c r="Z12" s="34" t="str">
        <f>IFERROR(INDEX(PRENOTAZIONI!$K:$K,SMALL(PRENOTAZIONI!$AI:$AI,9)),"")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SUMPRODUCT((MONTH(PRENOTAZIONI!$A$3:$A$262)=9)*(YEAR(PRENOTAZIONI!$A$3:$A$262)=2026)*(PRENOTAZIONI!$D$3:$D$262="Casa Letizia"))</f>
        <v>0</v>
      </c>
      <c r="AI12" s="114">
        <f>SUMPRODUCT((PRENOTAZIONI!$A$3:$A$262&lt;DATE(2026,10,1))*(PRENOTAZIONI!$B$3:$B$262&gt;DATE(2026,9,1))*(YEAR(PRENOTAZIONI!$A$3:$A$262)=2026)*(PRENOTAZIONI!$D$3:$D$262="Casa Letizi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59" ht="20" customHeight="1" x14ac:dyDescent="0.2">
      <c r="A13" s="31" t="str">
        <f>IFERROR(INDEX(PRENOTAZIONI!$A:$A,SMALL(PRENOTAZIONI!$U:$U,10)),"")</f>
        <v/>
      </c>
      <c r="B13" s="31" t="str">
        <f>IFERROR(INDEX(PRENOTAZIONI!$B:$B,SMALL(PRENOTAZIONI!$U:$U,10)),"")</f>
        <v/>
      </c>
      <c r="C13" s="32" t="str">
        <f t="shared" si="0"/>
        <v/>
      </c>
      <c r="D13" s="34" t="str">
        <f>IFERROR(INDEX(PRENOTAZIONI!$E:$E,SMALL(PRENOTAZIONI!$U:$U,10)),"")</f>
        <v/>
      </c>
      <c r="E13" s="34" t="str">
        <f>IFERROR(INDEX(PRENOTAZIONI!$F:$F,SMALL(PRENOTAZIONI!$U:$U,10)),"")</f>
        <v/>
      </c>
      <c r="F13" s="34" t="str">
        <f>IFERROR(INDEX(PRENOTAZIONI!$G:$G,SMALL(PRENOTAZIONI!$U:$U,10)),"")</f>
        <v/>
      </c>
      <c r="G13" s="35" t="str">
        <f>IFERROR(INDEX(PRENOTAZIONI!$H:$H,SMALL(PRENOTAZIONI!$U:$U,10)),"")</f>
        <v/>
      </c>
      <c r="H13" s="35" t="str">
        <f t="shared" si="1"/>
        <v/>
      </c>
      <c r="I13" s="35" t="str">
        <f t="shared" si="9"/>
        <v/>
      </c>
      <c r="J13" s="149" t="str">
        <f t="shared" si="2"/>
        <v/>
      </c>
      <c r="K13" s="34" t="str">
        <f>IFERROR(INDEX(PRENOTAZIONI!$K:$K,SMALL(PRENOTAZIONI!$U:$U,10)),"")</f>
        <v/>
      </c>
      <c r="L13" s="35" t="str">
        <f>IFERROR(INDEX(PRENOTAZIONI!$L:$L,SMALL(PRENOTAZIONI!$U:$U,10)),"")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47" t="str">
        <f>IFERROR(INDEX(PRENOTAZIONI!$R:$R,SMALL(PRENOTAZIONI!$U:$U,10)),"")</f>
        <v/>
      </c>
      <c r="S13" s="95"/>
      <c r="T13" s="94" t="str">
        <f>IFERROR(INDEX(PRENOTAZIONI!$A:$A,SMALL(PRENOTAZIONI!$AI:$AI,10)),"")</f>
        <v/>
      </c>
      <c r="U13" s="31" t="str">
        <f>IFERROR(INDEX(PRENOTAZIONI!$B:$B,SMALL(PRENOTAZIONI!$AI:$AI,10)),"")</f>
        <v/>
      </c>
      <c r="V13" s="32" t="str">
        <f t="shared" si="6"/>
        <v/>
      </c>
      <c r="W13" s="34" t="str">
        <f>IFERROR(INDEX(PRENOTAZIONI!$E:$E,SMALL(PRENOTAZIONI!$AI:$AI,10)),"")</f>
        <v/>
      </c>
      <c r="X13" s="34" t="str">
        <f>IFERROR(INDEX(PRENOTAZIONI!$F:$F,SMALL(PRENOTAZIONI!$AI:$AI,10)),"")</f>
        <v/>
      </c>
      <c r="Y13" s="35" t="str">
        <f>IFERROR(INDEX(PRENOTAZIONI!$H:$H,SMALL(PRENOTAZIONI!$AI:$AI,10)),"")</f>
        <v/>
      </c>
      <c r="Z13" s="34" t="str">
        <f>IFERROR(INDEX(PRENOTAZIONI!$K:$K,SMALL(PRENOTAZIONI!$AI:$AI,10)),"")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SUMPRODUCT((MONTH(PRENOTAZIONI!$A$3:$A$262)=10)*(YEAR(PRENOTAZIONI!$A$3:$A$262)=2026)*(PRENOTAZIONI!$D$3:$D$262="Casa Letizia"))</f>
        <v>0</v>
      </c>
      <c r="AI13" s="114">
        <f>SUMPRODUCT((PRENOTAZIONI!$A$3:$A$262&lt;DATE(2026,11,1))*(PRENOTAZIONI!$B$3:$B$262&gt;DATE(2026,10,1))*(YEAR(PRENOTAZIONI!$A$3:$A$262)=2026)*(PRENOTAZIONI!$D$3:$D$262="Casa Letizi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59" ht="20" customHeight="1" x14ac:dyDescent="0.2">
      <c r="A14" s="31" t="str">
        <f>IFERROR(INDEX(PRENOTAZIONI!$A:$A,SMALL(PRENOTAZIONI!$U:$U,11)),"")</f>
        <v/>
      </c>
      <c r="B14" s="31" t="str">
        <f>IFERROR(INDEX(PRENOTAZIONI!$B:$B,SMALL(PRENOTAZIONI!$U:$U,11)),"")</f>
        <v/>
      </c>
      <c r="C14" s="32" t="str">
        <f t="shared" si="0"/>
        <v/>
      </c>
      <c r="D14" s="34" t="str">
        <f>IFERROR(INDEX(PRENOTAZIONI!$E:$E,SMALL(PRENOTAZIONI!$U:$U,11)),"")</f>
        <v/>
      </c>
      <c r="E14" s="34" t="str">
        <f>IFERROR(INDEX(PRENOTAZIONI!$F:$F,SMALL(PRENOTAZIONI!$U:$U,11)),"")</f>
        <v/>
      </c>
      <c r="F14" s="34" t="str">
        <f>IFERROR(INDEX(PRENOTAZIONI!$G:$G,SMALL(PRENOTAZIONI!$U:$U,11)),"")</f>
        <v/>
      </c>
      <c r="G14" s="35" t="str">
        <f>IFERROR(INDEX(PRENOTAZIONI!$H:$H,SMALL(PRENOTAZIONI!$U:$U,11)),"")</f>
        <v/>
      </c>
      <c r="H14" s="35" t="str">
        <f t="shared" si="1"/>
        <v/>
      </c>
      <c r="I14" s="35" t="str">
        <f t="shared" si="9"/>
        <v/>
      </c>
      <c r="J14" s="149" t="str">
        <f t="shared" si="2"/>
        <v/>
      </c>
      <c r="K14" s="34" t="str">
        <f>IFERROR(INDEX(PRENOTAZIONI!$K:$K,SMALL(PRENOTAZIONI!$U:$U,11)),"")</f>
        <v/>
      </c>
      <c r="L14" s="35" t="str">
        <f>IFERROR(INDEX(PRENOTAZIONI!$L:$L,SMALL(PRENOTAZIONI!$U:$U,11)),"")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47" t="str">
        <f>IFERROR(INDEX(PRENOTAZIONI!$R:$R,SMALL(PRENOTAZIONI!$U:$U,11)),"")</f>
        <v/>
      </c>
      <c r="S14" s="95"/>
      <c r="T14" s="94" t="str">
        <f>IFERROR(INDEX(PRENOTAZIONI!$A:$A,SMALL(PRENOTAZIONI!$AI:$AI,11)),"")</f>
        <v/>
      </c>
      <c r="U14" s="31" t="str">
        <f>IFERROR(INDEX(PRENOTAZIONI!$B:$B,SMALL(PRENOTAZIONI!$AI:$AI,11)),"")</f>
        <v/>
      </c>
      <c r="V14" s="32" t="str">
        <f t="shared" si="6"/>
        <v/>
      </c>
      <c r="W14" s="34" t="str">
        <f>IFERROR(INDEX(PRENOTAZIONI!$E:$E,SMALL(PRENOTAZIONI!$AI:$AI,11)),"")</f>
        <v/>
      </c>
      <c r="X14" s="34" t="str">
        <f>IFERROR(INDEX(PRENOTAZIONI!$F:$F,SMALL(PRENOTAZIONI!$AI:$AI,11)),"")</f>
        <v/>
      </c>
      <c r="Y14" s="35" t="str">
        <f>IFERROR(INDEX(PRENOTAZIONI!$H:$H,SMALL(PRENOTAZIONI!$AI:$AI,11)),"")</f>
        <v/>
      </c>
      <c r="Z14" s="34" t="str">
        <f>IFERROR(INDEX(PRENOTAZIONI!$K:$K,SMALL(PRENOTAZIONI!$AI:$AI,11)),"")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SUMPRODUCT((MONTH(PRENOTAZIONI!$A$3:$A$262)=11)*(YEAR(PRENOTAZIONI!$A$3:$A$262)=2026)*(PRENOTAZIONI!$D$3:$D$262="Casa Letizia"))</f>
        <v>0</v>
      </c>
      <c r="AI14" s="114">
        <f>SUMPRODUCT((PRENOTAZIONI!$A$3:$A$262&lt;DATE(2026,12,1))*(PRENOTAZIONI!$B$3:$B$262&gt;DATE(2026,11,1))*(YEAR(PRENOTAZIONI!$A$3:$A$262)=2026)*(PRENOTAZIONI!$D$3:$D$262="Casa Letizi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59" ht="20" customHeight="1" x14ac:dyDescent="0.2">
      <c r="A15" s="31" t="str">
        <f>IFERROR(INDEX(PRENOTAZIONI!$A:$A,SMALL(PRENOTAZIONI!$U:$U,12)),"")</f>
        <v/>
      </c>
      <c r="B15" s="31" t="str">
        <f>IFERROR(INDEX(PRENOTAZIONI!$B:$B,SMALL(PRENOTAZIONI!$U:$U,12)),"")</f>
        <v/>
      </c>
      <c r="C15" s="32" t="str">
        <f t="shared" si="0"/>
        <v/>
      </c>
      <c r="D15" s="34" t="str">
        <f>IFERROR(INDEX(PRENOTAZIONI!$E:$E,SMALL(PRENOTAZIONI!$U:$U,12)),"")</f>
        <v/>
      </c>
      <c r="E15" s="34" t="str">
        <f>IFERROR(INDEX(PRENOTAZIONI!$F:$F,SMALL(PRENOTAZIONI!$U:$U,12)),"")</f>
        <v/>
      </c>
      <c r="F15" s="34" t="str">
        <f>IFERROR(INDEX(PRENOTAZIONI!$G:$G,SMALL(PRENOTAZIONI!$U:$U,12)),"")</f>
        <v/>
      </c>
      <c r="G15" s="35" t="str">
        <f>IFERROR(INDEX(PRENOTAZIONI!$H:$H,SMALL(PRENOTAZIONI!$U:$U,12)),"")</f>
        <v/>
      </c>
      <c r="H15" s="35" t="str">
        <f t="shared" si="1"/>
        <v/>
      </c>
      <c r="I15" s="35" t="str">
        <f t="shared" si="9"/>
        <v/>
      </c>
      <c r="J15" s="149" t="str">
        <f t="shared" si="2"/>
        <v/>
      </c>
      <c r="K15" s="34" t="str">
        <f>IFERROR(INDEX(PRENOTAZIONI!$K:$K,SMALL(PRENOTAZIONI!$U:$U,12)),"")</f>
        <v/>
      </c>
      <c r="L15" s="35" t="str">
        <f>IFERROR(INDEX(PRENOTAZIONI!$L:$L,SMALL(PRENOTAZIONI!$U:$U,12)),"")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47" t="str">
        <f>IFERROR(INDEX(PRENOTAZIONI!$R:$R,SMALL(PRENOTAZIONI!$U:$U,12)),"")</f>
        <v/>
      </c>
      <c r="S15" s="95"/>
      <c r="T15" s="94" t="str">
        <f>IFERROR(INDEX(PRENOTAZIONI!$A:$A,SMALL(PRENOTAZIONI!$AI:$AI,12)),"")</f>
        <v/>
      </c>
      <c r="U15" s="31" t="str">
        <f>IFERROR(INDEX(PRENOTAZIONI!$B:$B,SMALL(PRENOTAZIONI!$AI:$AI,12)),"")</f>
        <v/>
      </c>
      <c r="V15" s="32" t="str">
        <f t="shared" si="6"/>
        <v/>
      </c>
      <c r="W15" s="34" t="str">
        <f>IFERROR(INDEX(PRENOTAZIONI!$E:$E,SMALL(PRENOTAZIONI!$AI:$AI,12)),"")</f>
        <v/>
      </c>
      <c r="X15" s="34" t="str">
        <f>IFERROR(INDEX(PRENOTAZIONI!$F:$F,SMALL(PRENOTAZIONI!$AI:$AI,12)),"")</f>
        <v/>
      </c>
      <c r="Y15" s="35" t="str">
        <f>IFERROR(INDEX(PRENOTAZIONI!$H:$H,SMALL(PRENOTAZIONI!$AI:$AI,12)),"")</f>
        <v/>
      </c>
      <c r="Z15" s="34" t="str">
        <f>IFERROR(INDEX(PRENOTAZIONI!$K:$K,SMALL(PRENOTAZIONI!$AI:$AI,12)),"")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SUMPRODUCT((MONTH(PRENOTAZIONI!$A$3:$A$262)=12)*(YEAR(PRENOTAZIONI!$A$3:$A$262)=2026)*(PRENOTAZIONI!$D$3:$D$262="Casa Letizia"))</f>
        <v>0</v>
      </c>
      <c r="AI15" s="114">
        <f>SUMPRODUCT((PRENOTAZIONI!$A$3:$A$262&lt;DATE(2027,1,1))*(PRENOTAZIONI!$B$3:$B$262&gt;DATE(2026,12,1))*(YEAR(PRENOTAZIONI!$A$3:$A$262)=2026)*(PRENOTAZIONI!$D$3:$D$262="Casa Letizi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59" ht="26" customHeight="1" x14ac:dyDescent="0.2">
      <c r="A16" s="31" t="str">
        <f>IFERROR(INDEX(PRENOTAZIONI!$A:$A,SMALL(PRENOTAZIONI!$U:$U,13)),"")</f>
        <v/>
      </c>
      <c r="B16" s="31" t="str">
        <f>IFERROR(INDEX(PRENOTAZIONI!$B:$B,SMALL(PRENOTAZIONI!$U:$U,13)),"")</f>
        <v/>
      </c>
      <c r="C16" s="32" t="str">
        <f t="shared" si="0"/>
        <v/>
      </c>
      <c r="D16" s="34" t="str">
        <f>IFERROR(INDEX(PRENOTAZIONI!$E:$E,SMALL(PRENOTAZIONI!$U:$U,13)),"")</f>
        <v/>
      </c>
      <c r="E16" s="34" t="str">
        <f>IFERROR(INDEX(PRENOTAZIONI!$F:$F,SMALL(PRENOTAZIONI!$U:$U,13)),"")</f>
        <v/>
      </c>
      <c r="F16" s="34" t="str">
        <f>IFERROR(INDEX(PRENOTAZIONI!$G:$G,SMALL(PRENOTAZIONI!$U:$U,13)),"")</f>
        <v/>
      </c>
      <c r="G16" s="35" t="str">
        <f>IFERROR(INDEX(PRENOTAZIONI!$H:$H,SMALL(PRENOTAZIONI!$U:$U,13)),"")</f>
        <v/>
      </c>
      <c r="H16" s="35" t="str">
        <f t="shared" si="1"/>
        <v/>
      </c>
      <c r="I16" s="35" t="str">
        <f t="shared" si="9"/>
        <v/>
      </c>
      <c r="J16" s="149" t="str">
        <f t="shared" si="2"/>
        <v/>
      </c>
      <c r="K16" s="34" t="str">
        <f>IFERROR(INDEX(PRENOTAZIONI!$K:$K,SMALL(PRENOTAZIONI!$U:$U,13)),"")</f>
        <v/>
      </c>
      <c r="L16" s="35" t="str">
        <f>IFERROR(INDEX(PRENOTAZIONI!$L:$L,SMALL(PRENOTAZIONI!$U:$U,13)),"")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47" t="str">
        <f>IFERROR(INDEX(PRENOTAZIONI!$R:$R,SMALL(PRENOTAZIONI!$U:$U,13)),"")</f>
        <v/>
      </c>
      <c r="S16" s="95"/>
      <c r="T16" s="94" t="str">
        <f>IFERROR(INDEX(PRENOTAZIONI!$A:$A,SMALL(PRENOTAZIONI!$AI:$AI,13)),"")</f>
        <v/>
      </c>
      <c r="U16" s="31" t="str">
        <f>IFERROR(INDEX(PRENOTAZIONI!$B:$B,SMALL(PRENOTAZIONI!$AI:$AI,13)),"")</f>
        <v/>
      </c>
      <c r="V16" s="32" t="str">
        <f t="shared" si="6"/>
        <v/>
      </c>
      <c r="W16" s="34" t="str">
        <f>IFERROR(INDEX(PRENOTAZIONI!$E:$E,SMALL(PRENOTAZIONI!$AI:$AI,13)),"")</f>
        <v/>
      </c>
      <c r="X16" s="34" t="str">
        <f>IFERROR(INDEX(PRENOTAZIONI!$F:$F,SMALL(PRENOTAZIONI!$AI:$AI,13)),"")</f>
        <v/>
      </c>
      <c r="Y16" s="35" t="str">
        <f>IFERROR(INDEX(PRENOTAZIONI!$H:$H,SMALL(PRENOTAZIONI!$AI:$AI,13)),"")</f>
        <v/>
      </c>
      <c r="Z16" s="34" t="str">
        <f>IFERROR(INDEX(PRENOTAZIONI!$K:$K,SMALL(PRENOTAZIONI!$AI:$AI,13)),"")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8</v>
      </c>
      <c r="AI16" s="116">
        <f t="shared" si="10"/>
        <v>59</v>
      </c>
      <c r="AJ16" s="116">
        <f t="shared" si="10"/>
        <v>7368.7200000000012</v>
      </c>
      <c r="AK16" s="116">
        <f t="shared" si="10"/>
        <v>880.30799999999999</v>
      </c>
      <c r="AL16" s="116">
        <f t="shared" si="10"/>
        <v>61</v>
      </c>
      <c r="AM16" s="116">
        <f t="shared" si="10"/>
        <v>1842.1800000000003</v>
      </c>
      <c r="AN16" s="116">
        <f t="shared" si="10"/>
        <v>1547.4312</v>
      </c>
      <c r="AO16" s="117">
        <f t="shared" si="10"/>
        <v>193.66775999999999</v>
      </c>
      <c r="AP16" s="117">
        <f t="shared" si="10"/>
        <v>2875.1330399999997</v>
      </c>
    </row>
    <row r="17" spans="1:42" ht="22" customHeight="1" x14ac:dyDescent="0.2">
      <c r="A17" s="31" t="str">
        <f>IFERROR(INDEX(PRENOTAZIONI!$A:$A,SMALL(PRENOTAZIONI!$U:$U,14)),"")</f>
        <v/>
      </c>
      <c r="B17" s="31" t="str">
        <f>IFERROR(INDEX(PRENOTAZIONI!$B:$B,SMALL(PRENOTAZIONI!$U:$U,14)),"")</f>
        <v/>
      </c>
      <c r="C17" s="32" t="str">
        <f t="shared" si="0"/>
        <v/>
      </c>
      <c r="D17" s="34" t="str">
        <f>IFERROR(INDEX(PRENOTAZIONI!$E:$E,SMALL(PRENOTAZIONI!$U:$U,14)),"")</f>
        <v/>
      </c>
      <c r="E17" s="34" t="str">
        <f>IFERROR(INDEX(PRENOTAZIONI!$F:$F,SMALL(PRENOTAZIONI!$U:$U,14)),"")</f>
        <v/>
      </c>
      <c r="F17" s="34" t="str">
        <f>IFERROR(INDEX(PRENOTAZIONI!$G:$G,SMALL(PRENOTAZIONI!$U:$U,14)),"")</f>
        <v/>
      </c>
      <c r="G17" s="35" t="str">
        <f>IFERROR(INDEX(PRENOTAZIONI!$H:$H,SMALL(PRENOTAZIONI!$U:$U,14)),"")</f>
        <v/>
      </c>
      <c r="H17" s="35" t="str">
        <f t="shared" si="1"/>
        <v/>
      </c>
      <c r="I17" s="35" t="str">
        <f t="shared" si="9"/>
        <v/>
      </c>
      <c r="J17" s="149" t="str">
        <f t="shared" si="2"/>
        <v/>
      </c>
      <c r="K17" s="34" t="str">
        <f>IFERROR(INDEX(PRENOTAZIONI!$K:$K,SMALL(PRENOTAZIONI!$U:$U,14)),"")</f>
        <v/>
      </c>
      <c r="L17" s="35" t="str">
        <f>IFERROR(INDEX(PRENOTAZIONI!$L:$L,SMALL(PRENOTAZIONI!$U:$U,14)),"")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47" t="s">
        <v>351</v>
      </c>
      <c r="S17" s="95"/>
      <c r="T17" s="94" t="str">
        <f>IFERROR(INDEX(PRENOTAZIONI!$A:$A,SMALL(PRENOTAZIONI!$AI:$AI,14)),"")</f>
        <v/>
      </c>
      <c r="U17" s="31" t="str">
        <f>IFERROR(INDEX(PRENOTAZIONI!$B:$B,SMALL(PRENOTAZIONI!$AI:$AI,14)),"")</f>
        <v/>
      </c>
      <c r="V17" s="32" t="str">
        <f t="shared" si="6"/>
        <v/>
      </c>
      <c r="W17" s="34" t="str">
        <f>IFERROR(INDEX(PRENOTAZIONI!$E:$E,SMALL(PRENOTAZIONI!$AI:$AI,14)),"")</f>
        <v/>
      </c>
      <c r="X17" s="34" t="str">
        <f>IFERROR(INDEX(PRENOTAZIONI!$F:$F,SMALL(PRENOTAZIONI!$AI:$AI,14)),"")</f>
        <v/>
      </c>
      <c r="Y17" s="35" t="str">
        <f>IFERROR(INDEX(PRENOTAZIONI!$H:$H,SMALL(PRENOTAZIONI!$AI:$AI,14)),"")</f>
        <v/>
      </c>
      <c r="Z17" s="34" t="str">
        <f>IFERROR(INDEX(PRENOTAZIONI!$K:$K,SMALL(PRENOTAZIONI!$AI:$AI,14)),"")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IFERROR(INDEX(PRENOTAZIONI!$A:$A,SMALL(PRENOTAZIONI!$U:$U,15)),"")</f>
        <v/>
      </c>
      <c r="B18" s="31" t="str">
        <f>IFERROR(INDEX(PRENOTAZIONI!$B:$B,SMALL(PRENOTAZIONI!$U:$U,15)),"")</f>
        <v/>
      </c>
      <c r="C18" s="32" t="str">
        <f t="shared" si="0"/>
        <v/>
      </c>
      <c r="D18" s="34" t="str">
        <f>IFERROR(INDEX(PRENOTAZIONI!$E:$E,SMALL(PRENOTAZIONI!$U:$U,15)),"")</f>
        <v/>
      </c>
      <c r="E18" s="34" t="str">
        <f>IFERROR(INDEX(PRENOTAZIONI!$F:$F,SMALL(PRENOTAZIONI!$U:$U,15)),"")</f>
        <v/>
      </c>
      <c r="F18" s="34" t="str">
        <f>IFERROR(INDEX(PRENOTAZIONI!$G:$G,SMALL(PRENOTAZIONI!$U:$U,15)),"")</f>
        <v/>
      </c>
      <c r="G18" s="35" t="str">
        <f>IFERROR(INDEX(PRENOTAZIONI!$H:$H,SMALL(PRENOTAZIONI!$U:$U,15)),"")</f>
        <v/>
      </c>
      <c r="H18" s="35" t="str">
        <f t="shared" si="1"/>
        <v/>
      </c>
      <c r="I18" s="35" t="str">
        <f t="shared" si="9"/>
        <v/>
      </c>
      <c r="J18" s="149" t="str">
        <f t="shared" si="2"/>
        <v/>
      </c>
      <c r="K18" s="34" t="str">
        <f>IFERROR(INDEX(PRENOTAZIONI!$K:$K,SMALL(PRENOTAZIONI!$U:$U,15)),"")</f>
        <v/>
      </c>
      <c r="L18" s="35" t="str">
        <f>IFERROR(INDEX(PRENOTAZIONI!$L:$L,SMALL(PRENOTAZIONI!$U:$U,15)),"")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47" t="str">
        <f>IFERROR(INDEX(PRENOTAZIONI!$R:$R,SMALL(PRENOTAZIONI!$U:$U,15)),"")</f>
        <v/>
      </c>
      <c r="S18" s="95"/>
      <c r="T18" s="94" t="str">
        <f>IFERROR(INDEX(PRENOTAZIONI!$A:$A,SMALL(PRENOTAZIONI!$AI:$AI,15)),"")</f>
        <v/>
      </c>
      <c r="U18" s="31" t="str">
        <f>IFERROR(INDEX(PRENOTAZIONI!$B:$B,SMALL(PRENOTAZIONI!$AI:$AI,15)),"")</f>
        <v/>
      </c>
      <c r="V18" s="32" t="str">
        <f t="shared" si="6"/>
        <v/>
      </c>
      <c r="W18" s="34" t="str">
        <f>IFERROR(INDEX(PRENOTAZIONI!$E:$E,SMALL(PRENOTAZIONI!$AI:$AI,15)),"")</f>
        <v/>
      </c>
      <c r="X18" s="34" t="str">
        <f>IFERROR(INDEX(PRENOTAZIONI!$F:$F,SMALL(PRENOTAZIONI!$AI:$AI,15)),"")</f>
        <v/>
      </c>
      <c r="Y18" s="35" t="str">
        <f>IFERROR(INDEX(PRENOTAZIONI!$H:$H,SMALL(PRENOTAZIONI!$AI:$AI,15)),"")</f>
        <v/>
      </c>
      <c r="Z18" s="34" t="str">
        <f>IFERROR(INDEX(PRENOTAZIONI!$K:$K,SMALL(PRENOTAZIONI!$AI:$AI,15)),"")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IFERROR(INDEX(PRENOTAZIONI!$A:$A,SMALL(PRENOTAZIONI!$U:$U,16)),"")</f>
        <v/>
      </c>
      <c r="B19" s="31" t="str">
        <f>IFERROR(INDEX(PRENOTAZIONI!$B:$B,SMALL(PRENOTAZIONI!$U:$U,16)),"")</f>
        <v/>
      </c>
      <c r="C19" s="32" t="str">
        <f t="shared" si="0"/>
        <v/>
      </c>
      <c r="D19" s="34" t="str">
        <f>IFERROR(INDEX(PRENOTAZIONI!$E:$E,SMALL(PRENOTAZIONI!$U:$U,16)),"")</f>
        <v/>
      </c>
      <c r="E19" s="34" t="str">
        <f>IFERROR(INDEX(PRENOTAZIONI!$F:$F,SMALL(PRENOTAZIONI!$U:$U,16)),"")</f>
        <v/>
      </c>
      <c r="F19" s="34" t="str">
        <f>IFERROR(INDEX(PRENOTAZIONI!$G:$G,SMALL(PRENOTAZIONI!$U:$U,16)),"")</f>
        <v/>
      </c>
      <c r="G19" s="35" t="str">
        <f>IFERROR(INDEX(PRENOTAZIONI!$H:$H,SMALL(PRENOTAZIONI!$U:$U,16)),"")</f>
        <v/>
      </c>
      <c r="H19" s="35" t="str">
        <f t="shared" si="1"/>
        <v/>
      </c>
      <c r="I19" s="35" t="str">
        <f t="shared" si="9"/>
        <v/>
      </c>
      <c r="J19" s="149" t="str">
        <f t="shared" si="2"/>
        <v/>
      </c>
      <c r="K19" s="34" t="str">
        <f>IFERROR(INDEX(PRENOTAZIONI!$K:$K,SMALL(PRENOTAZIONI!$U:$U,16)),"")</f>
        <v/>
      </c>
      <c r="L19" s="35" t="str">
        <f>IFERROR(INDEX(PRENOTAZIONI!$L:$L,SMALL(PRENOTAZIONI!$U:$U,16)),"")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47" t="str">
        <f>IFERROR(INDEX(PRENOTAZIONI!$R:$R,SMALL(PRENOTAZIONI!$U:$U,16)),"")</f>
        <v/>
      </c>
      <c r="S19" s="95"/>
      <c r="T19" s="94" t="str">
        <f>IFERROR(INDEX(PRENOTAZIONI!$A:$A,SMALL(PRENOTAZIONI!$AI:$AI,16)),"")</f>
        <v/>
      </c>
      <c r="U19" s="31" t="str">
        <f>IFERROR(INDEX(PRENOTAZIONI!$B:$B,SMALL(PRENOTAZIONI!$AI:$AI,16)),"")</f>
        <v/>
      </c>
      <c r="V19" s="32" t="str">
        <f t="shared" si="6"/>
        <v/>
      </c>
      <c r="W19" s="34" t="str">
        <f>IFERROR(INDEX(PRENOTAZIONI!$E:$E,SMALL(PRENOTAZIONI!$AI:$AI,16)),"")</f>
        <v/>
      </c>
      <c r="X19" s="34" t="str">
        <f>IFERROR(INDEX(PRENOTAZIONI!$F:$F,SMALL(PRENOTAZIONI!$AI:$AI,16)),"")</f>
        <v/>
      </c>
      <c r="Y19" s="35" t="str">
        <f>IFERROR(INDEX(PRENOTAZIONI!$H:$H,SMALL(PRENOTAZIONI!$AI:$AI,16)),"")</f>
        <v/>
      </c>
      <c r="Z19" s="34" t="str">
        <f>IFERROR(INDEX(PRENOTAZIONI!$K:$K,SMALL(PRENOTAZIONI!$AI:$AI,16)),"")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IFERROR(INDEX(PRENOTAZIONI!$A:$A,SMALL(PRENOTAZIONI!$U:$U,17)),"")</f>
        <v/>
      </c>
      <c r="B20" s="31" t="str">
        <f>IFERROR(INDEX(PRENOTAZIONI!$B:$B,SMALL(PRENOTAZIONI!$U:$U,17)),"")</f>
        <v/>
      </c>
      <c r="C20" s="32" t="str">
        <f t="shared" si="0"/>
        <v/>
      </c>
      <c r="D20" s="34" t="str">
        <f>IFERROR(INDEX(PRENOTAZIONI!$E:$E,SMALL(PRENOTAZIONI!$U:$U,17)),"")</f>
        <v/>
      </c>
      <c r="E20" s="34" t="str">
        <f>IFERROR(INDEX(PRENOTAZIONI!$F:$F,SMALL(PRENOTAZIONI!$U:$U,17)),"")</f>
        <v/>
      </c>
      <c r="F20" s="34" t="str">
        <f>IFERROR(INDEX(PRENOTAZIONI!$G:$G,SMALL(PRENOTAZIONI!$U:$U,17)),"")</f>
        <v/>
      </c>
      <c r="G20" s="35" t="str">
        <f>IFERROR(INDEX(PRENOTAZIONI!$H:$H,SMALL(PRENOTAZIONI!$U:$U,17)),"")</f>
        <v/>
      </c>
      <c r="H20" s="35" t="str">
        <f t="shared" si="1"/>
        <v/>
      </c>
      <c r="I20" s="35" t="str">
        <f t="shared" si="9"/>
        <v/>
      </c>
      <c r="J20" s="149" t="str">
        <f t="shared" si="2"/>
        <v/>
      </c>
      <c r="K20" s="34" t="str">
        <f>IFERROR(INDEX(PRENOTAZIONI!$K:$K,SMALL(PRENOTAZIONI!$U:$U,17)),"")</f>
        <v/>
      </c>
      <c r="L20" s="35" t="str">
        <f>IFERROR(INDEX(PRENOTAZIONI!$L:$L,SMALL(PRENOTAZIONI!$U:$U,17)),"")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47" t="str">
        <f>IFERROR(INDEX(PRENOTAZIONI!$R:$R,SMALL(PRENOTAZIONI!$U:$U,17)),"")</f>
        <v/>
      </c>
      <c r="S20" s="95"/>
      <c r="T20" s="94" t="str">
        <f>IFERROR(INDEX(PRENOTAZIONI!$A:$A,SMALL(PRENOTAZIONI!$AI:$AI,17)),"")</f>
        <v/>
      </c>
      <c r="U20" s="31" t="str">
        <f>IFERROR(INDEX(PRENOTAZIONI!$B:$B,SMALL(PRENOTAZIONI!$AI:$AI,17)),"")</f>
        <v/>
      </c>
      <c r="V20" s="32" t="str">
        <f t="shared" si="6"/>
        <v/>
      </c>
      <c r="W20" s="34" t="str">
        <f>IFERROR(INDEX(PRENOTAZIONI!$E:$E,SMALL(PRENOTAZIONI!$AI:$AI,17)),"")</f>
        <v/>
      </c>
      <c r="X20" s="34" t="str">
        <f>IFERROR(INDEX(PRENOTAZIONI!$F:$F,SMALL(PRENOTAZIONI!$AI:$AI,17)),"")</f>
        <v/>
      </c>
      <c r="Y20" s="35" t="str">
        <f>IFERROR(INDEX(PRENOTAZIONI!$H:$H,SMALL(PRENOTAZIONI!$AI:$AI,17)),"")</f>
        <v/>
      </c>
      <c r="Z20" s="34" t="str">
        <f>IFERROR(INDEX(PRENOTAZIONI!$K:$K,SMALL(PRENOTAZIONI!$AI:$AI,17)),"")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IFERROR(INDEX(PRENOTAZIONI!$A:$A,SMALL(PRENOTAZIONI!$U:$U,18)),"")</f>
        <v/>
      </c>
      <c r="B21" s="31" t="str">
        <f>IFERROR(INDEX(PRENOTAZIONI!$B:$B,SMALL(PRENOTAZIONI!$U:$U,18)),"")</f>
        <v/>
      </c>
      <c r="C21" s="32" t="str">
        <f t="shared" si="0"/>
        <v/>
      </c>
      <c r="D21" s="34" t="str">
        <f>IFERROR(INDEX(PRENOTAZIONI!$E:$E,SMALL(PRENOTAZIONI!$U:$U,18)),"")</f>
        <v/>
      </c>
      <c r="E21" s="34" t="str">
        <f>IFERROR(INDEX(PRENOTAZIONI!$F:$F,SMALL(PRENOTAZIONI!$U:$U,18)),"")</f>
        <v/>
      </c>
      <c r="F21" s="34" t="str">
        <f>IFERROR(INDEX(PRENOTAZIONI!$G:$G,SMALL(PRENOTAZIONI!$U:$U,18)),"")</f>
        <v/>
      </c>
      <c r="G21" s="35" t="str">
        <f>IFERROR(INDEX(PRENOTAZIONI!$H:$H,SMALL(PRENOTAZIONI!$U:$U,18)),"")</f>
        <v/>
      </c>
      <c r="H21" s="35" t="str">
        <f t="shared" si="1"/>
        <v/>
      </c>
      <c r="I21" s="35" t="str">
        <f t="shared" si="9"/>
        <v/>
      </c>
      <c r="J21" s="149" t="str">
        <f t="shared" si="2"/>
        <v/>
      </c>
      <c r="K21" s="34" t="str">
        <f>IFERROR(INDEX(PRENOTAZIONI!$K:$K,SMALL(PRENOTAZIONI!$U:$U,18)),"")</f>
        <v/>
      </c>
      <c r="L21" s="35" t="str">
        <f>IFERROR(INDEX(PRENOTAZIONI!$L:$L,SMALL(PRENOTAZIONI!$U:$U,18)),"")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47" t="str">
        <f>IFERROR(INDEX(PRENOTAZIONI!$R:$R,SMALL(PRENOTAZIONI!$U:$U,18)),"")</f>
        <v/>
      </c>
      <c r="S21" s="95"/>
      <c r="T21" s="94" t="str">
        <f>IFERROR(INDEX(PRENOTAZIONI!$A:$A,SMALL(PRENOTAZIONI!$AI:$AI,18)),"")</f>
        <v/>
      </c>
      <c r="U21" s="31" t="str">
        <f>IFERROR(INDEX(PRENOTAZIONI!$B:$B,SMALL(PRENOTAZIONI!$AI:$AI,18)),"")</f>
        <v/>
      </c>
      <c r="V21" s="32" t="str">
        <f t="shared" si="6"/>
        <v/>
      </c>
      <c r="W21" s="34" t="str">
        <f>IFERROR(INDEX(PRENOTAZIONI!$E:$E,SMALL(PRENOTAZIONI!$AI:$AI,18)),"")</f>
        <v/>
      </c>
      <c r="X21" s="34" t="str">
        <f>IFERROR(INDEX(PRENOTAZIONI!$F:$F,SMALL(PRENOTAZIONI!$AI:$AI,18)),"")</f>
        <v/>
      </c>
      <c r="Y21" s="35" t="str">
        <f>IFERROR(INDEX(PRENOTAZIONI!$H:$H,SMALL(PRENOTAZIONI!$AI:$AI,18)),"")</f>
        <v/>
      </c>
      <c r="Z21" s="34" t="str">
        <f>IFERROR(INDEX(PRENOTAZIONI!$K:$K,SMALL(PRENOTAZIONI!$AI:$AI,18)),"")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IFERROR(INDEX(PRENOTAZIONI!$A:$A,SMALL(PRENOTAZIONI!$U:$U,19)),"")</f>
        <v/>
      </c>
      <c r="B22" s="31" t="str">
        <f>IFERROR(INDEX(PRENOTAZIONI!$B:$B,SMALL(PRENOTAZIONI!$U:$U,19)),"")</f>
        <v/>
      </c>
      <c r="C22" s="32" t="str">
        <f t="shared" si="0"/>
        <v/>
      </c>
      <c r="D22" s="34" t="str">
        <f>IFERROR(INDEX(PRENOTAZIONI!$E:$E,SMALL(PRENOTAZIONI!$U:$U,19)),"")</f>
        <v/>
      </c>
      <c r="E22" s="34" t="str">
        <f>IFERROR(INDEX(PRENOTAZIONI!$F:$F,SMALL(PRENOTAZIONI!$U:$U,19)),"")</f>
        <v/>
      </c>
      <c r="F22" s="34" t="str">
        <f>IFERROR(INDEX(PRENOTAZIONI!$G:$G,SMALL(PRENOTAZIONI!$U:$U,19)),"")</f>
        <v/>
      </c>
      <c r="G22" s="35" t="str">
        <f>IFERROR(INDEX(PRENOTAZIONI!$H:$H,SMALL(PRENOTAZIONI!$U:$U,19)),"")</f>
        <v/>
      </c>
      <c r="H22" s="35" t="str">
        <f t="shared" si="1"/>
        <v/>
      </c>
      <c r="I22" s="35" t="str">
        <f t="shared" si="9"/>
        <v/>
      </c>
      <c r="J22" s="149" t="str">
        <f t="shared" si="2"/>
        <v/>
      </c>
      <c r="K22" s="34" t="str">
        <f>IFERROR(INDEX(PRENOTAZIONI!$K:$K,SMALL(PRENOTAZIONI!$U:$U,19)),"")</f>
        <v/>
      </c>
      <c r="L22" s="35" t="str">
        <f>IFERROR(INDEX(PRENOTAZIONI!$L:$L,SMALL(PRENOTAZIONI!$U:$U,19)),"")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47" t="str">
        <f>IFERROR(INDEX(PRENOTAZIONI!$R:$R,SMALL(PRENOTAZIONI!$U:$U,19)),"")</f>
        <v/>
      </c>
      <c r="S22" s="95"/>
      <c r="T22" s="94" t="str">
        <f>IFERROR(INDEX(PRENOTAZIONI!$A:$A,SMALL(PRENOTAZIONI!$AI:$AI,19)),"")</f>
        <v/>
      </c>
      <c r="U22" s="31" t="str">
        <f>IFERROR(INDEX(PRENOTAZIONI!$B:$B,SMALL(PRENOTAZIONI!$AI:$AI,19)),"")</f>
        <v/>
      </c>
      <c r="V22" s="32" t="str">
        <f t="shared" si="6"/>
        <v/>
      </c>
      <c r="W22" s="34" t="str">
        <f>IFERROR(INDEX(PRENOTAZIONI!$E:$E,SMALL(PRENOTAZIONI!$AI:$AI,19)),"")</f>
        <v/>
      </c>
      <c r="X22" s="34" t="str">
        <f>IFERROR(INDEX(PRENOTAZIONI!$F:$F,SMALL(PRENOTAZIONI!$AI:$AI,19)),"")</f>
        <v/>
      </c>
      <c r="Y22" s="35" t="str">
        <f>IFERROR(INDEX(PRENOTAZIONI!$H:$H,SMALL(PRENOTAZIONI!$AI:$AI,19)),"")</f>
        <v/>
      </c>
      <c r="Z22" s="34" t="str">
        <f>IFERROR(INDEX(PRENOTAZIONI!$K:$K,SMALL(PRENOTAZIONI!$AI:$AI,19)),"")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IFERROR(INDEX(PRENOTAZIONI!$A:$A,SMALL(PRENOTAZIONI!$U:$U,20)),"")</f>
        <v/>
      </c>
      <c r="B23" s="31" t="str">
        <f>IFERROR(INDEX(PRENOTAZIONI!$B:$B,SMALL(PRENOTAZIONI!$U:$U,20)),"")</f>
        <v/>
      </c>
      <c r="C23" s="32" t="str">
        <f t="shared" si="0"/>
        <v/>
      </c>
      <c r="D23" s="34" t="str">
        <f>IFERROR(INDEX(PRENOTAZIONI!$E:$E,SMALL(PRENOTAZIONI!$U:$U,20)),"")</f>
        <v/>
      </c>
      <c r="E23" s="34" t="str">
        <f>IFERROR(INDEX(PRENOTAZIONI!$F:$F,SMALL(PRENOTAZIONI!$U:$U,20)),"")</f>
        <v/>
      </c>
      <c r="F23" s="34" t="str">
        <f>IFERROR(INDEX(PRENOTAZIONI!$G:$G,SMALL(PRENOTAZIONI!$U:$U,20)),"")</f>
        <v/>
      </c>
      <c r="G23" s="35" t="str">
        <f>IFERROR(INDEX(PRENOTAZIONI!$H:$H,SMALL(PRENOTAZIONI!$U:$U,20)),"")</f>
        <v/>
      </c>
      <c r="H23" s="35" t="str">
        <f t="shared" si="1"/>
        <v/>
      </c>
      <c r="I23" s="35" t="str">
        <f t="shared" si="9"/>
        <v/>
      </c>
      <c r="J23" s="149" t="str">
        <f t="shared" si="2"/>
        <v/>
      </c>
      <c r="K23" s="34" t="str">
        <f>IFERROR(INDEX(PRENOTAZIONI!$K:$K,SMALL(PRENOTAZIONI!$U:$U,20)),"")</f>
        <v/>
      </c>
      <c r="L23" s="35" t="str">
        <f>IFERROR(INDEX(PRENOTAZIONI!$L:$L,SMALL(PRENOTAZIONI!$U:$U,20)),"")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47" t="str">
        <f>IFERROR(INDEX(PRENOTAZIONI!$R:$R,SMALL(PRENOTAZIONI!$U:$U,20)),"")</f>
        <v/>
      </c>
      <c r="S23" s="95"/>
      <c r="T23" s="94" t="str">
        <f>IFERROR(INDEX(PRENOTAZIONI!$A:$A,SMALL(PRENOTAZIONI!$AI:$AI,20)),"")</f>
        <v/>
      </c>
      <c r="U23" s="31" t="str">
        <f>IFERROR(INDEX(PRENOTAZIONI!$B:$B,SMALL(PRENOTAZIONI!$AI:$AI,20)),"")</f>
        <v/>
      </c>
      <c r="V23" s="32" t="str">
        <f t="shared" si="6"/>
        <v/>
      </c>
      <c r="W23" s="34" t="str">
        <f>IFERROR(INDEX(PRENOTAZIONI!$E:$E,SMALL(PRENOTAZIONI!$AI:$AI,20)),"")</f>
        <v/>
      </c>
      <c r="X23" s="34" t="str">
        <f>IFERROR(INDEX(PRENOTAZIONI!$F:$F,SMALL(PRENOTAZIONI!$AI:$AI,20)),"")</f>
        <v/>
      </c>
      <c r="Y23" s="35" t="str">
        <f>IFERROR(INDEX(PRENOTAZIONI!$H:$H,SMALL(PRENOTAZIONI!$AI:$AI,20)),"")</f>
        <v/>
      </c>
      <c r="Z23" s="34" t="str">
        <f>IFERROR(INDEX(PRENOTAZIONI!$K:$K,SMALL(PRENOTAZIONI!$AI:$AI,20)),"")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IFERROR(INDEX(PRENOTAZIONI!$A:$A,SMALL(PRENOTAZIONI!$U:$U,21)),"")</f>
        <v/>
      </c>
      <c r="B24" s="31" t="str">
        <f>IFERROR(INDEX(PRENOTAZIONI!$B:$B,SMALL(PRENOTAZIONI!$U:$U,21)),"")</f>
        <v/>
      </c>
      <c r="C24" s="32" t="str">
        <f t="shared" si="0"/>
        <v/>
      </c>
      <c r="D24" s="34" t="str">
        <f>IFERROR(INDEX(PRENOTAZIONI!$E:$E,SMALL(PRENOTAZIONI!$U:$U,21)),"")</f>
        <v/>
      </c>
      <c r="E24" s="34" t="str">
        <f>IFERROR(INDEX(PRENOTAZIONI!$F:$F,SMALL(PRENOTAZIONI!$U:$U,21)),"")</f>
        <v/>
      </c>
      <c r="F24" s="34" t="str">
        <f>IFERROR(INDEX(PRENOTAZIONI!$G:$G,SMALL(PRENOTAZIONI!$U:$U,21)),"")</f>
        <v/>
      </c>
      <c r="G24" s="35" t="str">
        <f>IFERROR(INDEX(PRENOTAZIONI!$H:$H,SMALL(PRENOTAZIONI!$U:$U,21)),"")</f>
        <v/>
      </c>
      <c r="H24" s="35" t="str">
        <f t="shared" si="1"/>
        <v/>
      </c>
      <c r="I24" s="35" t="str">
        <f t="shared" si="9"/>
        <v/>
      </c>
      <c r="J24" s="149" t="str">
        <f t="shared" si="2"/>
        <v/>
      </c>
      <c r="K24" s="34" t="str">
        <f>IFERROR(INDEX(PRENOTAZIONI!$K:$K,SMALL(PRENOTAZIONI!$U:$U,21)),"")</f>
        <v/>
      </c>
      <c r="L24" s="35" t="str">
        <f>IFERROR(INDEX(PRENOTAZIONI!$L:$L,SMALL(PRENOTAZIONI!$U:$U,21)),"")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47" t="str">
        <f>IFERROR(INDEX(PRENOTAZIONI!$R:$R,SMALL(PRENOTAZIONI!$U:$U,21)),"")</f>
        <v/>
      </c>
      <c r="S24" s="95"/>
      <c r="T24" s="94" t="str">
        <f>IFERROR(INDEX(PRENOTAZIONI!$A:$A,SMALL(PRENOTAZIONI!$AI:$AI,21)),"")</f>
        <v/>
      </c>
      <c r="U24" s="31" t="str">
        <f>IFERROR(INDEX(PRENOTAZIONI!$B:$B,SMALL(PRENOTAZIONI!$AI:$AI,21)),"")</f>
        <v/>
      </c>
      <c r="V24" s="32" t="str">
        <f t="shared" si="6"/>
        <v/>
      </c>
      <c r="W24" s="34" t="str">
        <f>IFERROR(INDEX(PRENOTAZIONI!$E:$E,SMALL(PRENOTAZIONI!$AI:$AI,21)),"")</f>
        <v/>
      </c>
      <c r="X24" s="34" t="str">
        <f>IFERROR(INDEX(PRENOTAZIONI!$F:$F,SMALL(PRENOTAZIONI!$AI:$AI,21)),"")</f>
        <v/>
      </c>
      <c r="Y24" s="35" t="str">
        <f>IFERROR(INDEX(PRENOTAZIONI!$H:$H,SMALL(PRENOTAZIONI!$AI:$AI,21)),"")</f>
        <v/>
      </c>
      <c r="Z24" s="34" t="str">
        <f>IFERROR(INDEX(PRENOTAZIONI!$K:$K,SMALL(PRENOTAZIONI!$AI:$AI,21)),"")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IFERROR(INDEX(PRENOTAZIONI!$A:$A,SMALL(PRENOTAZIONI!$U:$U,22)),"")</f>
        <v/>
      </c>
      <c r="B25" s="31" t="str">
        <f>IFERROR(INDEX(PRENOTAZIONI!$B:$B,SMALL(PRENOTAZIONI!$U:$U,22)),"")</f>
        <v/>
      </c>
      <c r="C25" s="32" t="str">
        <f t="shared" si="0"/>
        <v/>
      </c>
      <c r="D25" s="34" t="str">
        <f>IFERROR(INDEX(PRENOTAZIONI!$E:$E,SMALL(PRENOTAZIONI!$U:$U,22)),"")</f>
        <v/>
      </c>
      <c r="E25" s="34" t="str">
        <f>IFERROR(INDEX(PRENOTAZIONI!$F:$F,SMALL(PRENOTAZIONI!$U:$U,22)),"")</f>
        <v/>
      </c>
      <c r="F25" s="34" t="str">
        <f>IFERROR(INDEX(PRENOTAZIONI!$G:$G,SMALL(PRENOTAZIONI!$U:$U,22)),"")</f>
        <v/>
      </c>
      <c r="G25" s="35" t="str">
        <f>IFERROR(INDEX(PRENOTAZIONI!$H:$H,SMALL(PRENOTAZIONI!$U:$U,22)),"")</f>
        <v/>
      </c>
      <c r="H25" s="35" t="str">
        <f t="shared" si="1"/>
        <v/>
      </c>
      <c r="I25" s="35" t="str">
        <f t="shared" si="9"/>
        <v/>
      </c>
      <c r="J25" s="149" t="str">
        <f t="shared" si="2"/>
        <v/>
      </c>
      <c r="K25" s="34" t="str">
        <f>IFERROR(INDEX(PRENOTAZIONI!$K:$K,SMALL(PRENOTAZIONI!$U:$U,22)),"")</f>
        <v/>
      </c>
      <c r="L25" s="35" t="str">
        <f>IFERROR(INDEX(PRENOTAZIONI!$L:$L,SMALL(PRENOTAZIONI!$U:$U,22)),"")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47" t="str">
        <f>IFERROR(INDEX(PRENOTAZIONI!$R:$R,SMALL(PRENOTAZIONI!$U:$U,22)),"")</f>
        <v/>
      </c>
      <c r="S25" s="95"/>
      <c r="T25" s="94" t="str">
        <f>IFERROR(INDEX(PRENOTAZIONI!$A:$A,SMALL(PRENOTAZIONI!$AI:$AI,22)),"")</f>
        <v/>
      </c>
      <c r="U25" s="31" t="str">
        <f>IFERROR(INDEX(PRENOTAZIONI!$B:$B,SMALL(PRENOTAZIONI!$AI:$AI,22)),"")</f>
        <v/>
      </c>
      <c r="V25" s="32" t="str">
        <f t="shared" si="6"/>
        <v/>
      </c>
      <c r="W25" s="34" t="str">
        <f>IFERROR(INDEX(PRENOTAZIONI!$E:$E,SMALL(PRENOTAZIONI!$AI:$AI,22)),"")</f>
        <v/>
      </c>
      <c r="X25" s="34" t="str">
        <f>IFERROR(INDEX(PRENOTAZIONI!$F:$F,SMALL(PRENOTAZIONI!$AI:$AI,22)),"")</f>
        <v/>
      </c>
      <c r="Y25" s="35" t="str">
        <f>IFERROR(INDEX(PRENOTAZIONI!$H:$H,SMALL(PRENOTAZIONI!$AI:$AI,22)),"")</f>
        <v/>
      </c>
      <c r="Z25" s="34" t="str">
        <f>IFERROR(INDEX(PRENOTAZIONI!$K:$K,SMALL(PRENOTAZIONI!$AI:$AI,22)),"")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IFERROR(INDEX(PRENOTAZIONI!$A:$A,SMALL(PRENOTAZIONI!$U:$U,23)),"")</f>
        <v/>
      </c>
      <c r="B26" s="31" t="str">
        <f>IFERROR(INDEX(PRENOTAZIONI!$B:$B,SMALL(PRENOTAZIONI!$U:$U,23)),"")</f>
        <v/>
      </c>
      <c r="C26" s="32" t="str">
        <f t="shared" si="0"/>
        <v/>
      </c>
      <c r="D26" s="34" t="str">
        <f>IFERROR(INDEX(PRENOTAZIONI!$E:$E,SMALL(PRENOTAZIONI!$U:$U,23)),"")</f>
        <v/>
      </c>
      <c r="E26" s="34" t="str">
        <f>IFERROR(INDEX(PRENOTAZIONI!$F:$F,SMALL(PRENOTAZIONI!$U:$U,23)),"")</f>
        <v/>
      </c>
      <c r="F26" s="34" t="str">
        <f>IFERROR(INDEX(PRENOTAZIONI!$G:$G,SMALL(PRENOTAZIONI!$U:$U,23)),"")</f>
        <v/>
      </c>
      <c r="G26" s="35" t="str">
        <f>IFERROR(INDEX(PRENOTAZIONI!$H:$H,SMALL(PRENOTAZIONI!$U:$U,23)),"")</f>
        <v/>
      </c>
      <c r="H26" s="35" t="str">
        <f t="shared" si="1"/>
        <v/>
      </c>
      <c r="I26" s="35" t="str">
        <f t="shared" si="9"/>
        <v/>
      </c>
      <c r="J26" s="149" t="str">
        <f t="shared" si="2"/>
        <v/>
      </c>
      <c r="K26" s="34" t="str">
        <f>IFERROR(INDEX(PRENOTAZIONI!$K:$K,SMALL(PRENOTAZIONI!$U:$U,23)),"")</f>
        <v/>
      </c>
      <c r="L26" s="35" t="str">
        <f>IFERROR(INDEX(PRENOTAZIONI!$L:$L,SMALL(PRENOTAZIONI!$U:$U,23)),"")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47" t="str">
        <f>IFERROR(INDEX(PRENOTAZIONI!$R:$R,SMALL(PRENOTAZIONI!$U:$U,23)),"")</f>
        <v/>
      </c>
      <c r="S26" s="95"/>
      <c r="T26" s="94" t="str">
        <f>IFERROR(INDEX(PRENOTAZIONI!$A:$A,SMALL(PRENOTAZIONI!$AI:$AI,23)),"")</f>
        <v/>
      </c>
      <c r="U26" s="31" t="str">
        <f>IFERROR(INDEX(PRENOTAZIONI!$B:$B,SMALL(PRENOTAZIONI!$AI:$AI,23)),"")</f>
        <v/>
      </c>
      <c r="V26" s="32" t="str">
        <f t="shared" si="6"/>
        <v/>
      </c>
      <c r="W26" s="34" t="str">
        <f>IFERROR(INDEX(PRENOTAZIONI!$E:$E,SMALL(PRENOTAZIONI!$AI:$AI,23)),"")</f>
        <v/>
      </c>
      <c r="X26" s="34" t="str">
        <f>IFERROR(INDEX(PRENOTAZIONI!$F:$F,SMALL(PRENOTAZIONI!$AI:$AI,23)),"")</f>
        <v/>
      </c>
      <c r="Y26" s="35" t="str">
        <f>IFERROR(INDEX(PRENOTAZIONI!$H:$H,SMALL(PRENOTAZIONI!$AI:$AI,23)),"")</f>
        <v/>
      </c>
      <c r="Z26" s="34" t="str">
        <f>IFERROR(INDEX(PRENOTAZIONI!$K:$K,SMALL(PRENOTAZIONI!$AI:$AI,23)),"")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IFERROR(INDEX(PRENOTAZIONI!$A:$A,SMALL(PRENOTAZIONI!$U:$U,24)),"")</f>
        <v/>
      </c>
      <c r="B27" s="31" t="str">
        <f>IFERROR(INDEX(PRENOTAZIONI!$B:$B,SMALL(PRENOTAZIONI!$U:$U,24)),"")</f>
        <v/>
      </c>
      <c r="C27" s="32" t="str">
        <f t="shared" si="0"/>
        <v/>
      </c>
      <c r="D27" s="34" t="str">
        <f>IFERROR(INDEX(PRENOTAZIONI!$E:$E,SMALL(PRENOTAZIONI!$U:$U,24)),"")</f>
        <v/>
      </c>
      <c r="E27" s="34" t="str">
        <f>IFERROR(INDEX(PRENOTAZIONI!$F:$F,SMALL(PRENOTAZIONI!$U:$U,24)),"")</f>
        <v/>
      </c>
      <c r="F27" s="34" t="str">
        <f>IFERROR(INDEX(PRENOTAZIONI!$G:$G,SMALL(PRENOTAZIONI!$U:$U,24)),"")</f>
        <v/>
      </c>
      <c r="G27" s="35" t="str">
        <f>IFERROR(INDEX(PRENOTAZIONI!$H:$H,SMALL(PRENOTAZIONI!$U:$U,24)),"")</f>
        <v/>
      </c>
      <c r="H27" s="35" t="str">
        <f t="shared" si="1"/>
        <v/>
      </c>
      <c r="I27" s="35" t="str">
        <f t="shared" si="9"/>
        <v/>
      </c>
      <c r="J27" s="149" t="str">
        <f t="shared" si="2"/>
        <v/>
      </c>
      <c r="K27" s="34" t="str">
        <f>IFERROR(INDEX(PRENOTAZIONI!$K:$K,SMALL(PRENOTAZIONI!$U:$U,24)),"")</f>
        <v/>
      </c>
      <c r="L27" s="35" t="str">
        <f>IFERROR(INDEX(PRENOTAZIONI!$L:$L,SMALL(PRENOTAZIONI!$U:$U,24)),"")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47" t="str">
        <f>IFERROR(INDEX(PRENOTAZIONI!$R:$R,SMALL(PRENOTAZIONI!$U:$U,24)),"")</f>
        <v/>
      </c>
      <c r="S27" s="95"/>
      <c r="T27" s="94" t="str">
        <f>IFERROR(INDEX(PRENOTAZIONI!$A:$A,SMALL(PRENOTAZIONI!$AI:$AI,24)),"")</f>
        <v/>
      </c>
      <c r="U27" s="31" t="str">
        <f>IFERROR(INDEX(PRENOTAZIONI!$B:$B,SMALL(PRENOTAZIONI!$AI:$AI,24)),"")</f>
        <v/>
      </c>
      <c r="V27" s="32" t="str">
        <f t="shared" si="6"/>
        <v/>
      </c>
      <c r="W27" s="34" t="str">
        <f>IFERROR(INDEX(PRENOTAZIONI!$E:$E,SMALL(PRENOTAZIONI!$AI:$AI,24)),"")</f>
        <v/>
      </c>
      <c r="X27" s="34" t="str">
        <f>IFERROR(INDEX(PRENOTAZIONI!$F:$F,SMALL(PRENOTAZIONI!$AI:$AI,24)),"")</f>
        <v/>
      </c>
      <c r="Y27" s="35" t="str">
        <f>IFERROR(INDEX(PRENOTAZIONI!$H:$H,SMALL(PRENOTAZIONI!$AI:$AI,24)),"")</f>
        <v/>
      </c>
      <c r="Z27" s="34" t="str">
        <f>IFERROR(INDEX(PRENOTAZIONI!$K:$K,SMALL(PRENOTAZIONI!$AI:$AI,24)),"")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IFERROR(INDEX(PRENOTAZIONI!$A:$A,SMALL(PRENOTAZIONI!$U:$U,25)),"")</f>
        <v/>
      </c>
      <c r="B28" s="31" t="str">
        <f>IFERROR(INDEX(PRENOTAZIONI!$B:$B,SMALL(PRENOTAZIONI!$U:$U,25)),"")</f>
        <v/>
      </c>
      <c r="C28" s="32" t="str">
        <f t="shared" si="0"/>
        <v/>
      </c>
      <c r="D28" s="34" t="str">
        <f>IFERROR(INDEX(PRENOTAZIONI!$E:$E,SMALL(PRENOTAZIONI!$U:$U,25)),"")</f>
        <v/>
      </c>
      <c r="E28" s="34" t="str">
        <f>IFERROR(INDEX(PRENOTAZIONI!$F:$F,SMALL(PRENOTAZIONI!$U:$U,25)),"")</f>
        <v/>
      </c>
      <c r="F28" s="34" t="str">
        <f>IFERROR(INDEX(PRENOTAZIONI!$G:$G,SMALL(PRENOTAZIONI!$U:$U,25)),"")</f>
        <v/>
      </c>
      <c r="G28" s="35" t="str">
        <f>IFERROR(INDEX(PRENOTAZIONI!$H:$H,SMALL(PRENOTAZIONI!$U:$U,25)),"")</f>
        <v/>
      </c>
      <c r="H28" s="35" t="str">
        <f t="shared" si="1"/>
        <v/>
      </c>
      <c r="I28" s="35" t="str">
        <f t="shared" si="9"/>
        <v/>
      </c>
      <c r="J28" s="149" t="str">
        <f t="shared" si="2"/>
        <v/>
      </c>
      <c r="K28" s="34" t="str">
        <f>IFERROR(INDEX(PRENOTAZIONI!$K:$K,SMALL(PRENOTAZIONI!$U:$U,25)),"")</f>
        <v/>
      </c>
      <c r="L28" s="35" t="str">
        <f>IFERROR(INDEX(PRENOTAZIONI!$L:$L,SMALL(PRENOTAZIONI!$U:$U,25)),"")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47" t="str">
        <f>IFERROR(INDEX(PRENOTAZIONI!$R:$R,SMALL(PRENOTAZIONI!$U:$U,25)),"")</f>
        <v/>
      </c>
      <c r="S28" s="95"/>
      <c r="T28" s="94" t="str">
        <f>IFERROR(INDEX(PRENOTAZIONI!$A:$A,SMALL(PRENOTAZIONI!$AI:$AI,25)),"")</f>
        <v/>
      </c>
      <c r="U28" s="31" t="str">
        <f>IFERROR(INDEX(PRENOTAZIONI!$B:$B,SMALL(PRENOTAZIONI!$AI:$AI,25)),"")</f>
        <v/>
      </c>
      <c r="V28" s="32" t="str">
        <f t="shared" si="6"/>
        <v/>
      </c>
      <c r="W28" s="34" t="str">
        <f>IFERROR(INDEX(PRENOTAZIONI!$E:$E,SMALL(PRENOTAZIONI!$AI:$AI,25)),"")</f>
        <v/>
      </c>
      <c r="X28" s="34" t="str">
        <f>IFERROR(INDEX(PRENOTAZIONI!$F:$F,SMALL(PRENOTAZIONI!$AI:$AI,25)),"")</f>
        <v/>
      </c>
      <c r="Y28" s="35" t="str">
        <f>IFERROR(INDEX(PRENOTAZIONI!$H:$H,SMALL(PRENOTAZIONI!$AI:$AI,25)),"")</f>
        <v/>
      </c>
      <c r="Z28" s="34" t="str">
        <f>IFERROR(INDEX(PRENOTAZIONI!$K:$K,SMALL(PRENOTAZIONI!$AI:$AI,25)),"")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IFERROR(INDEX(PRENOTAZIONI!$A:$A,SMALL(PRENOTAZIONI!$U:$U,26)),"")</f>
        <v/>
      </c>
      <c r="B29" s="31" t="str">
        <f>IFERROR(INDEX(PRENOTAZIONI!$B:$B,SMALL(PRENOTAZIONI!$U:$U,26)),"")</f>
        <v/>
      </c>
      <c r="C29" s="32" t="str">
        <f t="shared" si="0"/>
        <v/>
      </c>
      <c r="D29" s="34" t="str">
        <f>IFERROR(INDEX(PRENOTAZIONI!$E:$E,SMALL(PRENOTAZIONI!$U:$U,26)),"")</f>
        <v/>
      </c>
      <c r="E29" s="34" t="str">
        <f>IFERROR(INDEX(PRENOTAZIONI!$F:$F,SMALL(PRENOTAZIONI!$U:$U,26)),"")</f>
        <v/>
      </c>
      <c r="F29" s="34" t="str">
        <f>IFERROR(INDEX(PRENOTAZIONI!$G:$G,SMALL(PRENOTAZIONI!$U:$U,26)),"")</f>
        <v/>
      </c>
      <c r="G29" s="35" t="str">
        <f>IFERROR(INDEX(PRENOTAZIONI!$H:$H,SMALL(PRENOTAZIONI!$U:$U,26)),"")</f>
        <v/>
      </c>
      <c r="H29" s="35" t="str">
        <f t="shared" si="1"/>
        <v/>
      </c>
      <c r="I29" s="35" t="str">
        <f t="shared" si="9"/>
        <v/>
      </c>
      <c r="J29" s="149" t="str">
        <f t="shared" si="2"/>
        <v/>
      </c>
      <c r="K29" s="34" t="str">
        <f>IFERROR(INDEX(PRENOTAZIONI!$K:$K,SMALL(PRENOTAZIONI!$U:$U,26)),"")</f>
        <v/>
      </c>
      <c r="L29" s="35" t="str">
        <f>IFERROR(INDEX(PRENOTAZIONI!$L:$L,SMALL(PRENOTAZIONI!$U:$U,26)),"")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47" t="str">
        <f>IFERROR(INDEX(PRENOTAZIONI!$R:$R,SMALL(PRENOTAZIONI!$U:$U,26)),"")</f>
        <v/>
      </c>
      <c r="S29" s="95"/>
      <c r="T29" s="94" t="str">
        <f>IFERROR(INDEX(PRENOTAZIONI!$A:$A,SMALL(PRENOTAZIONI!$AI:$AI,26)),"")</f>
        <v/>
      </c>
      <c r="U29" s="31" t="str">
        <f>IFERROR(INDEX(PRENOTAZIONI!$B:$B,SMALL(PRENOTAZIONI!$AI:$AI,26)),"")</f>
        <v/>
      </c>
      <c r="V29" s="32" t="str">
        <f t="shared" si="6"/>
        <v/>
      </c>
      <c r="W29" s="34" t="str">
        <f>IFERROR(INDEX(PRENOTAZIONI!$E:$E,SMALL(PRENOTAZIONI!$AI:$AI,26)),"")</f>
        <v/>
      </c>
      <c r="X29" s="34" t="str">
        <f>IFERROR(INDEX(PRENOTAZIONI!$F:$F,SMALL(PRENOTAZIONI!$AI:$AI,26)),"")</f>
        <v/>
      </c>
      <c r="Y29" s="35" t="str">
        <f>IFERROR(INDEX(PRENOTAZIONI!$H:$H,SMALL(PRENOTAZIONI!$AI:$AI,26)),"")</f>
        <v/>
      </c>
      <c r="Z29" s="34" t="str">
        <f>IFERROR(INDEX(PRENOTAZIONI!$K:$K,SMALL(PRENOTAZIONI!$AI:$AI,26)),"")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IFERROR(INDEX(PRENOTAZIONI!$A:$A,SMALL(PRENOTAZIONI!$U:$U,27)),"")</f>
        <v/>
      </c>
      <c r="B30" s="31" t="str">
        <f>IFERROR(INDEX(PRENOTAZIONI!$B:$B,SMALL(PRENOTAZIONI!$U:$U,27)),"")</f>
        <v/>
      </c>
      <c r="C30" s="32" t="str">
        <f t="shared" si="0"/>
        <v/>
      </c>
      <c r="D30" s="34" t="str">
        <f>IFERROR(INDEX(PRENOTAZIONI!$E:$E,SMALL(PRENOTAZIONI!$U:$U,27)),"")</f>
        <v/>
      </c>
      <c r="E30" s="34" t="str">
        <f>IFERROR(INDEX(PRENOTAZIONI!$F:$F,SMALL(PRENOTAZIONI!$U:$U,27)),"")</f>
        <v/>
      </c>
      <c r="F30" s="34" t="str">
        <f>IFERROR(INDEX(PRENOTAZIONI!$G:$G,SMALL(PRENOTAZIONI!$U:$U,27)),"")</f>
        <v/>
      </c>
      <c r="G30" s="35" t="str">
        <f>IFERROR(INDEX(PRENOTAZIONI!$H:$H,SMALL(PRENOTAZIONI!$U:$U,27)),"")</f>
        <v/>
      </c>
      <c r="H30" s="35" t="str">
        <f t="shared" si="1"/>
        <v/>
      </c>
      <c r="I30" s="35" t="str">
        <f t="shared" si="9"/>
        <v/>
      </c>
      <c r="J30" s="149" t="str">
        <f t="shared" si="2"/>
        <v/>
      </c>
      <c r="K30" s="34" t="str">
        <f>IFERROR(INDEX(PRENOTAZIONI!$K:$K,SMALL(PRENOTAZIONI!$U:$U,27)),"")</f>
        <v/>
      </c>
      <c r="L30" s="35" t="str">
        <f>IFERROR(INDEX(PRENOTAZIONI!$L:$L,SMALL(PRENOTAZIONI!$U:$U,27)),"")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47" t="str">
        <f>IFERROR(INDEX(PRENOTAZIONI!$R:$R,SMALL(PRENOTAZIONI!$U:$U,27)),"")</f>
        <v/>
      </c>
      <c r="S30" s="95"/>
      <c r="T30" s="94" t="str">
        <f>IFERROR(INDEX(PRENOTAZIONI!$A:$A,SMALL(PRENOTAZIONI!$AI:$AI,27)),"")</f>
        <v/>
      </c>
      <c r="U30" s="31" t="str">
        <f>IFERROR(INDEX(PRENOTAZIONI!$B:$B,SMALL(PRENOTAZIONI!$AI:$AI,27)),"")</f>
        <v/>
      </c>
      <c r="V30" s="32" t="str">
        <f t="shared" si="6"/>
        <v/>
      </c>
      <c r="W30" s="34" t="str">
        <f>IFERROR(INDEX(PRENOTAZIONI!$E:$E,SMALL(PRENOTAZIONI!$AI:$AI,27)),"")</f>
        <v/>
      </c>
      <c r="X30" s="34" t="str">
        <f>IFERROR(INDEX(PRENOTAZIONI!$F:$F,SMALL(PRENOTAZIONI!$AI:$AI,27)),"")</f>
        <v/>
      </c>
      <c r="Y30" s="35" t="str">
        <f>IFERROR(INDEX(PRENOTAZIONI!$H:$H,SMALL(PRENOTAZIONI!$AI:$AI,27)),"")</f>
        <v/>
      </c>
      <c r="Z30" s="34" t="str">
        <f>IFERROR(INDEX(PRENOTAZIONI!$K:$K,SMALL(PRENOTAZIONI!$AI:$AI,27)),"")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IFERROR(INDEX(PRENOTAZIONI!$A:$A,SMALL(PRENOTAZIONI!$U:$U,28)),"")</f>
        <v/>
      </c>
      <c r="B31" s="31" t="str">
        <f>IFERROR(INDEX(PRENOTAZIONI!$B:$B,SMALL(PRENOTAZIONI!$U:$U,28)),"")</f>
        <v/>
      </c>
      <c r="C31" s="32" t="str">
        <f t="shared" si="0"/>
        <v/>
      </c>
      <c r="D31" s="34" t="str">
        <f>IFERROR(INDEX(PRENOTAZIONI!$E:$E,SMALL(PRENOTAZIONI!$U:$U,28)),"")</f>
        <v/>
      </c>
      <c r="E31" s="34" t="str">
        <f>IFERROR(INDEX(PRENOTAZIONI!$F:$F,SMALL(PRENOTAZIONI!$U:$U,28)),"")</f>
        <v/>
      </c>
      <c r="F31" s="34" t="str">
        <f>IFERROR(INDEX(PRENOTAZIONI!$G:$G,SMALL(PRENOTAZIONI!$U:$U,28)),"")</f>
        <v/>
      </c>
      <c r="G31" s="35" t="str">
        <f>IFERROR(INDEX(PRENOTAZIONI!$H:$H,SMALL(PRENOTAZIONI!$U:$U,28)),"")</f>
        <v/>
      </c>
      <c r="H31" s="35" t="str">
        <f t="shared" si="1"/>
        <v/>
      </c>
      <c r="I31" s="35" t="str">
        <f t="shared" si="9"/>
        <v/>
      </c>
      <c r="J31" s="149" t="str">
        <f t="shared" si="2"/>
        <v/>
      </c>
      <c r="K31" s="34" t="str">
        <f>IFERROR(INDEX(PRENOTAZIONI!$K:$K,SMALL(PRENOTAZIONI!$U:$U,28)),"")</f>
        <v/>
      </c>
      <c r="L31" s="35" t="str">
        <f>IFERROR(INDEX(PRENOTAZIONI!$L:$L,SMALL(PRENOTAZIONI!$U:$U,28)),"")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47" t="str">
        <f>IFERROR(INDEX(PRENOTAZIONI!$R:$R,SMALL(PRENOTAZIONI!$U:$U,28)),"")</f>
        <v/>
      </c>
      <c r="S31" s="95"/>
      <c r="T31" s="94" t="str">
        <f>IFERROR(INDEX(PRENOTAZIONI!$A:$A,SMALL(PRENOTAZIONI!$AI:$AI,28)),"")</f>
        <v/>
      </c>
      <c r="U31" s="31" t="str">
        <f>IFERROR(INDEX(PRENOTAZIONI!$B:$B,SMALL(PRENOTAZIONI!$AI:$AI,28)),"")</f>
        <v/>
      </c>
      <c r="V31" s="32" t="str">
        <f t="shared" si="6"/>
        <v/>
      </c>
      <c r="W31" s="34" t="str">
        <f>IFERROR(INDEX(PRENOTAZIONI!$E:$E,SMALL(PRENOTAZIONI!$AI:$AI,28)),"")</f>
        <v/>
      </c>
      <c r="X31" s="34" t="str">
        <f>IFERROR(INDEX(PRENOTAZIONI!$F:$F,SMALL(PRENOTAZIONI!$AI:$AI,28)),"")</f>
        <v/>
      </c>
      <c r="Y31" s="35" t="str">
        <f>IFERROR(INDEX(PRENOTAZIONI!$H:$H,SMALL(PRENOTAZIONI!$AI:$AI,28)),"")</f>
        <v/>
      </c>
      <c r="Z31" s="34" t="str">
        <f>IFERROR(INDEX(PRENOTAZIONI!$K:$K,SMALL(PRENOTAZIONI!$AI:$AI,28)),"")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IFERROR(INDEX(PRENOTAZIONI!$A:$A,SMALL(PRENOTAZIONI!$U:$U,29)),"")</f>
        <v/>
      </c>
      <c r="B32" s="31" t="str">
        <f>IFERROR(INDEX(PRENOTAZIONI!$B:$B,SMALL(PRENOTAZIONI!$U:$U,29)),"")</f>
        <v/>
      </c>
      <c r="C32" s="32" t="str">
        <f t="shared" si="0"/>
        <v/>
      </c>
      <c r="D32" s="34" t="str">
        <f>IFERROR(INDEX(PRENOTAZIONI!$E:$E,SMALL(PRENOTAZIONI!$U:$U,29)),"")</f>
        <v/>
      </c>
      <c r="E32" s="34" t="str">
        <f>IFERROR(INDEX(PRENOTAZIONI!$F:$F,SMALL(PRENOTAZIONI!$U:$U,29)),"")</f>
        <v/>
      </c>
      <c r="F32" s="34" t="str">
        <f>IFERROR(INDEX(PRENOTAZIONI!$G:$G,SMALL(PRENOTAZIONI!$U:$U,29)),"")</f>
        <v/>
      </c>
      <c r="G32" s="35" t="str">
        <f>IFERROR(INDEX(PRENOTAZIONI!$H:$H,SMALL(PRENOTAZIONI!$U:$U,29)),"")</f>
        <v/>
      </c>
      <c r="H32" s="35" t="str">
        <f t="shared" si="1"/>
        <v/>
      </c>
      <c r="I32" s="35" t="str">
        <f t="shared" si="9"/>
        <v/>
      </c>
      <c r="J32" s="149" t="str">
        <f t="shared" si="2"/>
        <v/>
      </c>
      <c r="K32" s="34" t="str">
        <f>IFERROR(INDEX(PRENOTAZIONI!$K:$K,SMALL(PRENOTAZIONI!$U:$U,29)),"")</f>
        <v/>
      </c>
      <c r="L32" s="35" t="str">
        <f>IFERROR(INDEX(PRENOTAZIONI!$L:$L,SMALL(PRENOTAZIONI!$U:$U,29)),"")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47" t="str">
        <f>IFERROR(INDEX(PRENOTAZIONI!$R:$R,SMALL(PRENOTAZIONI!$U:$U,29)),"")</f>
        <v/>
      </c>
      <c r="S32" s="95"/>
      <c r="T32" s="94" t="str">
        <f>IFERROR(INDEX(PRENOTAZIONI!$A:$A,SMALL(PRENOTAZIONI!$AI:$AI,29)),"")</f>
        <v/>
      </c>
      <c r="U32" s="31" t="str">
        <f>IFERROR(INDEX(PRENOTAZIONI!$B:$B,SMALL(PRENOTAZIONI!$AI:$AI,29)),"")</f>
        <v/>
      </c>
      <c r="V32" s="32" t="str">
        <f t="shared" si="6"/>
        <v/>
      </c>
      <c r="W32" s="34" t="str">
        <f>IFERROR(INDEX(PRENOTAZIONI!$E:$E,SMALL(PRENOTAZIONI!$AI:$AI,29)),"")</f>
        <v/>
      </c>
      <c r="X32" s="34" t="str">
        <f>IFERROR(INDEX(PRENOTAZIONI!$F:$F,SMALL(PRENOTAZIONI!$AI:$AI,29)),"")</f>
        <v/>
      </c>
      <c r="Y32" s="35" t="str">
        <f>IFERROR(INDEX(PRENOTAZIONI!$H:$H,SMALL(PRENOTAZIONI!$AI:$AI,29)),"")</f>
        <v/>
      </c>
      <c r="Z32" s="34" t="str">
        <f>IFERROR(INDEX(PRENOTAZIONI!$K:$K,SMALL(PRENOTAZIONI!$AI:$AI,29)),"")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IFERROR(INDEX(PRENOTAZIONI!$A:$A,SMALL(PRENOTAZIONI!$U:$U,30)),"")</f>
        <v/>
      </c>
      <c r="B33" s="31" t="str">
        <f>IFERROR(INDEX(PRENOTAZIONI!$B:$B,SMALL(PRENOTAZIONI!$U:$U,30)),"")</f>
        <v/>
      </c>
      <c r="C33" s="32" t="str">
        <f t="shared" si="0"/>
        <v/>
      </c>
      <c r="D33" s="34" t="str">
        <f>IFERROR(INDEX(PRENOTAZIONI!$E:$E,SMALL(PRENOTAZIONI!$U:$U,30)),"")</f>
        <v/>
      </c>
      <c r="E33" s="34" t="str">
        <f>IFERROR(INDEX(PRENOTAZIONI!$F:$F,SMALL(PRENOTAZIONI!$U:$U,30)),"")</f>
        <v/>
      </c>
      <c r="F33" s="34" t="str">
        <f>IFERROR(INDEX(PRENOTAZIONI!$G:$G,SMALL(PRENOTAZIONI!$U:$U,30)),"")</f>
        <v/>
      </c>
      <c r="G33" s="35" t="str">
        <f>IFERROR(INDEX(PRENOTAZIONI!$H:$H,SMALL(PRENOTAZIONI!$U:$U,30)),"")</f>
        <v/>
      </c>
      <c r="H33" s="35" t="str">
        <f t="shared" si="1"/>
        <v/>
      </c>
      <c r="I33" s="35" t="str">
        <f t="shared" si="9"/>
        <v/>
      </c>
      <c r="J33" s="149" t="str">
        <f t="shared" si="2"/>
        <v/>
      </c>
      <c r="K33" s="34" t="str">
        <f>IFERROR(INDEX(PRENOTAZIONI!$K:$K,SMALL(PRENOTAZIONI!$U:$U,30)),"")</f>
        <v/>
      </c>
      <c r="L33" s="35" t="str">
        <f>IFERROR(INDEX(PRENOTAZIONI!$L:$L,SMALL(PRENOTAZIONI!$U:$U,30)),"")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47" t="str">
        <f>IFERROR(INDEX(PRENOTAZIONI!$R:$R,SMALL(PRENOTAZIONI!$U:$U,30)),"")</f>
        <v/>
      </c>
      <c r="S33" s="95"/>
      <c r="T33" s="96" t="str">
        <f>IFERROR(INDEX(PRENOTAZIONI!$A:$A,SMALL(PRENOTAZIONI!$AI:$AI,30)),"")</f>
        <v/>
      </c>
      <c r="U33" s="48" t="str">
        <f>IFERROR(INDEX(PRENOTAZIONI!$B:$B,SMALL(PRENOTAZIONI!$AI:$AI,30)),"")</f>
        <v/>
      </c>
      <c r="V33" s="52" t="str">
        <f t="shared" si="6"/>
        <v/>
      </c>
      <c r="W33" s="53" t="str">
        <f>IFERROR(INDEX(PRENOTAZIONI!$E:$E,SMALL(PRENOTAZIONI!$AI:$AI,30)),"")</f>
        <v/>
      </c>
      <c r="X33" s="53" t="str">
        <f>IFERROR(INDEX(PRENOTAZIONI!$F:$F,SMALL(PRENOTAZIONI!$AI:$AI,30)),"")</f>
        <v/>
      </c>
      <c r="Y33" s="54" t="str">
        <f>IFERROR(INDEX(PRENOTAZIONI!$H:$H,SMALL(PRENOTAZIONI!$AI:$AI,30)),"")</f>
        <v/>
      </c>
      <c r="Z33" s="53" t="str">
        <f>IFERROR(INDEX(PRENOTAZIONI!$K:$K,SMALL(PRENOTAZIONI!$AI:$AI,30)),"")</f>
        <v/>
      </c>
      <c r="AA33" s="53"/>
      <c r="AB33" s="53"/>
      <c r="AC33" s="55" t="str">
        <f t="shared" si="7"/>
        <v/>
      </c>
      <c r="AD33" s="56" t="str">
        <f t="shared" si="8"/>
        <v/>
      </c>
    </row>
    <row r="34" spans="1:30" ht="24" customHeight="1" x14ac:dyDescent="0.2">
      <c r="A34" s="31" t="str">
        <f>IFERROR(INDEX(PRENOTAZIONI!$A:$A,SMALL(PRENOTAZIONI!$U:$U,31)),"")</f>
        <v/>
      </c>
      <c r="B34" s="31" t="str">
        <f>IFERROR(INDEX(PRENOTAZIONI!$B:$B,SMALL(PRENOTAZIONI!$U:$U,31)),"")</f>
        <v/>
      </c>
      <c r="C34" s="32" t="str">
        <f t="shared" si="0"/>
        <v/>
      </c>
      <c r="D34" s="34" t="str">
        <f>IFERROR(INDEX(PRENOTAZIONI!$E:$E,SMALL(PRENOTAZIONI!$U:$U,31)),"")</f>
        <v/>
      </c>
      <c r="E34" s="34" t="str">
        <f>IFERROR(INDEX(PRENOTAZIONI!$F:$F,SMALL(PRENOTAZIONI!$U:$U,31)),"")</f>
        <v/>
      </c>
      <c r="F34" s="34" t="str">
        <f>IFERROR(INDEX(PRENOTAZIONI!$G:$G,SMALL(PRENOTAZIONI!$U:$U,31)),"")</f>
        <v/>
      </c>
      <c r="G34" s="35" t="str">
        <f>IFERROR(INDEX(PRENOTAZIONI!$H:$H,SMALL(PRENOTAZIONI!$U:$U,31)),"")</f>
        <v/>
      </c>
      <c r="H34" s="35" t="str">
        <f t="shared" si="1"/>
        <v/>
      </c>
      <c r="I34" s="35" t="str">
        <f t="shared" si="9"/>
        <v/>
      </c>
      <c r="J34" s="149" t="str">
        <f t="shared" si="2"/>
        <v/>
      </c>
      <c r="K34" s="34" t="str">
        <f>IFERROR(INDEX(PRENOTAZIONI!$K:$K,SMALL(PRENOTAZIONI!$U:$U,31)),"")</f>
        <v/>
      </c>
      <c r="L34" s="35" t="str">
        <f>IFERROR(INDEX(PRENOTAZIONI!$L:$L,SMALL(PRENOTAZIONI!$U:$U,31)),"")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47" t="str">
        <f>IFERROR(INDEX(PRENOTAZIONI!$R:$R,SMALL(PRENOTAZIONI!$U:$U,31)),"")</f>
        <v/>
      </c>
      <c r="S34" s="82"/>
      <c r="T34" s="49"/>
      <c r="U34" s="57"/>
      <c r="V34" s="57"/>
      <c r="W34" s="57"/>
      <c r="X34" s="57"/>
      <c r="Y34" s="58"/>
      <c r="Z34" s="57"/>
      <c r="AA34" s="57"/>
      <c r="AB34" s="57"/>
      <c r="AC34" s="58"/>
      <c r="AD34" s="58"/>
    </row>
    <row r="35" spans="1:30" ht="22" customHeight="1" x14ac:dyDescent="0.25">
      <c r="A35" s="31" t="str">
        <f>IFERROR(INDEX(PRENOTAZIONI!$A:$A,SMALL(PRENOTAZIONI!$U:$U,32)),"")</f>
        <v/>
      </c>
      <c r="B35" s="31" t="str">
        <f>IFERROR(INDEX(PRENOTAZIONI!$B:$B,SMALL(PRENOTAZIONI!$U:$U,32)),"")</f>
        <v/>
      </c>
      <c r="C35" s="32" t="str">
        <f t="shared" si="0"/>
        <v/>
      </c>
      <c r="D35" s="34" t="str">
        <f>IFERROR(INDEX(PRENOTAZIONI!$E:$E,SMALL(PRENOTAZIONI!$U:$U,32)),"")</f>
        <v/>
      </c>
      <c r="E35" s="34" t="str">
        <f>IFERROR(INDEX(PRENOTAZIONI!$F:$F,SMALL(PRENOTAZIONI!$U:$U,32)),"")</f>
        <v/>
      </c>
      <c r="F35" s="34" t="str">
        <f>IFERROR(INDEX(PRENOTAZIONI!$G:$G,SMALL(PRENOTAZIONI!$U:$U,32)),"")</f>
        <v/>
      </c>
      <c r="G35" s="35" t="str">
        <f>IFERROR(INDEX(PRENOTAZIONI!$H:$H,SMALL(PRENOTAZIONI!$U:$U,32)),"")</f>
        <v/>
      </c>
      <c r="H35" s="35" t="str">
        <f t="shared" si="1"/>
        <v/>
      </c>
      <c r="I35" s="35" t="str">
        <f t="shared" si="9"/>
        <v/>
      </c>
      <c r="J35" s="149" t="str">
        <f t="shared" si="2"/>
        <v/>
      </c>
      <c r="K35" s="34" t="str">
        <f>IFERROR(INDEX(PRENOTAZIONI!$K:$K,SMALL(PRENOTAZIONI!$U:$U,32)),"")</f>
        <v/>
      </c>
      <c r="L35" s="35" t="str">
        <f>IFERROR(INDEX(PRENOTAZIONI!$L:$L,SMALL(PRENOTAZIONI!$U:$U,32)),"")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47" t="str">
        <f>IFERROR(INDEX(PRENOTAZIONI!$R:$R,SMALL(PRENOTAZIONI!$U:$U,32)),"")</f>
        <v/>
      </c>
      <c r="S35" s="78"/>
    </row>
    <row r="36" spans="1:30" ht="22" customHeight="1" x14ac:dyDescent="0.25">
      <c r="A36" s="31" t="str">
        <f>IFERROR(INDEX(PRENOTAZIONI!$A:$A,SMALL(PRENOTAZIONI!$U:$U,33)),"")</f>
        <v/>
      </c>
      <c r="B36" s="31" t="str">
        <f>IFERROR(INDEX(PRENOTAZIONI!$B:$B,SMALL(PRENOTAZIONI!$U:$U,33)),"")</f>
        <v/>
      </c>
      <c r="C36" s="32" t="str">
        <f t="shared" ref="C36:C63" si="11">IF(A36&lt;&gt;"",B36-A36,"")</f>
        <v/>
      </c>
      <c r="D36" s="34" t="str">
        <f>IFERROR(INDEX(PRENOTAZIONI!$E:$E,SMALL(PRENOTAZIONI!$U:$U,33)),"")</f>
        <v/>
      </c>
      <c r="E36" s="34" t="str">
        <f>IFERROR(INDEX(PRENOTAZIONI!$F:$F,SMALL(PRENOTAZIONI!$U:$U,33)),"")</f>
        <v/>
      </c>
      <c r="F36" s="34" t="str">
        <f>IFERROR(INDEX(PRENOTAZIONI!$G:$G,SMALL(PRENOTAZIONI!$U:$U,33)),"")</f>
        <v/>
      </c>
      <c r="G36" s="35" t="str">
        <f>IFERROR(INDEX(PRENOTAZIONI!$H:$H,SMALL(PRENOTAZIONI!$U:$U,33)),"")</f>
        <v/>
      </c>
      <c r="H36" s="35" t="str">
        <f t="shared" ref="H36:H63" si="12">IF(AND(G36&lt;&gt;"",C36&lt;&gt;"",C36&lt;&gt;0),G36/C36,"")</f>
        <v/>
      </c>
      <c r="I36" s="35" t="str">
        <f t="shared" si="9"/>
        <v/>
      </c>
      <c r="J36" s="149" t="str">
        <f t="shared" ref="J36:J63" si="13">IF(I36&lt;&gt;"",I36*0.22,"")</f>
        <v/>
      </c>
      <c r="K36" s="34" t="str">
        <f>IFERROR(INDEX(PRENOTAZIONI!$K:$K,SMALL(PRENOTAZIONI!$U:$U,33)),"")</f>
        <v/>
      </c>
      <c r="L36" s="35" t="str">
        <f>IFERROR(INDEX(PRENOTAZIONI!$L:$L,SMALL(PRENOTAZIONI!$U:$U,33)),"")</f>
        <v/>
      </c>
      <c r="M36" s="150" t="str">
        <f t="shared" ref="M36:M63" si="14">IF(G36&lt;&gt;"",G36*0.21,"")</f>
        <v/>
      </c>
      <c r="N36" s="35" t="str">
        <f t="shared" ref="N36:N63" si="15">IF(G36&lt;&gt;"",G36*0.25,"")</f>
        <v/>
      </c>
      <c r="O36" s="35"/>
      <c r="P36" s="43"/>
      <c r="Q36" s="150" t="str">
        <f t="shared" ref="Q36:Q63" si="16">IF(G36&lt;&gt;"",G36-I36-J36-M36-N36-O36,"")</f>
        <v/>
      </c>
      <c r="R36" s="47" t="str">
        <f>IFERROR(INDEX(PRENOTAZIONI!$R:$R,SMALL(PRENOTAZIONI!$U:$U,33)),"")</f>
        <v/>
      </c>
      <c r="S36" s="78"/>
    </row>
    <row r="37" spans="1:30" ht="22" customHeight="1" x14ac:dyDescent="0.25">
      <c r="A37" s="31" t="str">
        <f>IFERROR(INDEX(PRENOTAZIONI!$A:$A,SMALL(PRENOTAZIONI!$U:$U,34)),"")</f>
        <v/>
      </c>
      <c r="B37" s="31" t="str">
        <f>IFERROR(INDEX(PRENOTAZIONI!$B:$B,SMALL(PRENOTAZIONI!$U:$U,34)),"")</f>
        <v/>
      </c>
      <c r="C37" s="32" t="str">
        <f t="shared" si="11"/>
        <v/>
      </c>
      <c r="D37" s="34" t="str">
        <f>IFERROR(INDEX(PRENOTAZIONI!$E:$E,SMALL(PRENOTAZIONI!$U:$U,34)),"")</f>
        <v/>
      </c>
      <c r="E37" s="34" t="str">
        <f>IFERROR(INDEX(PRENOTAZIONI!$F:$F,SMALL(PRENOTAZIONI!$U:$U,34)),"")</f>
        <v/>
      </c>
      <c r="F37" s="34" t="str">
        <f>IFERROR(INDEX(PRENOTAZIONI!$G:$G,SMALL(PRENOTAZIONI!$U:$U,34)),"")</f>
        <v/>
      </c>
      <c r="G37" s="35" t="str">
        <f>IFERROR(INDEX(PRENOTAZIONI!$H:$H,SMALL(PRENOTAZIONI!$U:$U,34)),"")</f>
        <v/>
      </c>
      <c r="H37" s="35" t="str">
        <f t="shared" si="12"/>
        <v/>
      </c>
      <c r="I37" s="35" t="str">
        <f t="shared" si="9"/>
        <v/>
      </c>
      <c r="J37" s="149" t="str">
        <f t="shared" si="13"/>
        <v/>
      </c>
      <c r="K37" s="34" t="str">
        <f>IFERROR(INDEX(PRENOTAZIONI!$K:$K,SMALL(PRENOTAZIONI!$U:$U,34)),"")</f>
        <v/>
      </c>
      <c r="L37" s="35" t="str">
        <f>IFERROR(INDEX(PRENOTAZIONI!$L:$L,SMALL(PRENOTAZIONI!$U:$U,34)),"")</f>
        <v/>
      </c>
      <c r="M37" s="150" t="str">
        <f t="shared" si="14"/>
        <v/>
      </c>
      <c r="N37" s="35" t="str">
        <f t="shared" si="15"/>
        <v/>
      </c>
      <c r="O37" s="35"/>
      <c r="P37" s="43"/>
      <c r="Q37" s="150" t="str">
        <f t="shared" si="16"/>
        <v/>
      </c>
      <c r="R37" s="47" t="str">
        <f>IFERROR(INDEX(PRENOTAZIONI!$R:$R,SMALL(PRENOTAZIONI!$U:$U,34)),"")</f>
        <v/>
      </c>
      <c r="S37" s="78"/>
    </row>
    <row r="38" spans="1:30" ht="22" customHeight="1" x14ac:dyDescent="0.25">
      <c r="A38" s="31" t="str">
        <f>IFERROR(INDEX(PRENOTAZIONI!$A:$A,SMALL(PRENOTAZIONI!$U:$U,35)),"")</f>
        <v/>
      </c>
      <c r="B38" s="31" t="str">
        <f>IFERROR(INDEX(PRENOTAZIONI!$B:$B,SMALL(PRENOTAZIONI!$U:$U,35)),"")</f>
        <v/>
      </c>
      <c r="C38" s="32" t="str">
        <f t="shared" si="11"/>
        <v/>
      </c>
      <c r="D38" s="34" t="str">
        <f>IFERROR(INDEX(PRENOTAZIONI!$E:$E,SMALL(PRENOTAZIONI!$U:$U,35)),"")</f>
        <v/>
      </c>
      <c r="E38" s="34" t="str">
        <f>IFERROR(INDEX(PRENOTAZIONI!$F:$F,SMALL(PRENOTAZIONI!$U:$U,35)),"")</f>
        <v/>
      </c>
      <c r="F38" s="34" t="str">
        <f>IFERROR(INDEX(PRENOTAZIONI!$G:$G,SMALL(PRENOTAZIONI!$U:$U,35)),"")</f>
        <v/>
      </c>
      <c r="G38" s="35" t="str">
        <f>IFERROR(INDEX(PRENOTAZIONI!$H:$H,SMALL(PRENOTAZIONI!$U:$U,35)),"")</f>
        <v/>
      </c>
      <c r="H38" s="35" t="str">
        <f t="shared" si="12"/>
        <v/>
      </c>
      <c r="I38" s="35" t="str">
        <f t="shared" si="9"/>
        <v/>
      </c>
      <c r="J38" s="149" t="str">
        <f t="shared" si="13"/>
        <v/>
      </c>
      <c r="K38" s="34" t="str">
        <f>IFERROR(INDEX(PRENOTAZIONI!$K:$K,SMALL(PRENOTAZIONI!$U:$U,35)),"")</f>
        <v/>
      </c>
      <c r="L38" s="35" t="str">
        <f>IFERROR(INDEX(PRENOTAZIONI!$L:$L,SMALL(PRENOTAZIONI!$U:$U,35)),"")</f>
        <v/>
      </c>
      <c r="M38" s="150" t="str">
        <f t="shared" si="14"/>
        <v/>
      </c>
      <c r="N38" s="35" t="str">
        <f t="shared" si="15"/>
        <v/>
      </c>
      <c r="O38" s="35"/>
      <c r="P38" s="43"/>
      <c r="Q38" s="150" t="str">
        <f t="shared" si="16"/>
        <v/>
      </c>
      <c r="R38" s="47" t="str">
        <f>IFERROR(INDEX(PRENOTAZIONI!$R:$R,SMALL(PRENOTAZIONI!$U:$U,35)),"")</f>
        <v/>
      </c>
      <c r="S38" s="78"/>
    </row>
    <row r="39" spans="1:30" ht="22" customHeight="1" x14ac:dyDescent="0.25">
      <c r="A39" s="31" t="str">
        <f>IFERROR(INDEX(PRENOTAZIONI!$A:$A,SMALL(PRENOTAZIONI!$U:$U,36)),"")</f>
        <v/>
      </c>
      <c r="B39" s="31" t="str">
        <f>IFERROR(INDEX(PRENOTAZIONI!$B:$B,SMALL(PRENOTAZIONI!$U:$U,36)),"")</f>
        <v/>
      </c>
      <c r="C39" s="32" t="str">
        <f t="shared" si="11"/>
        <v/>
      </c>
      <c r="D39" s="34" t="str">
        <f>IFERROR(INDEX(PRENOTAZIONI!$E:$E,SMALL(PRENOTAZIONI!$U:$U,36)),"")</f>
        <v/>
      </c>
      <c r="E39" s="34" t="str">
        <f>IFERROR(INDEX(PRENOTAZIONI!$F:$F,SMALL(PRENOTAZIONI!$U:$U,36)),"")</f>
        <v/>
      </c>
      <c r="F39" s="34" t="str">
        <f>IFERROR(INDEX(PRENOTAZIONI!$G:$G,SMALL(PRENOTAZIONI!$U:$U,36)),"")</f>
        <v/>
      </c>
      <c r="G39" s="35" t="str">
        <f>IFERROR(INDEX(PRENOTAZIONI!$H:$H,SMALL(PRENOTAZIONI!$U:$U,36)),"")</f>
        <v/>
      </c>
      <c r="H39" s="35" t="str">
        <f t="shared" si="12"/>
        <v/>
      </c>
      <c r="I39" s="35" t="str">
        <f t="shared" ref="I39:I63" si="17">IF(G39="","",IF(NOT(ISERROR(SEARCH("diretta",F39))),0,IF(NOT(ISERROR(SEARCH("booking",F39))),G39*0.15,IF(NOT(ISERROR(SEARCH("airbnb",F39))),G39*0.155,""))))</f>
        <v/>
      </c>
      <c r="J39" s="149" t="str">
        <f t="shared" si="13"/>
        <v/>
      </c>
      <c r="K39" s="34" t="str">
        <f>IFERROR(INDEX(PRENOTAZIONI!$K:$K,SMALL(PRENOTAZIONI!$U:$U,36)),"")</f>
        <v/>
      </c>
      <c r="L39" s="35" t="str">
        <f>IFERROR(INDEX(PRENOTAZIONI!$L:$L,SMALL(PRENOTAZIONI!$U:$U,36)),"")</f>
        <v/>
      </c>
      <c r="M39" s="150" t="str">
        <f t="shared" si="14"/>
        <v/>
      </c>
      <c r="N39" s="35" t="str">
        <f t="shared" si="15"/>
        <v/>
      </c>
      <c r="O39" s="35"/>
      <c r="P39" s="43"/>
      <c r="Q39" s="150" t="str">
        <f t="shared" si="16"/>
        <v/>
      </c>
      <c r="R39" s="47" t="str">
        <f>IFERROR(INDEX(PRENOTAZIONI!$R:$R,SMALL(PRENOTAZIONI!$U:$U,36)),"")</f>
        <v/>
      </c>
      <c r="S39" s="78"/>
    </row>
    <row r="40" spans="1:30" ht="22" customHeight="1" x14ac:dyDescent="0.25">
      <c r="A40" s="31" t="str">
        <f>IFERROR(INDEX(PRENOTAZIONI!$A:$A,SMALL(PRENOTAZIONI!$U:$U,37)),"")</f>
        <v/>
      </c>
      <c r="B40" s="31" t="str">
        <f>IFERROR(INDEX(PRENOTAZIONI!$B:$B,SMALL(PRENOTAZIONI!$U:$U,37)),"")</f>
        <v/>
      </c>
      <c r="C40" s="32" t="str">
        <f t="shared" si="11"/>
        <v/>
      </c>
      <c r="D40" s="34" t="str">
        <f>IFERROR(INDEX(PRENOTAZIONI!$E:$E,SMALL(PRENOTAZIONI!$U:$U,37)),"")</f>
        <v/>
      </c>
      <c r="E40" s="34" t="str">
        <f>IFERROR(INDEX(PRENOTAZIONI!$F:$F,SMALL(PRENOTAZIONI!$U:$U,37)),"")</f>
        <v/>
      </c>
      <c r="F40" s="34" t="str">
        <f>IFERROR(INDEX(PRENOTAZIONI!$G:$G,SMALL(PRENOTAZIONI!$U:$U,37)),"")</f>
        <v/>
      </c>
      <c r="G40" s="35" t="str">
        <f>IFERROR(INDEX(PRENOTAZIONI!$H:$H,SMALL(PRENOTAZIONI!$U:$U,37)),"")</f>
        <v/>
      </c>
      <c r="H40" s="35" t="str">
        <f t="shared" si="12"/>
        <v/>
      </c>
      <c r="I40" s="35" t="str">
        <f t="shared" si="17"/>
        <v/>
      </c>
      <c r="J40" s="149" t="str">
        <f t="shared" si="13"/>
        <v/>
      </c>
      <c r="K40" s="34" t="str">
        <f>IFERROR(INDEX(PRENOTAZIONI!$K:$K,SMALL(PRENOTAZIONI!$U:$U,37)),"")</f>
        <v/>
      </c>
      <c r="L40" s="35" t="str">
        <f>IFERROR(INDEX(PRENOTAZIONI!$L:$L,SMALL(PRENOTAZIONI!$U:$U,37)),"")</f>
        <v/>
      </c>
      <c r="M40" s="150" t="str">
        <f t="shared" si="14"/>
        <v/>
      </c>
      <c r="N40" s="35" t="str">
        <f t="shared" si="15"/>
        <v/>
      </c>
      <c r="O40" s="35"/>
      <c r="P40" s="43"/>
      <c r="Q40" s="150" t="str">
        <f t="shared" si="16"/>
        <v/>
      </c>
      <c r="R40" s="47" t="str">
        <f>IFERROR(INDEX(PRENOTAZIONI!$R:$R,SMALL(PRENOTAZIONI!$U:$U,37)),"")</f>
        <v/>
      </c>
      <c r="S40" s="78"/>
    </row>
    <row r="41" spans="1:30" ht="22" customHeight="1" x14ac:dyDescent="0.25">
      <c r="A41" s="31" t="str">
        <f>IFERROR(INDEX(PRENOTAZIONI!$A:$A,SMALL(PRENOTAZIONI!$U:$U,38)),"")</f>
        <v/>
      </c>
      <c r="B41" s="31" t="str">
        <f>IFERROR(INDEX(PRENOTAZIONI!$B:$B,SMALL(PRENOTAZIONI!$U:$U,38)),"")</f>
        <v/>
      </c>
      <c r="C41" s="32" t="str">
        <f t="shared" si="11"/>
        <v/>
      </c>
      <c r="D41" s="34" t="str">
        <f>IFERROR(INDEX(PRENOTAZIONI!$E:$E,SMALL(PRENOTAZIONI!$U:$U,38)),"")</f>
        <v/>
      </c>
      <c r="E41" s="34" t="str">
        <f>IFERROR(INDEX(PRENOTAZIONI!$F:$F,SMALL(PRENOTAZIONI!$U:$U,38)),"")</f>
        <v/>
      </c>
      <c r="F41" s="34" t="str">
        <f>IFERROR(INDEX(PRENOTAZIONI!$G:$G,SMALL(PRENOTAZIONI!$U:$U,38)),"")</f>
        <v/>
      </c>
      <c r="G41" s="35" t="str">
        <f>IFERROR(INDEX(PRENOTAZIONI!$H:$H,SMALL(PRENOTAZIONI!$U:$U,38)),"")</f>
        <v/>
      </c>
      <c r="H41" s="35" t="str">
        <f t="shared" si="12"/>
        <v/>
      </c>
      <c r="I41" s="35" t="str">
        <f t="shared" si="17"/>
        <v/>
      </c>
      <c r="J41" s="149" t="str">
        <f t="shared" si="13"/>
        <v/>
      </c>
      <c r="K41" s="34" t="str">
        <f>IFERROR(INDEX(PRENOTAZIONI!$K:$K,SMALL(PRENOTAZIONI!$U:$U,38)),"")</f>
        <v/>
      </c>
      <c r="L41" s="35" t="str">
        <f>IFERROR(INDEX(PRENOTAZIONI!$L:$L,SMALL(PRENOTAZIONI!$U:$U,38)),"")</f>
        <v/>
      </c>
      <c r="M41" s="150" t="str">
        <f t="shared" si="14"/>
        <v/>
      </c>
      <c r="N41" s="35" t="str">
        <f t="shared" si="15"/>
        <v/>
      </c>
      <c r="O41" s="35"/>
      <c r="P41" s="43"/>
      <c r="Q41" s="150" t="str">
        <f t="shared" si="16"/>
        <v/>
      </c>
      <c r="R41" s="47" t="str">
        <f>IFERROR(INDEX(PRENOTAZIONI!$R:$R,SMALL(PRENOTAZIONI!$U:$U,38)),"")</f>
        <v/>
      </c>
      <c r="S41" s="78"/>
    </row>
    <row r="42" spans="1:30" ht="22" customHeight="1" x14ac:dyDescent="0.25">
      <c r="A42" s="31" t="str">
        <f>IFERROR(INDEX(PRENOTAZIONI!$A:$A,SMALL(PRENOTAZIONI!$U:$U,39)),"")</f>
        <v/>
      </c>
      <c r="B42" s="31" t="str">
        <f>IFERROR(INDEX(PRENOTAZIONI!$B:$B,SMALL(PRENOTAZIONI!$U:$U,39)),"")</f>
        <v/>
      </c>
      <c r="C42" s="32" t="str">
        <f t="shared" si="11"/>
        <v/>
      </c>
      <c r="D42" s="34" t="str">
        <f>IFERROR(INDEX(PRENOTAZIONI!$E:$E,SMALL(PRENOTAZIONI!$U:$U,39)),"")</f>
        <v/>
      </c>
      <c r="E42" s="34" t="str">
        <f>IFERROR(INDEX(PRENOTAZIONI!$F:$F,SMALL(PRENOTAZIONI!$U:$U,39)),"")</f>
        <v/>
      </c>
      <c r="F42" s="34" t="str">
        <f>IFERROR(INDEX(PRENOTAZIONI!$G:$G,SMALL(PRENOTAZIONI!$U:$U,39)),"")</f>
        <v/>
      </c>
      <c r="G42" s="35" t="str">
        <f>IFERROR(INDEX(PRENOTAZIONI!$H:$H,SMALL(PRENOTAZIONI!$U:$U,39)),"")</f>
        <v/>
      </c>
      <c r="H42" s="35" t="str">
        <f t="shared" si="12"/>
        <v/>
      </c>
      <c r="I42" s="35" t="str">
        <f t="shared" si="17"/>
        <v/>
      </c>
      <c r="J42" s="149" t="str">
        <f t="shared" si="13"/>
        <v/>
      </c>
      <c r="K42" s="34" t="str">
        <f>IFERROR(INDEX(PRENOTAZIONI!$K:$K,SMALL(PRENOTAZIONI!$U:$U,39)),"")</f>
        <v/>
      </c>
      <c r="L42" s="35" t="str">
        <f>IFERROR(INDEX(PRENOTAZIONI!$L:$L,SMALL(PRENOTAZIONI!$U:$U,39)),"")</f>
        <v/>
      </c>
      <c r="M42" s="150" t="str">
        <f t="shared" si="14"/>
        <v/>
      </c>
      <c r="N42" s="35" t="str">
        <f t="shared" si="15"/>
        <v/>
      </c>
      <c r="O42" s="35"/>
      <c r="P42" s="43"/>
      <c r="Q42" s="150" t="str">
        <f t="shared" si="16"/>
        <v/>
      </c>
      <c r="R42" s="47" t="str">
        <f>IFERROR(INDEX(PRENOTAZIONI!$R:$R,SMALL(PRENOTAZIONI!$U:$U,39)),"")</f>
        <v/>
      </c>
      <c r="S42" s="78"/>
    </row>
    <row r="43" spans="1:30" ht="22" customHeight="1" x14ac:dyDescent="0.25">
      <c r="A43" s="31" t="str">
        <f>IFERROR(INDEX(PRENOTAZIONI!$A:$A,SMALL(PRENOTAZIONI!$U:$U,40)),"")</f>
        <v/>
      </c>
      <c r="B43" s="31" t="str">
        <f>IFERROR(INDEX(PRENOTAZIONI!$B:$B,SMALL(PRENOTAZIONI!$U:$U,40)),"")</f>
        <v/>
      </c>
      <c r="C43" s="32" t="str">
        <f t="shared" si="11"/>
        <v/>
      </c>
      <c r="D43" s="34" t="str">
        <f>IFERROR(INDEX(PRENOTAZIONI!$E:$E,SMALL(PRENOTAZIONI!$U:$U,40)),"")</f>
        <v/>
      </c>
      <c r="E43" s="34" t="str">
        <f>IFERROR(INDEX(PRENOTAZIONI!$F:$F,SMALL(PRENOTAZIONI!$U:$U,40)),"")</f>
        <v/>
      </c>
      <c r="F43" s="34" t="str">
        <f>IFERROR(INDEX(PRENOTAZIONI!$G:$G,SMALL(PRENOTAZIONI!$U:$U,40)),"")</f>
        <v/>
      </c>
      <c r="G43" s="35" t="str">
        <f>IFERROR(INDEX(PRENOTAZIONI!$H:$H,SMALL(PRENOTAZIONI!$U:$U,40)),"")</f>
        <v/>
      </c>
      <c r="H43" s="35" t="str">
        <f t="shared" si="12"/>
        <v/>
      </c>
      <c r="I43" s="35" t="str">
        <f t="shared" si="17"/>
        <v/>
      </c>
      <c r="J43" s="149" t="str">
        <f t="shared" si="13"/>
        <v/>
      </c>
      <c r="K43" s="34" t="str">
        <f>IFERROR(INDEX(PRENOTAZIONI!$K:$K,SMALL(PRENOTAZIONI!$U:$U,40)),"")</f>
        <v/>
      </c>
      <c r="L43" s="35" t="str">
        <f>IFERROR(INDEX(PRENOTAZIONI!$L:$L,SMALL(PRENOTAZIONI!$U:$U,40)),"")</f>
        <v/>
      </c>
      <c r="M43" s="150" t="str">
        <f t="shared" si="14"/>
        <v/>
      </c>
      <c r="N43" s="35" t="str">
        <f t="shared" si="15"/>
        <v/>
      </c>
      <c r="O43" s="35"/>
      <c r="P43" s="43"/>
      <c r="Q43" s="150" t="str">
        <f t="shared" si="16"/>
        <v/>
      </c>
      <c r="R43" s="47" t="str">
        <f>IFERROR(INDEX(PRENOTAZIONI!$R:$R,SMALL(PRENOTAZIONI!$U:$U,40)),"")</f>
        <v/>
      </c>
      <c r="S43" s="78"/>
    </row>
    <row r="44" spans="1:30" ht="22" customHeight="1" x14ac:dyDescent="0.25">
      <c r="A44" s="31" t="str">
        <f>IFERROR(INDEX(PRENOTAZIONI!$A:$A,SMALL(PRENOTAZIONI!$U:$U,41)),"")</f>
        <v/>
      </c>
      <c r="B44" s="31" t="str">
        <f>IFERROR(INDEX(PRENOTAZIONI!$B:$B,SMALL(PRENOTAZIONI!$U:$U,41)),"")</f>
        <v/>
      </c>
      <c r="C44" s="32" t="str">
        <f t="shared" si="11"/>
        <v/>
      </c>
      <c r="D44" s="34" t="str">
        <f>IFERROR(INDEX(PRENOTAZIONI!$E:$E,SMALL(PRENOTAZIONI!$U:$U,41)),"")</f>
        <v/>
      </c>
      <c r="E44" s="34" t="str">
        <f>IFERROR(INDEX(PRENOTAZIONI!$F:$F,SMALL(PRENOTAZIONI!$U:$U,41)),"")</f>
        <v/>
      </c>
      <c r="F44" s="34" t="str">
        <f>IFERROR(INDEX(PRENOTAZIONI!$G:$G,SMALL(PRENOTAZIONI!$U:$U,41)),"")</f>
        <v/>
      </c>
      <c r="G44" s="35" t="str">
        <f>IFERROR(INDEX(PRENOTAZIONI!$H:$H,SMALL(PRENOTAZIONI!$U:$U,41)),"")</f>
        <v/>
      </c>
      <c r="H44" s="35" t="str">
        <f t="shared" si="12"/>
        <v/>
      </c>
      <c r="I44" s="35" t="str">
        <f t="shared" si="17"/>
        <v/>
      </c>
      <c r="J44" s="149" t="str">
        <f t="shared" si="13"/>
        <v/>
      </c>
      <c r="K44" s="34" t="str">
        <f>IFERROR(INDEX(PRENOTAZIONI!$K:$K,SMALL(PRENOTAZIONI!$U:$U,41)),"")</f>
        <v/>
      </c>
      <c r="L44" s="35" t="str">
        <f>IFERROR(INDEX(PRENOTAZIONI!$L:$L,SMALL(PRENOTAZIONI!$U:$U,41)),"")</f>
        <v/>
      </c>
      <c r="M44" s="150" t="str">
        <f t="shared" si="14"/>
        <v/>
      </c>
      <c r="N44" s="35" t="str">
        <f t="shared" si="15"/>
        <v/>
      </c>
      <c r="O44" s="35"/>
      <c r="P44" s="43"/>
      <c r="Q44" s="150" t="str">
        <f t="shared" si="16"/>
        <v/>
      </c>
      <c r="R44" s="47" t="str">
        <f>IFERROR(INDEX(PRENOTAZIONI!$R:$R,SMALL(PRENOTAZIONI!$U:$U,41)),"")</f>
        <v/>
      </c>
      <c r="S44" s="78"/>
    </row>
    <row r="45" spans="1:30" ht="22" customHeight="1" x14ac:dyDescent="0.25">
      <c r="A45" s="31" t="str">
        <f>IFERROR(INDEX(PRENOTAZIONI!$A:$A,SMALL(PRENOTAZIONI!$U:$U,42)),"")</f>
        <v/>
      </c>
      <c r="B45" s="31" t="str">
        <f>IFERROR(INDEX(PRENOTAZIONI!$B:$B,SMALL(PRENOTAZIONI!$U:$U,42)),"")</f>
        <v/>
      </c>
      <c r="C45" s="32" t="str">
        <f t="shared" si="11"/>
        <v/>
      </c>
      <c r="D45" s="34" t="str">
        <f>IFERROR(INDEX(PRENOTAZIONI!$E:$E,SMALL(PRENOTAZIONI!$U:$U,42)),"")</f>
        <v/>
      </c>
      <c r="E45" s="34" t="str">
        <f>IFERROR(INDEX(PRENOTAZIONI!$F:$F,SMALL(PRENOTAZIONI!$U:$U,42)),"")</f>
        <v/>
      </c>
      <c r="F45" s="34" t="str">
        <f>IFERROR(INDEX(PRENOTAZIONI!$G:$G,SMALL(PRENOTAZIONI!$U:$U,42)),"")</f>
        <v/>
      </c>
      <c r="G45" s="35" t="str">
        <f>IFERROR(INDEX(PRENOTAZIONI!$H:$H,SMALL(PRENOTAZIONI!$U:$U,42)),"")</f>
        <v/>
      </c>
      <c r="H45" s="35" t="str">
        <f t="shared" si="12"/>
        <v/>
      </c>
      <c r="I45" s="35" t="str">
        <f t="shared" si="17"/>
        <v/>
      </c>
      <c r="J45" s="149" t="str">
        <f t="shared" si="13"/>
        <v/>
      </c>
      <c r="K45" s="34" t="str">
        <f>IFERROR(INDEX(PRENOTAZIONI!$K:$K,SMALL(PRENOTAZIONI!$U:$U,42)),"")</f>
        <v/>
      </c>
      <c r="L45" s="35" t="str">
        <f>IFERROR(INDEX(PRENOTAZIONI!$L:$L,SMALL(PRENOTAZIONI!$U:$U,42)),"")</f>
        <v/>
      </c>
      <c r="M45" s="150" t="str">
        <f t="shared" si="14"/>
        <v/>
      </c>
      <c r="N45" s="35" t="str">
        <f t="shared" si="15"/>
        <v/>
      </c>
      <c r="O45" s="35"/>
      <c r="P45" s="43"/>
      <c r="Q45" s="150" t="str">
        <f t="shared" si="16"/>
        <v/>
      </c>
      <c r="R45" s="47" t="str">
        <f>IFERROR(INDEX(PRENOTAZIONI!$R:$R,SMALL(PRENOTAZIONI!$U:$U,42)),"")</f>
        <v/>
      </c>
      <c r="S45" s="78"/>
    </row>
    <row r="46" spans="1:30" ht="22" customHeight="1" x14ac:dyDescent="0.25">
      <c r="A46" s="31" t="str">
        <f>IFERROR(INDEX(PRENOTAZIONI!$A:$A,SMALL(PRENOTAZIONI!$U:$U,43)),"")</f>
        <v/>
      </c>
      <c r="B46" s="31" t="str">
        <f>IFERROR(INDEX(PRENOTAZIONI!$B:$B,SMALL(PRENOTAZIONI!$U:$U,43)),"")</f>
        <v/>
      </c>
      <c r="C46" s="32" t="str">
        <f t="shared" si="11"/>
        <v/>
      </c>
      <c r="D46" s="34" t="str">
        <f>IFERROR(INDEX(PRENOTAZIONI!$E:$E,SMALL(PRENOTAZIONI!$U:$U,43)),"")</f>
        <v/>
      </c>
      <c r="E46" s="34" t="str">
        <f>IFERROR(INDEX(PRENOTAZIONI!$F:$F,SMALL(PRENOTAZIONI!$U:$U,43)),"")</f>
        <v/>
      </c>
      <c r="F46" s="34" t="str">
        <f>IFERROR(INDEX(PRENOTAZIONI!$G:$G,SMALL(PRENOTAZIONI!$U:$U,43)),"")</f>
        <v/>
      </c>
      <c r="G46" s="35" t="str">
        <f>IFERROR(INDEX(PRENOTAZIONI!$H:$H,SMALL(PRENOTAZIONI!$U:$U,43)),"")</f>
        <v/>
      </c>
      <c r="H46" s="35" t="str">
        <f t="shared" si="12"/>
        <v/>
      </c>
      <c r="I46" s="35" t="str">
        <f t="shared" si="17"/>
        <v/>
      </c>
      <c r="J46" s="149" t="str">
        <f t="shared" si="13"/>
        <v/>
      </c>
      <c r="K46" s="34" t="str">
        <f>IFERROR(INDEX(PRENOTAZIONI!$K:$K,SMALL(PRENOTAZIONI!$U:$U,43)),"")</f>
        <v/>
      </c>
      <c r="L46" s="35" t="str">
        <f>IFERROR(INDEX(PRENOTAZIONI!$L:$L,SMALL(PRENOTAZIONI!$U:$U,43)),"")</f>
        <v/>
      </c>
      <c r="M46" s="150" t="str">
        <f t="shared" si="14"/>
        <v/>
      </c>
      <c r="N46" s="35" t="str">
        <f t="shared" si="15"/>
        <v/>
      </c>
      <c r="O46" s="35"/>
      <c r="P46" s="43"/>
      <c r="Q46" s="150" t="str">
        <f t="shared" si="16"/>
        <v/>
      </c>
      <c r="R46" s="47" t="str">
        <f>IFERROR(INDEX(PRENOTAZIONI!$R:$R,SMALL(PRENOTAZIONI!$U:$U,43)),"")</f>
        <v/>
      </c>
      <c r="S46" s="78"/>
    </row>
    <row r="47" spans="1:30" ht="22" customHeight="1" x14ac:dyDescent="0.25">
      <c r="A47" s="31" t="str">
        <f>IFERROR(INDEX(PRENOTAZIONI!$A:$A,SMALL(PRENOTAZIONI!$U:$U,44)),"")</f>
        <v/>
      </c>
      <c r="B47" s="31" t="str">
        <f>IFERROR(INDEX(PRENOTAZIONI!$B:$B,SMALL(PRENOTAZIONI!$U:$U,44)),"")</f>
        <v/>
      </c>
      <c r="C47" s="32" t="str">
        <f t="shared" si="11"/>
        <v/>
      </c>
      <c r="D47" s="34" t="str">
        <f>IFERROR(INDEX(PRENOTAZIONI!$E:$E,SMALL(PRENOTAZIONI!$U:$U,44)),"")</f>
        <v/>
      </c>
      <c r="E47" s="34" t="str">
        <f>IFERROR(INDEX(PRENOTAZIONI!$F:$F,SMALL(PRENOTAZIONI!$U:$U,44)),"")</f>
        <v/>
      </c>
      <c r="F47" s="34" t="str">
        <f>IFERROR(INDEX(PRENOTAZIONI!$G:$G,SMALL(PRENOTAZIONI!$U:$U,44)),"")</f>
        <v/>
      </c>
      <c r="G47" s="35" t="str">
        <f>IFERROR(INDEX(PRENOTAZIONI!$H:$H,SMALL(PRENOTAZIONI!$U:$U,44)),"")</f>
        <v/>
      </c>
      <c r="H47" s="35" t="str">
        <f t="shared" si="12"/>
        <v/>
      </c>
      <c r="I47" s="35" t="str">
        <f t="shared" si="17"/>
        <v/>
      </c>
      <c r="J47" s="149" t="str">
        <f t="shared" si="13"/>
        <v/>
      </c>
      <c r="K47" s="34" t="str">
        <f>IFERROR(INDEX(PRENOTAZIONI!$K:$K,SMALL(PRENOTAZIONI!$U:$U,44)),"")</f>
        <v/>
      </c>
      <c r="L47" s="35" t="str">
        <f>IFERROR(INDEX(PRENOTAZIONI!$L:$L,SMALL(PRENOTAZIONI!$U:$U,44)),"")</f>
        <v/>
      </c>
      <c r="M47" s="150" t="str">
        <f t="shared" si="14"/>
        <v/>
      </c>
      <c r="N47" s="35" t="str">
        <f t="shared" si="15"/>
        <v/>
      </c>
      <c r="O47" s="35"/>
      <c r="P47" s="43"/>
      <c r="Q47" s="150" t="str">
        <f t="shared" si="16"/>
        <v/>
      </c>
      <c r="R47" s="47" t="str">
        <f>IFERROR(INDEX(PRENOTAZIONI!$R:$R,SMALL(PRENOTAZIONI!$U:$U,44)),"")</f>
        <v/>
      </c>
      <c r="S47" s="78"/>
    </row>
    <row r="48" spans="1:30" ht="22" customHeight="1" x14ac:dyDescent="0.25">
      <c r="A48" s="31" t="str">
        <f>IFERROR(INDEX(PRENOTAZIONI!$A:$A,SMALL(PRENOTAZIONI!$U:$U,45)),"")</f>
        <v/>
      </c>
      <c r="B48" s="31" t="str">
        <f>IFERROR(INDEX(PRENOTAZIONI!$B:$B,SMALL(PRENOTAZIONI!$U:$U,45)),"")</f>
        <v/>
      </c>
      <c r="C48" s="32" t="str">
        <f t="shared" si="11"/>
        <v/>
      </c>
      <c r="D48" s="34" t="str">
        <f>IFERROR(INDEX(PRENOTAZIONI!$E:$E,SMALL(PRENOTAZIONI!$U:$U,45)),"")</f>
        <v/>
      </c>
      <c r="E48" s="34" t="str">
        <f>IFERROR(INDEX(PRENOTAZIONI!$F:$F,SMALL(PRENOTAZIONI!$U:$U,45)),"")</f>
        <v/>
      </c>
      <c r="F48" s="34" t="str">
        <f>IFERROR(INDEX(PRENOTAZIONI!$G:$G,SMALL(PRENOTAZIONI!$U:$U,45)),"")</f>
        <v/>
      </c>
      <c r="G48" s="35" t="str">
        <f>IFERROR(INDEX(PRENOTAZIONI!$H:$H,SMALL(PRENOTAZIONI!$U:$U,45)),"")</f>
        <v/>
      </c>
      <c r="H48" s="35" t="str">
        <f t="shared" si="12"/>
        <v/>
      </c>
      <c r="I48" s="35" t="str">
        <f t="shared" si="17"/>
        <v/>
      </c>
      <c r="J48" s="149" t="str">
        <f t="shared" si="13"/>
        <v/>
      </c>
      <c r="K48" s="34" t="str">
        <f>IFERROR(INDEX(PRENOTAZIONI!$K:$K,SMALL(PRENOTAZIONI!$U:$U,45)),"")</f>
        <v/>
      </c>
      <c r="L48" s="35" t="str">
        <f>IFERROR(INDEX(PRENOTAZIONI!$L:$L,SMALL(PRENOTAZIONI!$U:$U,45)),"")</f>
        <v/>
      </c>
      <c r="M48" s="150" t="str">
        <f t="shared" si="14"/>
        <v/>
      </c>
      <c r="N48" s="35" t="str">
        <f t="shared" si="15"/>
        <v/>
      </c>
      <c r="O48" s="35"/>
      <c r="P48" s="43"/>
      <c r="Q48" s="150" t="str">
        <f t="shared" si="16"/>
        <v/>
      </c>
      <c r="R48" s="47" t="str">
        <f>IFERROR(INDEX(PRENOTAZIONI!$R:$R,SMALL(PRENOTAZIONI!$U:$U,45)),"")</f>
        <v/>
      </c>
      <c r="S48" s="78"/>
    </row>
    <row r="49" spans="1:19" ht="22" customHeight="1" x14ac:dyDescent="0.25">
      <c r="A49" s="31" t="str">
        <f>IFERROR(INDEX(PRENOTAZIONI!$A:$A,SMALL(PRENOTAZIONI!$U:$U,46)),"")</f>
        <v/>
      </c>
      <c r="B49" s="31" t="str">
        <f>IFERROR(INDEX(PRENOTAZIONI!$B:$B,SMALL(PRENOTAZIONI!$U:$U,46)),"")</f>
        <v/>
      </c>
      <c r="C49" s="32" t="str">
        <f t="shared" si="11"/>
        <v/>
      </c>
      <c r="D49" s="34" t="str">
        <f>IFERROR(INDEX(PRENOTAZIONI!$E:$E,SMALL(PRENOTAZIONI!$U:$U,46)),"")</f>
        <v/>
      </c>
      <c r="E49" s="34" t="str">
        <f>IFERROR(INDEX(PRENOTAZIONI!$F:$F,SMALL(PRENOTAZIONI!$U:$U,46)),"")</f>
        <v/>
      </c>
      <c r="F49" s="34" t="str">
        <f>IFERROR(INDEX(PRENOTAZIONI!$G:$G,SMALL(PRENOTAZIONI!$U:$U,46)),"")</f>
        <v/>
      </c>
      <c r="G49" s="35" t="str">
        <f>IFERROR(INDEX(PRENOTAZIONI!$H:$H,SMALL(PRENOTAZIONI!$U:$U,46)),"")</f>
        <v/>
      </c>
      <c r="H49" s="35" t="str">
        <f t="shared" si="12"/>
        <v/>
      </c>
      <c r="I49" s="35" t="str">
        <f t="shared" si="17"/>
        <v/>
      </c>
      <c r="J49" s="149" t="str">
        <f t="shared" si="13"/>
        <v/>
      </c>
      <c r="K49" s="34" t="str">
        <f>IFERROR(INDEX(PRENOTAZIONI!$K:$K,SMALL(PRENOTAZIONI!$U:$U,46)),"")</f>
        <v/>
      </c>
      <c r="L49" s="35" t="str">
        <f>IFERROR(INDEX(PRENOTAZIONI!$L:$L,SMALL(PRENOTAZIONI!$U:$U,46)),"")</f>
        <v/>
      </c>
      <c r="M49" s="150" t="str">
        <f t="shared" si="14"/>
        <v/>
      </c>
      <c r="N49" s="35" t="str">
        <f t="shared" si="15"/>
        <v/>
      </c>
      <c r="O49" s="35"/>
      <c r="P49" s="43"/>
      <c r="Q49" s="150" t="str">
        <f t="shared" si="16"/>
        <v/>
      </c>
      <c r="R49" s="47" t="str">
        <f>IFERROR(INDEX(PRENOTAZIONI!$R:$R,SMALL(PRENOTAZIONI!$U:$U,46)),"")</f>
        <v/>
      </c>
      <c r="S49" s="78"/>
    </row>
    <row r="50" spans="1:19" ht="22" customHeight="1" x14ac:dyDescent="0.25">
      <c r="A50" s="31" t="str">
        <f>IFERROR(INDEX(PRENOTAZIONI!$A:$A,SMALL(PRENOTAZIONI!$U:$U,47)),"")</f>
        <v/>
      </c>
      <c r="B50" s="31" t="str">
        <f>IFERROR(INDEX(PRENOTAZIONI!$B:$B,SMALL(PRENOTAZIONI!$U:$U,47)),"")</f>
        <v/>
      </c>
      <c r="C50" s="32" t="str">
        <f t="shared" si="11"/>
        <v/>
      </c>
      <c r="D50" s="34" t="str">
        <f>IFERROR(INDEX(PRENOTAZIONI!$E:$E,SMALL(PRENOTAZIONI!$U:$U,47)),"")</f>
        <v/>
      </c>
      <c r="E50" s="34" t="str">
        <f>IFERROR(INDEX(PRENOTAZIONI!$F:$F,SMALL(PRENOTAZIONI!$U:$U,47)),"")</f>
        <v/>
      </c>
      <c r="F50" s="34" t="str">
        <f>IFERROR(INDEX(PRENOTAZIONI!$G:$G,SMALL(PRENOTAZIONI!$U:$U,47)),"")</f>
        <v/>
      </c>
      <c r="G50" s="35" t="str">
        <f>IFERROR(INDEX(PRENOTAZIONI!$H:$H,SMALL(PRENOTAZIONI!$U:$U,47)),"")</f>
        <v/>
      </c>
      <c r="H50" s="35" t="str">
        <f t="shared" si="12"/>
        <v/>
      </c>
      <c r="I50" s="35" t="str">
        <f t="shared" si="17"/>
        <v/>
      </c>
      <c r="J50" s="149" t="str">
        <f t="shared" si="13"/>
        <v/>
      </c>
      <c r="K50" s="34" t="str">
        <f>IFERROR(INDEX(PRENOTAZIONI!$K:$K,SMALL(PRENOTAZIONI!$U:$U,47)),"")</f>
        <v/>
      </c>
      <c r="L50" s="35" t="str">
        <f>IFERROR(INDEX(PRENOTAZIONI!$L:$L,SMALL(PRENOTAZIONI!$U:$U,47)),"")</f>
        <v/>
      </c>
      <c r="M50" s="150" t="str">
        <f t="shared" si="14"/>
        <v/>
      </c>
      <c r="N50" s="35" t="str">
        <f t="shared" si="15"/>
        <v/>
      </c>
      <c r="O50" s="35"/>
      <c r="P50" s="43"/>
      <c r="Q50" s="150" t="str">
        <f t="shared" si="16"/>
        <v/>
      </c>
      <c r="R50" s="47" t="str">
        <f>IFERROR(INDEX(PRENOTAZIONI!$R:$R,SMALL(PRENOTAZIONI!$U:$U,47)),"")</f>
        <v/>
      </c>
      <c r="S50" s="78"/>
    </row>
    <row r="51" spans="1:19" ht="22" customHeight="1" x14ac:dyDescent="0.25">
      <c r="A51" s="31" t="str">
        <f>IFERROR(INDEX(PRENOTAZIONI!$A:$A,SMALL(PRENOTAZIONI!$U:$U,48)),"")</f>
        <v/>
      </c>
      <c r="B51" s="31" t="str">
        <f>IFERROR(INDEX(PRENOTAZIONI!$B:$B,SMALL(PRENOTAZIONI!$U:$U,48)),"")</f>
        <v/>
      </c>
      <c r="C51" s="32" t="str">
        <f t="shared" si="11"/>
        <v/>
      </c>
      <c r="D51" s="34" t="str">
        <f>IFERROR(INDEX(PRENOTAZIONI!$E:$E,SMALL(PRENOTAZIONI!$U:$U,48)),"")</f>
        <v/>
      </c>
      <c r="E51" s="34" t="str">
        <f>IFERROR(INDEX(PRENOTAZIONI!$F:$F,SMALL(PRENOTAZIONI!$U:$U,48)),"")</f>
        <v/>
      </c>
      <c r="F51" s="34" t="str">
        <f>IFERROR(INDEX(PRENOTAZIONI!$G:$G,SMALL(PRENOTAZIONI!$U:$U,48)),"")</f>
        <v/>
      </c>
      <c r="G51" s="35" t="str">
        <f>IFERROR(INDEX(PRENOTAZIONI!$H:$H,SMALL(PRENOTAZIONI!$U:$U,48)),"")</f>
        <v/>
      </c>
      <c r="H51" s="35" t="str">
        <f t="shared" si="12"/>
        <v/>
      </c>
      <c r="I51" s="35" t="str">
        <f t="shared" si="17"/>
        <v/>
      </c>
      <c r="J51" s="149" t="str">
        <f t="shared" si="13"/>
        <v/>
      </c>
      <c r="K51" s="34" t="str">
        <f>IFERROR(INDEX(PRENOTAZIONI!$K:$K,SMALL(PRENOTAZIONI!$U:$U,48)),"")</f>
        <v/>
      </c>
      <c r="L51" s="35" t="str">
        <f>IFERROR(INDEX(PRENOTAZIONI!$L:$L,SMALL(PRENOTAZIONI!$U:$U,48)),"")</f>
        <v/>
      </c>
      <c r="M51" s="150" t="str">
        <f t="shared" si="14"/>
        <v/>
      </c>
      <c r="N51" s="35" t="str">
        <f t="shared" si="15"/>
        <v/>
      </c>
      <c r="O51" s="35"/>
      <c r="P51" s="43"/>
      <c r="Q51" s="150" t="str">
        <f t="shared" si="16"/>
        <v/>
      </c>
      <c r="R51" s="47" t="str">
        <f>IFERROR(INDEX(PRENOTAZIONI!$R:$R,SMALL(PRENOTAZIONI!$U:$U,48)),"")</f>
        <v/>
      </c>
      <c r="S51" s="78"/>
    </row>
    <row r="52" spans="1:19" ht="22" customHeight="1" x14ac:dyDescent="0.25">
      <c r="A52" s="31" t="str">
        <f>IFERROR(INDEX(PRENOTAZIONI!$A:$A,SMALL(PRENOTAZIONI!$U:$U,49)),"")</f>
        <v/>
      </c>
      <c r="B52" s="31" t="str">
        <f>IFERROR(INDEX(PRENOTAZIONI!$B:$B,SMALL(PRENOTAZIONI!$U:$U,49)),"")</f>
        <v/>
      </c>
      <c r="C52" s="32" t="str">
        <f t="shared" si="11"/>
        <v/>
      </c>
      <c r="D52" s="34" t="str">
        <f>IFERROR(INDEX(PRENOTAZIONI!$E:$E,SMALL(PRENOTAZIONI!$U:$U,49)),"")</f>
        <v/>
      </c>
      <c r="E52" s="34" t="str">
        <f>IFERROR(INDEX(PRENOTAZIONI!$F:$F,SMALL(PRENOTAZIONI!$U:$U,49)),"")</f>
        <v/>
      </c>
      <c r="F52" s="34" t="str">
        <f>IFERROR(INDEX(PRENOTAZIONI!$G:$G,SMALL(PRENOTAZIONI!$U:$U,49)),"")</f>
        <v/>
      </c>
      <c r="G52" s="35" t="str">
        <f>IFERROR(INDEX(PRENOTAZIONI!$H:$H,SMALL(PRENOTAZIONI!$U:$U,49)),"")</f>
        <v/>
      </c>
      <c r="H52" s="35" t="str">
        <f t="shared" si="12"/>
        <v/>
      </c>
      <c r="I52" s="35" t="str">
        <f t="shared" si="17"/>
        <v/>
      </c>
      <c r="J52" s="149" t="str">
        <f t="shared" si="13"/>
        <v/>
      </c>
      <c r="K52" s="34" t="str">
        <f>IFERROR(INDEX(PRENOTAZIONI!$K:$K,SMALL(PRENOTAZIONI!$U:$U,49)),"")</f>
        <v/>
      </c>
      <c r="L52" s="35" t="str">
        <f>IFERROR(INDEX(PRENOTAZIONI!$L:$L,SMALL(PRENOTAZIONI!$U:$U,49)),"")</f>
        <v/>
      </c>
      <c r="M52" s="150" t="str">
        <f t="shared" si="14"/>
        <v/>
      </c>
      <c r="N52" s="35" t="str">
        <f t="shared" si="15"/>
        <v/>
      </c>
      <c r="O52" s="35"/>
      <c r="P52" s="43"/>
      <c r="Q52" s="150" t="str">
        <f t="shared" si="16"/>
        <v/>
      </c>
      <c r="R52" s="47" t="str">
        <f>IFERROR(INDEX(PRENOTAZIONI!$R:$R,SMALL(PRENOTAZIONI!$U:$U,49)),"")</f>
        <v/>
      </c>
      <c r="S52" s="78"/>
    </row>
    <row r="53" spans="1:19" ht="22" customHeight="1" x14ac:dyDescent="0.25">
      <c r="A53" s="31" t="str">
        <f>IFERROR(INDEX(PRENOTAZIONI!$A:$A,SMALL(PRENOTAZIONI!$U:$U,50)),"")</f>
        <v/>
      </c>
      <c r="B53" s="31" t="str">
        <f>IFERROR(INDEX(PRENOTAZIONI!$B:$B,SMALL(PRENOTAZIONI!$U:$U,50)),"")</f>
        <v/>
      </c>
      <c r="C53" s="32" t="str">
        <f t="shared" si="11"/>
        <v/>
      </c>
      <c r="D53" s="34" t="str">
        <f>IFERROR(INDEX(PRENOTAZIONI!$E:$E,SMALL(PRENOTAZIONI!$U:$U,50)),"")</f>
        <v/>
      </c>
      <c r="E53" s="34" t="str">
        <f>IFERROR(INDEX(PRENOTAZIONI!$F:$F,SMALL(PRENOTAZIONI!$U:$U,50)),"")</f>
        <v/>
      </c>
      <c r="F53" s="34" t="str">
        <f>IFERROR(INDEX(PRENOTAZIONI!$G:$G,SMALL(PRENOTAZIONI!$U:$U,50)),"")</f>
        <v/>
      </c>
      <c r="G53" s="35" t="str">
        <f>IFERROR(INDEX(PRENOTAZIONI!$H:$H,SMALL(PRENOTAZIONI!$U:$U,50)),"")</f>
        <v/>
      </c>
      <c r="H53" s="35" t="str">
        <f t="shared" si="12"/>
        <v/>
      </c>
      <c r="I53" s="35" t="str">
        <f t="shared" si="17"/>
        <v/>
      </c>
      <c r="J53" s="149" t="str">
        <f t="shared" si="13"/>
        <v/>
      </c>
      <c r="K53" s="34" t="str">
        <f>IFERROR(INDEX(PRENOTAZIONI!$K:$K,SMALL(PRENOTAZIONI!$U:$U,50)),"")</f>
        <v/>
      </c>
      <c r="L53" s="35" t="str">
        <f>IFERROR(INDEX(PRENOTAZIONI!$L:$L,SMALL(PRENOTAZIONI!$U:$U,50)),"")</f>
        <v/>
      </c>
      <c r="M53" s="150" t="str">
        <f t="shared" si="14"/>
        <v/>
      </c>
      <c r="N53" s="35" t="str">
        <f t="shared" si="15"/>
        <v/>
      </c>
      <c r="O53" s="35"/>
      <c r="P53" s="43"/>
      <c r="Q53" s="150" t="str">
        <f t="shared" si="16"/>
        <v/>
      </c>
      <c r="R53" s="47" t="str">
        <f>IFERROR(INDEX(PRENOTAZIONI!$R:$R,SMALL(PRENOTAZIONI!$U:$U,50)),"")</f>
        <v/>
      </c>
      <c r="S53" s="78"/>
    </row>
    <row r="54" spans="1:19" ht="22" customHeight="1" x14ac:dyDescent="0.25">
      <c r="A54" s="31" t="str">
        <f>IFERROR(INDEX(PRENOTAZIONI!$A:$A,SMALL(PRENOTAZIONI!$U:$U,51)),"")</f>
        <v/>
      </c>
      <c r="B54" s="31" t="str">
        <f>IFERROR(INDEX(PRENOTAZIONI!$B:$B,SMALL(PRENOTAZIONI!$U:$U,51)),"")</f>
        <v/>
      </c>
      <c r="C54" s="32" t="str">
        <f t="shared" si="11"/>
        <v/>
      </c>
      <c r="D54" s="34" t="str">
        <f>IFERROR(INDEX(PRENOTAZIONI!$E:$E,SMALL(PRENOTAZIONI!$U:$U,51)),"")</f>
        <v/>
      </c>
      <c r="E54" s="34" t="str">
        <f>IFERROR(INDEX(PRENOTAZIONI!$F:$F,SMALL(PRENOTAZIONI!$U:$U,51)),"")</f>
        <v/>
      </c>
      <c r="F54" s="34" t="str">
        <f>IFERROR(INDEX(PRENOTAZIONI!$G:$G,SMALL(PRENOTAZIONI!$U:$U,51)),"")</f>
        <v/>
      </c>
      <c r="G54" s="35" t="str">
        <f>IFERROR(INDEX(PRENOTAZIONI!$H:$H,SMALL(PRENOTAZIONI!$U:$U,51)),"")</f>
        <v/>
      </c>
      <c r="H54" s="35" t="str">
        <f t="shared" si="12"/>
        <v/>
      </c>
      <c r="I54" s="35" t="str">
        <f t="shared" si="17"/>
        <v/>
      </c>
      <c r="J54" s="149" t="str">
        <f t="shared" si="13"/>
        <v/>
      </c>
      <c r="K54" s="34" t="str">
        <f>IFERROR(INDEX(PRENOTAZIONI!$K:$K,SMALL(PRENOTAZIONI!$U:$U,51)),"")</f>
        <v/>
      </c>
      <c r="L54" s="35" t="str">
        <f>IFERROR(INDEX(PRENOTAZIONI!$L:$L,SMALL(PRENOTAZIONI!$U:$U,51)),"")</f>
        <v/>
      </c>
      <c r="M54" s="150" t="str">
        <f t="shared" si="14"/>
        <v/>
      </c>
      <c r="N54" s="35" t="str">
        <f t="shared" si="15"/>
        <v/>
      </c>
      <c r="O54" s="35"/>
      <c r="P54" s="43"/>
      <c r="Q54" s="150" t="str">
        <f t="shared" si="16"/>
        <v/>
      </c>
      <c r="R54" s="47" t="str">
        <f>IFERROR(INDEX(PRENOTAZIONI!$R:$R,SMALL(PRENOTAZIONI!$U:$U,51)),"")</f>
        <v/>
      </c>
      <c r="S54" s="78"/>
    </row>
    <row r="55" spans="1:19" ht="22" customHeight="1" x14ac:dyDescent="0.25">
      <c r="A55" s="31" t="str">
        <f>IFERROR(INDEX(PRENOTAZIONI!$A:$A,SMALL(PRENOTAZIONI!$U:$U,52)),"")</f>
        <v/>
      </c>
      <c r="B55" s="31" t="str">
        <f>IFERROR(INDEX(PRENOTAZIONI!$B:$B,SMALL(PRENOTAZIONI!$U:$U,52)),"")</f>
        <v/>
      </c>
      <c r="C55" s="32" t="str">
        <f t="shared" si="11"/>
        <v/>
      </c>
      <c r="D55" s="34" t="str">
        <f>IFERROR(INDEX(PRENOTAZIONI!$E:$E,SMALL(PRENOTAZIONI!$U:$U,52)),"")</f>
        <v/>
      </c>
      <c r="E55" s="34" t="str">
        <f>IFERROR(INDEX(PRENOTAZIONI!$F:$F,SMALL(PRENOTAZIONI!$U:$U,52)),"")</f>
        <v/>
      </c>
      <c r="F55" s="34" t="str">
        <f>IFERROR(INDEX(PRENOTAZIONI!$G:$G,SMALL(PRENOTAZIONI!$U:$U,52)),"")</f>
        <v/>
      </c>
      <c r="G55" s="35" t="str">
        <f>IFERROR(INDEX(PRENOTAZIONI!$H:$H,SMALL(PRENOTAZIONI!$U:$U,52)),"")</f>
        <v/>
      </c>
      <c r="H55" s="35" t="str">
        <f t="shared" si="12"/>
        <v/>
      </c>
      <c r="I55" s="35" t="str">
        <f t="shared" si="17"/>
        <v/>
      </c>
      <c r="J55" s="149" t="str">
        <f t="shared" si="13"/>
        <v/>
      </c>
      <c r="K55" s="34" t="str">
        <f>IFERROR(INDEX(PRENOTAZIONI!$K:$K,SMALL(PRENOTAZIONI!$U:$U,52)),"")</f>
        <v/>
      </c>
      <c r="L55" s="35" t="str">
        <f>IFERROR(INDEX(PRENOTAZIONI!$L:$L,SMALL(PRENOTAZIONI!$U:$U,52)),"")</f>
        <v/>
      </c>
      <c r="M55" s="150" t="str">
        <f t="shared" si="14"/>
        <v/>
      </c>
      <c r="N55" s="35" t="str">
        <f t="shared" si="15"/>
        <v/>
      </c>
      <c r="O55" s="35"/>
      <c r="P55" s="43"/>
      <c r="Q55" s="150" t="str">
        <f t="shared" si="16"/>
        <v/>
      </c>
      <c r="R55" s="47" t="str">
        <f>IFERROR(INDEX(PRENOTAZIONI!$R:$R,SMALL(PRENOTAZIONI!$U:$U,52)),"")</f>
        <v/>
      </c>
      <c r="S55" s="78"/>
    </row>
    <row r="56" spans="1:19" ht="22" customHeight="1" x14ac:dyDescent="0.25">
      <c r="A56" s="31" t="str">
        <f>IFERROR(INDEX(PRENOTAZIONI!$A:$A,SMALL(PRENOTAZIONI!$U:$U,53)),"")</f>
        <v/>
      </c>
      <c r="B56" s="31" t="str">
        <f>IFERROR(INDEX(PRENOTAZIONI!$B:$B,SMALL(PRENOTAZIONI!$U:$U,53)),"")</f>
        <v/>
      </c>
      <c r="C56" s="32" t="str">
        <f t="shared" si="11"/>
        <v/>
      </c>
      <c r="D56" s="34" t="str">
        <f>IFERROR(INDEX(PRENOTAZIONI!$E:$E,SMALL(PRENOTAZIONI!$U:$U,53)),"")</f>
        <v/>
      </c>
      <c r="E56" s="34" t="str">
        <f>IFERROR(INDEX(PRENOTAZIONI!$F:$F,SMALL(PRENOTAZIONI!$U:$U,53)),"")</f>
        <v/>
      </c>
      <c r="F56" s="34" t="str">
        <f>IFERROR(INDEX(PRENOTAZIONI!$G:$G,SMALL(PRENOTAZIONI!$U:$U,53)),"")</f>
        <v/>
      </c>
      <c r="G56" s="35" t="str">
        <f>IFERROR(INDEX(PRENOTAZIONI!$H:$H,SMALL(PRENOTAZIONI!$U:$U,53)),"")</f>
        <v/>
      </c>
      <c r="H56" s="35" t="str">
        <f t="shared" si="12"/>
        <v/>
      </c>
      <c r="I56" s="35" t="str">
        <f t="shared" si="17"/>
        <v/>
      </c>
      <c r="J56" s="149" t="str">
        <f t="shared" si="13"/>
        <v/>
      </c>
      <c r="K56" s="34" t="str">
        <f>IFERROR(INDEX(PRENOTAZIONI!$K:$K,SMALL(PRENOTAZIONI!$U:$U,53)),"")</f>
        <v/>
      </c>
      <c r="L56" s="35" t="str">
        <f>IFERROR(INDEX(PRENOTAZIONI!$L:$L,SMALL(PRENOTAZIONI!$U:$U,53)),"")</f>
        <v/>
      </c>
      <c r="M56" s="150" t="str">
        <f t="shared" si="14"/>
        <v/>
      </c>
      <c r="N56" s="35" t="str">
        <f t="shared" si="15"/>
        <v/>
      </c>
      <c r="O56" s="35"/>
      <c r="P56" s="43"/>
      <c r="Q56" s="150" t="str">
        <f t="shared" si="16"/>
        <v/>
      </c>
      <c r="R56" s="47" t="str">
        <f>IFERROR(INDEX(PRENOTAZIONI!$R:$R,SMALL(PRENOTAZIONI!$U:$U,53)),"")</f>
        <v/>
      </c>
      <c r="S56" s="78"/>
    </row>
    <row r="57" spans="1:19" ht="22" customHeight="1" x14ac:dyDescent="0.25">
      <c r="A57" s="31" t="str">
        <f>IFERROR(INDEX(PRENOTAZIONI!$A:$A,SMALL(PRENOTAZIONI!$U:$U,54)),"")</f>
        <v/>
      </c>
      <c r="B57" s="31" t="str">
        <f>IFERROR(INDEX(PRENOTAZIONI!$B:$B,SMALL(PRENOTAZIONI!$U:$U,54)),"")</f>
        <v/>
      </c>
      <c r="C57" s="32" t="str">
        <f t="shared" si="11"/>
        <v/>
      </c>
      <c r="D57" s="34" t="str">
        <f>IFERROR(INDEX(PRENOTAZIONI!$E:$E,SMALL(PRENOTAZIONI!$U:$U,54)),"")</f>
        <v/>
      </c>
      <c r="E57" s="34" t="str">
        <f>IFERROR(INDEX(PRENOTAZIONI!$F:$F,SMALL(PRENOTAZIONI!$U:$U,54)),"")</f>
        <v/>
      </c>
      <c r="F57" s="34" t="str">
        <f>IFERROR(INDEX(PRENOTAZIONI!$G:$G,SMALL(PRENOTAZIONI!$U:$U,54)),"")</f>
        <v/>
      </c>
      <c r="G57" s="35" t="str">
        <f>IFERROR(INDEX(PRENOTAZIONI!$H:$H,SMALL(PRENOTAZIONI!$U:$U,54)),"")</f>
        <v/>
      </c>
      <c r="H57" s="35" t="str">
        <f t="shared" si="12"/>
        <v/>
      </c>
      <c r="I57" s="35" t="str">
        <f t="shared" si="17"/>
        <v/>
      </c>
      <c r="J57" s="149" t="str">
        <f t="shared" si="13"/>
        <v/>
      </c>
      <c r="K57" s="34" t="str">
        <f>IFERROR(INDEX(PRENOTAZIONI!$K:$K,SMALL(PRENOTAZIONI!$U:$U,54)),"")</f>
        <v/>
      </c>
      <c r="L57" s="35" t="str">
        <f>IFERROR(INDEX(PRENOTAZIONI!$L:$L,SMALL(PRENOTAZIONI!$U:$U,54)),"")</f>
        <v/>
      </c>
      <c r="M57" s="150" t="str">
        <f t="shared" si="14"/>
        <v/>
      </c>
      <c r="N57" s="35" t="str">
        <f t="shared" si="15"/>
        <v/>
      </c>
      <c r="O57" s="35"/>
      <c r="P57" s="43"/>
      <c r="Q57" s="150" t="str">
        <f t="shared" si="16"/>
        <v/>
      </c>
      <c r="R57" s="47" t="str">
        <f>IFERROR(INDEX(PRENOTAZIONI!$R:$R,SMALL(PRENOTAZIONI!$U:$U,54)),"")</f>
        <v/>
      </c>
      <c r="S57" s="78"/>
    </row>
    <row r="58" spans="1:19" ht="22" customHeight="1" x14ac:dyDescent="0.25">
      <c r="A58" s="31" t="str">
        <f>IFERROR(INDEX(PRENOTAZIONI!$A:$A,SMALL(PRENOTAZIONI!$U:$U,55)),"")</f>
        <v/>
      </c>
      <c r="B58" s="31" t="str">
        <f>IFERROR(INDEX(PRENOTAZIONI!$B:$B,SMALL(PRENOTAZIONI!$U:$U,55)),"")</f>
        <v/>
      </c>
      <c r="C58" s="32" t="str">
        <f t="shared" si="11"/>
        <v/>
      </c>
      <c r="D58" s="34" t="str">
        <f>IFERROR(INDEX(PRENOTAZIONI!$E:$E,SMALL(PRENOTAZIONI!$U:$U,55)),"")</f>
        <v/>
      </c>
      <c r="E58" s="34" t="str">
        <f>IFERROR(INDEX(PRENOTAZIONI!$F:$F,SMALL(PRENOTAZIONI!$U:$U,55)),"")</f>
        <v/>
      </c>
      <c r="F58" s="34" t="str">
        <f>IFERROR(INDEX(PRENOTAZIONI!$G:$G,SMALL(PRENOTAZIONI!$U:$U,55)),"")</f>
        <v/>
      </c>
      <c r="G58" s="35" t="str">
        <f>IFERROR(INDEX(PRENOTAZIONI!$H:$H,SMALL(PRENOTAZIONI!$U:$U,55)),"")</f>
        <v/>
      </c>
      <c r="H58" s="35" t="str">
        <f t="shared" si="12"/>
        <v/>
      </c>
      <c r="I58" s="35" t="str">
        <f t="shared" si="17"/>
        <v/>
      </c>
      <c r="J58" s="149" t="str">
        <f t="shared" si="13"/>
        <v/>
      </c>
      <c r="K58" s="34" t="str">
        <f>IFERROR(INDEX(PRENOTAZIONI!$K:$K,SMALL(PRENOTAZIONI!$U:$U,55)),"")</f>
        <v/>
      </c>
      <c r="L58" s="35" t="str">
        <f>IFERROR(INDEX(PRENOTAZIONI!$L:$L,SMALL(PRENOTAZIONI!$U:$U,55)),"")</f>
        <v/>
      </c>
      <c r="M58" s="150" t="str">
        <f t="shared" si="14"/>
        <v/>
      </c>
      <c r="N58" s="35" t="str">
        <f t="shared" si="15"/>
        <v/>
      </c>
      <c r="O58" s="35"/>
      <c r="P58" s="43"/>
      <c r="Q58" s="150" t="str">
        <f t="shared" si="16"/>
        <v/>
      </c>
      <c r="R58" s="47" t="str">
        <f>IFERROR(INDEX(PRENOTAZIONI!$R:$R,SMALL(PRENOTAZIONI!$U:$U,55)),"")</f>
        <v/>
      </c>
      <c r="S58" s="78"/>
    </row>
    <row r="59" spans="1:19" ht="22" customHeight="1" x14ac:dyDescent="0.25">
      <c r="A59" s="31" t="str">
        <f>IFERROR(INDEX(PRENOTAZIONI!$A:$A,SMALL(PRENOTAZIONI!$U:$U,56)),"")</f>
        <v/>
      </c>
      <c r="B59" s="31" t="str">
        <f>IFERROR(INDEX(PRENOTAZIONI!$B:$B,SMALL(PRENOTAZIONI!$U:$U,56)),"")</f>
        <v/>
      </c>
      <c r="C59" s="32" t="str">
        <f t="shared" si="11"/>
        <v/>
      </c>
      <c r="D59" s="34" t="str">
        <f>IFERROR(INDEX(PRENOTAZIONI!$E:$E,SMALL(PRENOTAZIONI!$U:$U,56)),"")</f>
        <v/>
      </c>
      <c r="E59" s="34" t="str">
        <f>IFERROR(INDEX(PRENOTAZIONI!$F:$F,SMALL(PRENOTAZIONI!$U:$U,56)),"")</f>
        <v/>
      </c>
      <c r="F59" s="34" t="str">
        <f>IFERROR(INDEX(PRENOTAZIONI!$G:$G,SMALL(PRENOTAZIONI!$U:$U,56)),"")</f>
        <v/>
      </c>
      <c r="G59" s="35" t="str">
        <f>IFERROR(INDEX(PRENOTAZIONI!$H:$H,SMALL(PRENOTAZIONI!$U:$U,56)),"")</f>
        <v/>
      </c>
      <c r="H59" s="35" t="str">
        <f t="shared" si="12"/>
        <v/>
      </c>
      <c r="I59" s="35" t="str">
        <f t="shared" si="17"/>
        <v/>
      </c>
      <c r="J59" s="149" t="str">
        <f t="shared" si="13"/>
        <v/>
      </c>
      <c r="K59" s="34" t="str">
        <f>IFERROR(INDEX(PRENOTAZIONI!$K:$K,SMALL(PRENOTAZIONI!$U:$U,56)),"")</f>
        <v/>
      </c>
      <c r="L59" s="35" t="str">
        <f>IFERROR(INDEX(PRENOTAZIONI!$L:$L,SMALL(PRENOTAZIONI!$U:$U,56)),"")</f>
        <v/>
      </c>
      <c r="M59" s="150" t="str">
        <f t="shared" si="14"/>
        <v/>
      </c>
      <c r="N59" s="35" t="str">
        <f t="shared" si="15"/>
        <v/>
      </c>
      <c r="O59" s="35"/>
      <c r="P59" s="35"/>
      <c r="Q59" s="150" t="str">
        <f t="shared" si="16"/>
        <v/>
      </c>
      <c r="R59" s="47" t="str">
        <f>IFERROR(INDEX(PRENOTAZIONI!$R:$R,SMALL(PRENOTAZIONI!$U:$U,56)),"")</f>
        <v/>
      </c>
      <c r="S59" s="78"/>
    </row>
    <row r="60" spans="1:19" ht="22" customHeight="1" x14ac:dyDescent="0.25">
      <c r="A60" s="31" t="str">
        <f>IFERROR(INDEX(PRENOTAZIONI!$A:$A,SMALL(PRENOTAZIONI!$U:$U,57)),"")</f>
        <v/>
      </c>
      <c r="B60" s="31" t="str">
        <f>IFERROR(INDEX(PRENOTAZIONI!$B:$B,SMALL(PRENOTAZIONI!$U:$U,57)),"")</f>
        <v/>
      </c>
      <c r="C60" s="32" t="str">
        <f t="shared" si="11"/>
        <v/>
      </c>
      <c r="D60" s="34" t="str">
        <f>IFERROR(INDEX(PRENOTAZIONI!$E:$E,SMALL(PRENOTAZIONI!$U:$U,57)),"")</f>
        <v/>
      </c>
      <c r="E60" s="34" t="str">
        <f>IFERROR(INDEX(PRENOTAZIONI!$F:$F,SMALL(PRENOTAZIONI!$U:$U,57)),"")</f>
        <v/>
      </c>
      <c r="F60" s="34" t="str">
        <f>IFERROR(INDEX(PRENOTAZIONI!$G:$G,SMALL(PRENOTAZIONI!$U:$U,57)),"")</f>
        <v/>
      </c>
      <c r="G60" s="35" t="str">
        <f>IFERROR(INDEX(PRENOTAZIONI!$H:$H,SMALL(PRENOTAZIONI!$U:$U,57)),"")</f>
        <v/>
      </c>
      <c r="H60" s="35" t="str">
        <f t="shared" si="12"/>
        <v/>
      </c>
      <c r="I60" s="35" t="str">
        <f t="shared" si="17"/>
        <v/>
      </c>
      <c r="J60" s="149" t="str">
        <f t="shared" si="13"/>
        <v/>
      </c>
      <c r="K60" s="34" t="str">
        <f>IFERROR(INDEX(PRENOTAZIONI!$K:$K,SMALL(PRENOTAZIONI!$U:$U,57)),"")</f>
        <v/>
      </c>
      <c r="L60" s="35" t="str">
        <f>IFERROR(INDEX(PRENOTAZIONI!$L:$L,SMALL(PRENOTAZIONI!$U:$U,57)),"")</f>
        <v/>
      </c>
      <c r="M60" s="150" t="str">
        <f t="shared" si="14"/>
        <v/>
      </c>
      <c r="N60" s="35" t="str">
        <f t="shared" si="15"/>
        <v/>
      </c>
      <c r="O60" s="35"/>
      <c r="P60" s="35"/>
      <c r="Q60" s="150" t="str">
        <f t="shared" si="16"/>
        <v/>
      </c>
      <c r="R60" s="47" t="str">
        <f>IFERROR(INDEX(PRENOTAZIONI!$R:$R,SMALL(PRENOTAZIONI!$U:$U,57)),"")</f>
        <v/>
      </c>
      <c r="S60" s="78"/>
    </row>
    <row r="61" spans="1:19" ht="22" customHeight="1" x14ac:dyDescent="0.25">
      <c r="A61" s="31" t="str">
        <f>IFERROR(INDEX(PRENOTAZIONI!$A:$A,SMALL(PRENOTAZIONI!$U:$U,58)),"")</f>
        <v/>
      </c>
      <c r="B61" s="31" t="str">
        <f>IFERROR(INDEX(PRENOTAZIONI!$B:$B,SMALL(PRENOTAZIONI!$U:$U,58)),"")</f>
        <v/>
      </c>
      <c r="C61" s="32" t="str">
        <f t="shared" si="11"/>
        <v/>
      </c>
      <c r="D61" s="34" t="str">
        <f>IFERROR(INDEX(PRENOTAZIONI!$E:$E,SMALL(PRENOTAZIONI!$U:$U,58)),"")</f>
        <v/>
      </c>
      <c r="E61" s="34" t="str">
        <f>IFERROR(INDEX(PRENOTAZIONI!$F:$F,SMALL(PRENOTAZIONI!$U:$U,58)),"")</f>
        <v/>
      </c>
      <c r="F61" s="34" t="str">
        <f>IFERROR(INDEX(PRENOTAZIONI!$G:$G,SMALL(PRENOTAZIONI!$U:$U,58)),"")</f>
        <v/>
      </c>
      <c r="G61" s="35" t="str">
        <f>IFERROR(INDEX(PRENOTAZIONI!$H:$H,SMALL(PRENOTAZIONI!$U:$U,58)),"")</f>
        <v/>
      </c>
      <c r="H61" s="35" t="str">
        <f t="shared" si="12"/>
        <v/>
      </c>
      <c r="I61" s="35" t="str">
        <f t="shared" si="17"/>
        <v/>
      </c>
      <c r="J61" s="149" t="str">
        <f t="shared" si="13"/>
        <v/>
      </c>
      <c r="K61" s="34" t="str">
        <f>IFERROR(INDEX(PRENOTAZIONI!$K:$K,SMALL(PRENOTAZIONI!$U:$U,58)),"")</f>
        <v/>
      </c>
      <c r="L61" s="35" t="str">
        <f>IFERROR(INDEX(PRENOTAZIONI!$L:$L,SMALL(PRENOTAZIONI!$U:$U,58)),"")</f>
        <v/>
      </c>
      <c r="M61" s="150" t="str">
        <f t="shared" si="14"/>
        <v/>
      </c>
      <c r="N61" s="35" t="str">
        <f t="shared" si="15"/>
        <v/>
      </c>
      <c r="O61" s="35"/>
      <c r="P61" s="35"/>
      <c r="Q61" s="150" t="str">
        <f t="shared" si="16"/>
        <v/>
      </c>
      <c r="R61" s="47" t="str">
        <f>IFERROR(INDEX(PRENOTAZIONI!$R:$R,SMALL(PRENOTAZIONI!$U:$U,58)),"")</f>
        <v/>
      </c>
      <c r="S61" s="78"/>
    </row>
    <row r="62" spans="1:19" ht="22" customHeight="1" x14ac:dyDescent="0.25">
      <c r="A62" s="31" t="str">
        <f>IFERROR(INDEX(PRENOTAZIONI!$A:$A,SMALL(PRENOTAZIONI!$U:$U,59)),"")</f>
        <v/>
      </c>
      <c r="B62" s="31" t="str">
        <f>IFERROR(INDEX(PRENOTAZIONI!$B:$B,SMALL(PRENOTAZIONI!$U:$U,59)),"")</f>
        <v/>
      </c>
      <c r="C62" s="32" t="str">
        <f t="shared" si="11"/>
        <v/>
      </c>
      <c r="D62" s="34" t="str">
        <f>IFERROR(INDEX(PRENOTAZIONI!$E:$E,SMALL(PRENOTAZIONI!$U:$U,59)),"")</f>
        <v/>
      </c>
      <c r="E62" s="34" t="str">
        <f>IFERROR(INDEX(PRENOTAZIONI!$F:$F,SMALL(PRENOTAZIONI!$U:$U,59)),"")</f>
        <v/>
      </c>
      <c r="F62" s="34" t="str">
        <f>IFERROR(INDEX(PRENOTAZIONI!$G:$G,SMALL(PRENOTAZIONI!$U:$U,59)),"")</f>
        <v/>
      </c>
      <c r="G62" s="35" t="str">
        <f>IFERROR(INDEX(PRENOTAZIONI!$H:$H,SMALL(PRENOTAZIONI!$U:$U,59)),"")</f>
        <v/>
      </c>
      <c r="H62" s="35" t="str">
        <f t="shared" si="12"/>
        <v/>
      </c>
      <c r="I62" s="35" t="str">
        <f t="shared" si="17"/>
        <v/>
      </c>
      <c r="J62" s="149" t="str">
        <f t="shared" si="13"/>
        <v/>
      </c>
      <c r="K62" s="34" t="str">
        <f>IFERROR(INDEX(PRENOTAZIONI!$K:$K,SMALL(PRENOTAZIONI!$U:$U,59)),"")</f>
        <v/>
      </c>
      <c r="L62" s="35" t="str">
        <f>IFERROR(INDEX(PRENOTAZIONI!$L:$L,SMALL(PRENOTAZIONI!$U:$U,59)),"")</f>
        <v/>
      </c>
      <c r="M62" s="150" t="str">
        <f t="shared" si="14"/>
        <v/>
      </c>
      <c r="N62" s="35" t="str">
        <f t="shared" si="15"/>
        <v/>
      </c>
      <c r="O62" s="35"/>
      <c r="P62" s="35"/>
      <c r="Q62" s="150" t="str">
        <f t="shared" si="16"/>
        <v/>
      </c>
      <c r="R62" s="47" t="str">
        <f>IFERROR(INDEX(PRENOTAZIONI!$R:$R,SMALL(PRENOTAZIONI!$U:$U,59)),"")</f>
        <v/>
      </c>
      <c r="S62" s="78"/>
    </row>
    <row r="63" spans="1:19" ht="22" customHeight="1" x14ac:dyDescent="0.25">
      <c r="A63" s="31" t="str">
        <f>IFERROR(INDEX(PRENOTAZIONI!$A:$A,SMALL(PRENOTAZIONI!$U:$U,60)),"")</f>
        <v/>
      </c>
      <c r="B63" s="31" t="str">
        <f>IFERROR(INDEX(PRENOTAZIONI!$B:$B,SMALL(PRENOTAZIONI!$U:$U,60)),"")</f>
        <v/>
      </c>
      <c r="C63" s="32" t="str">
        <f t="shared" si="11"/>
        <v/>
      </c>
      <c r="D63" s="34" t="str">
        <f>IFERROR(INDEX(PRENOTAZIONI!$E:$E,SMALL(PRENOTAZIONI!$U:$U,60)),"")</f>
        <v/>
      </c>
      <c r="E63" s="34" t="str">
        <f>IFERROR(INDEX(PRENOTAZIONI!$F:$F,SMALL(PRENOTAZIONI!$U:$U,60)),"")</f>
        <v/>
      </c>
      <c r="F63" s="34" t="str">
        <f>IFERROR(INDEX(PRENOTAZIONI!$G:$G,SMALL(PRENOTAZIONI!$U:$U,60)),"")</f>
        <v/>
      </c>
      <c r="G63" s="35" t="str">
        <f>IFERROR(INDEX(PRENOTAZIONI!$H:$H,SMALL(PRENOTAZIONI!$U:$U,60)),"")</f>
        <v/>
      </c>
      <c r="H63" s="35" t="str">
        <f t="shared" si="12"/>
        <v/>
      </c>
      <c r="I63" s="35" t="str">
        <f t="shared" si="17"/>
        <v/>
      </c>
      <c r="J63" s="149" t="str">
        <f t="shared" si="13"/>
        <v/>
      </c>
      <c r="K63" s="34" t="str">
        <f>IFERROR(INDEX(PRENOTAZIONI!$K:$K,SMALL(PRENOTAZIONI!$U:$U,60)),"")</f>
        <v/>
      </c>
      <c r="L63" s="35" t="str">
        <f>IFERROR(INDEX(PRENOTAZIONI!$L:$L,SMALL(PRENOTAZIONI!$U:$U,60)),"")</f>
        <v/>
      </c>
      <c r="M63" s="150" t="str">
        <f t="shared" si="14"/>
        <v/>
      </c>
      <c r="N63" s="35" t="str">
        <f t="shared" si="15"/>
        <v/>
      </c>
      <c r="O63" s="35"/>
      <c r="P63" s="35"/>
      <c r="Q63" s="150" t="str">
        <f t="shared" si="16"/>
        <v/>
      </c>
      <c r="R63" s="47" t="str">
        <f>IFERROR(INDEX(PRENOTAZIONI!$R:$R,SMALL(PRENOTAZIONI!$U:$U,60)),"")</f>
        <v/>
      </c>
      <c r="S63" s="78"/>
    </row>
    <row r="64" spans="1:19" ht="19" customHeight="1" x14ac:dyDescent="0.25">
      <c r="S64" s="78"/>
    </row>
    <row r="65" spans="19:19" ht="19" customHeight="1" x14ac:dyDescent="0.25">
      <c r="S65" s="78"/>
    </row>
  </sheetData>
  <mergeCells count="1">
    <mergeCell ref="A1:C1"/>
  </mergeCells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38135"/>
    <pageSetUpPr fitToPage="1"/>
  </sheetPr>
  <dimension ref="A1:BH65"/>
  <sheetViews>
    <sheetView zoomScale="130" zoomScaleNormal="130" workbookViewId="0">
      <pane ySplit="3" topLeftCell="A4" activePane="bottomLeft" state="frozen"/>
      <selection pane="bottomLeft" activeCell="R15" sqref="R15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5.33203125" bestFit="1" customWidth="1"/>
    <col min="5" max="5" width="13.6640625" bestFit="1" customWidth="1"/>
    <col min="6" max="6" width="12.83203125" bestFit="1" customWidth="1"/>
    <col min="7" max="7" width="12.6640625" bestFit="1" customWidth="1"/>
    <col min="8" max="8" width="11" customWidth="1"/>
    <col min="9" max="9" width="17" bestFit="1" customWidth="1"/>
    <col min="10" max="10" width="10" customWidth="1"/>
    <col min="11" max="11" width="14.6640625" bestFit="1" customWidth="1"/>
    <col min="12" max="12" width="14.1640625" bestFit="1" customWidth="1"/>
    <col min="13" max="14" width="10" customWidth="1"/>
    <col min="15" max="15" width="20" customWidth="1"/>
    <col min="16" max="16" width="41.6640625" bestFit="1" customWidth="1"/>
    <col min="17" max="17" width="18" style="93" customWidth="1"/>
    <col min="18" max="18" width="43.33203125" style="103" bestFit="1" customWidth="1"/>
    <col min="19" max="19" width="61.83203125" style="93" bestFit="1" customWidth="1"/>
    <col min="20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3" width="20" customWidth="1"/>
    <col min="34" max="34" width="10.33203125" customWidth="1"/>
    <col min="35" max="35" width="13" customWidth="1"/>
    <col min="36" max="36" width="12.83203125" customWidth="1"/>
    <col min="37" max="37" width="12.33203125" customWidth="1"/>
    <col min="38" max="38" width="12" customWidth="1"/>
    <col min="39" max="41" width="11" customWidth="1"/>
    <col min="42" max="42" width="14.5" bestFit="1" customWidth="1"/>
  </cols>
  <sheetData>
    <row r="1" spans="1:60" ht="28" customHeight="1" thickBot="1" x14ac:dyDescent="0.3">
      <c r="A1" s="1" t="s">
        <v>276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92"/>
      <c r="T1" s="78"/>
      <c r="AF1" s="38"/>
      <c r="AG1" s="110" t="s">
        <v>277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04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5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100"/>
      <c r="T3" s="98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18" x14ac:dyDescent="0.2">
      <c r="A4" s="174">
        <f>IFERROR(INDEX(PRENOTAZIONI!$A:$A,SMALL(PRENOTAZIONI!$Z:$Z,1)),"")</f>
        <v>46115</v>
      </c>
      <c r="B4" s="175">
        <f>IFERROR(INDEX(PRENOTAZIONI!$B:$B,SMALL(PRENOTAZIONI!$Z:$Z,1)),"")</f>
        <v>46118</v>
      </c>
      <c r="C4" s="176">
        <f t="shared" ref="C4:C35" si="0">IF(A4&lt;&gt;"",B4-A4,"")</f>
        <v>3</v>
      </c>
      <c r="D4" s="177" t="str">
        <f>IFERROR(INDEX(PRENOTAZIONI!$E:$E,SMALL(PRENOTAZIONI!$Z:$Z,1)),"")</f>
        <v>Alessandro / Guido Peroni</v>
      </c>
      <c r="E4" s="177" t="str">
        <f>IFERROR(INDEX(PRENOTAZIONI!$F:$F,SMALL(PRENOTAZIONI!$Z:$Z,1)),"")</f>
        <v>2 ad</v>
      </c>
      <c r="F4" s="177" t="str">
        <f>IFERROR(INDEX(PRENOTAZIONI!$G:$G,SMALL(PRENOTAZIONI!$Z:$Z,1)),"")</f>
        <v>booking.com</v>
      </c>
      <c r="G4" s="178">
        <f>IFERROR(INDEX(PRENOTAZIONI!$H:$H,SMALL(PRENOTAZIONI!$Z:$Z,1)),"")</f>
        <v>210.71</v>
      </c>
      <c r="H4" s="215">
        <f t="shared" ref="H4:H35" si="1">IF(AND(G4&lt;&gt;"",C4&lt;&gt;"",C4&lt;&gt;0),G4/C4,"")</f>
        <v>70.236666666666665</v>
      </c>
      <c r="I4" s="178">
        <f t="shared" ref="I4:I35" si="2">IF(G4="","",IF(NOT(ISERROR(SEARCH("diretta",F4))),0,IF(NOT(ISERROR(SEARCH("booking",F4))),G4*0.15,IF(NOT(ISERROR(SEARCH("airbnb",F4))),G4*0.155,""))))</f>
        <v>31.6065</v>
      </c>
      <c r="J4" s="161">
        <f t="shared" ref="J4:J28" si="3">IF(I4&lt;&gt;"",I4*0.22,"")</f>
        <v>6.95343</v>
      </c>
      <c r="K4" s="177" t="str">
        <f>IFERROR(INDEX(PRENOTAZIONI!$K:$K,SMALL(PRENOTAZIONI!$Z:$Z,1)),"")</f>
        <v>contanti</v>
      </c>
      <c r="L4" s="178">
        <f>IFERROR(INDEX(PRENOTAZIONI!$L:$L,SMALL(PRENOTAZIONI!$Z:$Z,1)),"")</f>
        <v>6</v>
      </c>
      <c r="M4" s="180">
        <f t="shared" ref="M4:M35" si="4">IF(G4&lt;&gt;"",G4*0.21,"")</f>
        <v>44.249099999999999</v>
      </c>
      <c r="N4" s="178">
        <f t="shared" ref="N4:N35" si="5">IF(G4&lt;&gt;"",G4*0.25,"")</f>
        <v>52.677500000000002</v>
      </c>
      <c r="O4" s="178">
        <v>0</v>
      </c>
      <c r="P4" s="181"/>
      <c r="Q4" s="180">
        <f t="shared" ref="Q4:Q35" si="6">IF(G4&lt;&gt;"",G4-I4-J4-M4-N4-O4,"")</f>
        <v>75.223469999999992</v>
      </c>
      <c r="R4" s="216">
        <f>IFERROR(INDEX(PRENOTAZIONI!$R:$R,SMALL(PRENOTAZIONI!$Z:$Z,1)),"")</f>
        <v>0</v>
      </c>
      <c r="S4" s="217" t="s">
        <v>332</v>
      </c>
      <c r="T4" s="99" t="str">
        <f>IFERROR(INDEX(PRENOTAZIONI!$A:$A,SMALL(PRENOTAZIONI!$AN:$AN,1)),"")</f>
        <v/>
      </c>
      <c r="U4" s="31" t="str">
        <f>IFERROR(INDEX(PRENOTAZIONI!$B:$B,SMALL(PRENOTAZIONI!$AN:$AN,1)),"")</f>
        <v/>
      </c>
      <c r="V4" s="32" t="str">
        <f t="shared" ref="V4:V33" si="7">IF(T4&lt;&gt;"",U4-T4,"")</f>
        <v/>
      </c>
      <c r="W4" s="34" t="str">
        <f>IFERROR(INDEX(PRENOTAZIONI!$E:$E,SMALL(PRENOTAZIONI!$AN:$AN,1)),"")</f>
        <v/>
      </c>
      <c r="X4" s="34" t="str">
        <f>IFERROR(INDEX(PRENOTAZIONI!$F:$F,SMALL(PRENOTAZIONI!$AN:$AN,1)),"")</f>
        <v/>
      </c>
      <c r="Y4" s="35" t="str">
        <f>IFERROR(INDEX(PRENOTAZIONI!$H:$H,SMALL(PRENOTAZIONI!$AN:$AN,1)),"")</f>
        <v/>
      </c>
      <c r="Z4" s="34" t="str">
        <f>IFERROR(INDEX(PRENOTAZIONI!$K:$K,SMALL(PRENOTAZIONI!$AN:$AN,1)),"")</f>
        <v/>
      </c>
      <c r="AA4" s="34"/>
      <c r="AB4" s="34"/>
      <c r="AC4" s="40" t="str">
        <f t="shared" ref="AC4:AC33" si="8">IF(X4&lt;&gt;"",X4*0.25,"")</f>
        <v/>
      </c>
      <c r="AD4" s="41" t="str">
        <f t="shared" ref="AD4:AD33" si="9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SUMPRODUCT((MONTH(PRENOTAZIONI!$A$3:$A$262)=1)*(YEAR(PRENOTAZIONI!$A$3:$A$262)=2026)*(PRENOTAZIONI!$D$3:$D$262="Agantonio"))</f>
        <v>0</v>
      </c>
      <c r="AI4" s="114">
        <f>SUMPRODUCT((PRENOTAZIONI!$A$3:$A$262&lt;DATE(2026,2,1))*(PRENOTAZIONI!$B$3:$B$262&gt;DATE(2026,1,1))*(YEAR(PRENOTAZIONI!$A$3:$A$262)=2026)*(PRENOTAZIONI!$D$3:$D$262="Agantonio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thickBot="1" x14ac:dyDescent="0.25">
      <c r="A5" s="191">
        <f>IFERROR(INDEX(PRENOTAZIONI!$A:$A,SMALL(PRENOTAZIONI!$Z:$Z,2)),"")</f>
        <v>46142</v>
      </c>
      <c r="B5" s="192">
        <f>IFERROR(INDEX(PRENOTAZIONI!$B:$B,SMALL(PRENOTAZIONI!$Z:$Z,2)),"")</f>
        <v>46145</v>
      </c>
      <c r="C5" s="193">
        <f t="shared" si="0"/>
        <v>3</v>
      </c>
      <c r="D5" s="194" t="str">
        <f>IFERROR(INDEX(PRENOTAZIONI!$E:$E,SMALL(PRENOTAZIONI!$Z:$Z,2)),"")</f>
        <v>Martina Pieri</v>
      </c>
      <c r="E5" s="194" t="str">
        <f>IFERROR(INDEX(PRENOTAZIONI!$F:$F,SMALL(PRENOTAZIONI!$Z:$Z,2)),"")</f>
        <v>1 ad 2 b</v>
      </c>
      <c r="F5" s="194" t="str">
        <f>IFERROR(INDEX(PRENOTAZIONI!$G:$G,SMALL(PRENOTAZIONI!$Z:$Z,2)),"")</f>
        <v>booking.com</v>
      </c>
      <c r="G5" s="195">
        <f>IFERROR(INDEX(PRENOTAZIONI!$H:$H,SMALL(PRENOTAZIONI!$Z:$Z,2)),"")</f>
        <v>218</v>
      </c>
      <c r="H5" s="218">
        <f t="shared" si="1"/>
        <v>72.666666666666671</v>
      </c>
      <c r="I5" s="195">
        <f t="shared" si="2"/>
        <v>32.699999999999996</v>
      </c>
      <c r="J5" s="196">
        <f t="shared" si="3"/>
        <v>7.1939999999999991</v>
      </c>
      <c r="K5" s="194" t="str">
        <f>IFERROR(INDEX(PRENOTAZIONI!$K:$K,SMALL(PRENOTAZIONI!$Z:$Z,2)),"")</f>
        <v>MASTER</v>
      </c>
      <c r="L5" s="195">
        <f>IFERROR(INDEX(PRENOTAZIONI!$L:$L,SMALL(PRENOTAZIONI!$Z:$Z,2)),"")</f>
        <v>3</v>
      </c>
      <c r="M5" s="197">
        <f t="shared" si="4"/>
        <v>45.78</v>
      </c>
      <c r="N5" s="195">
        <f t="shared" si="5"/>
        <v>54.5</v>
      </c>
      <c r="O5" s="195">
        <v>0</v>
      </c>
      <c r="P5" s="198"/>
      <c r="Q5" s="197">
        <f t="shared" si="6"/>
        <v>77.826000000000022</v>
      </c>
      <c r="R5" s="219">
        <f>IFERROR(INDEX(PRENOTAZIONI!$R:$R,SMALL(PRENOTAZIONI!$Z:$Z,2)),"")</f>
        <v>0</v>
      </c>
      <c r="S5" s="220"/>
      <c r="T5" s="99" t="str">
        <f>IFERROR(INDEX(PRENOTAZIONI!$A:$A,SMALL(PRENOTAZIONI!$AN:$AN,2)),"")</f>
        <v/>
      </c>
      <c r="U5" s="31" t="str">
        <f>IFERROR(INDEX(PRENOTAZIONI!$B:$B,SMALL(PRENOTAZIONI!$AN:$AN,2)),"")</f>
        <v/>
      </c>
      <c r="V5" s="32" t="str">
        <f t="shared" si="7"/>
        <v/>
      </c>
      <c r="W5" s="34" t="str">
        <f>IFERROR(INDEX(PRENOTAZIONI!$E:$E,SMALL(PRENOTAZIONI!$AN:$AN,2)),"")</f>
        <v/>
      </c>
      <c r="X5" s="34" t="str">
        <f>IFERROR(INDEX(PRENOTAZIONI!$F:$F,SMALL(PRENOTAZIONI!$AN:$AN,2)),"")</f>
        <v/>
      </c>
      <c r="Y5" s="35" t="str">
        <f>IFERROR(INDEX(PRENOTAZIONI!$H:$H,SMALL(PRENOTAZIONI!$AN:$AN,2)),"")</f>
        <v/>
      </c>
      <c r="Z5" s="34" t="str">
        <f>IFERROR(INDEX(PRENOTAZIONI!$K:$K,SMALL(PRENOTAZIONI!$AN:$AN,2)),"")</f>
        <v/>
      </c>
      <c r="AA5" s="34"/>
      <c r="AB5" s="34"/>
      <c r="AC5" s="40" t="str">
        <f t="shared" si="8"/>
        <v/>
      </c>
      <c r="AD5" s="41" t="str">
        <f t="shared" si="9"/>
        <v/>
      </c>
      <c r="AF5" s="38"/>
      <c r="AG5" s="113" t="s">
        <v>182</v>
      </c>
      <c r="AH5" s="114">
        <f>SUMPRODUCT((MONTH(PRENOTAZIONI!$A$3:$A$262)=2)*(YEAR(PRENOTAZIONI!$A$3:$A$262)=2026)*(PRENOTAZIONI!$D$3:$D$262="Agantonio"))</f>
        <v>0</v>
      </c>
      <c r="AI5" s="114">
        <f>SUMPRODUCT((PRENOTAZIONI!$A$3:$A$262&lt;DATE(2026,3,1))*(PRENOTAZIONI!$B$3:$B$262&gt;DATE(2026,2,1))*(YEAR(PRENOTAZIONI!$A$3:$A$262)=2026)*(PRENOTAZIONI!$D$3:$D$262="Agantonio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174">
        <f>IFERROR(INDEX(PRENOTAZIONI!$A:$A,SMALL(PRENOTAZIONI!$Z:$Z,3)),"")</f>
        <v>46162</v>
      </c>
      <c r="B6" s="175">
        <f>IFERROR(INDEX(PRENOTAZIONI!$B:$B,SMALL(PRENOTAZIONI!$Z:$Z,3)),"")</f>
        <v>46165</v>
      </c>
      <c r="C6" s="176">
        <f t="shared" si="0"/>
        <v>3</v>
      </c>
      <c r="D6" s="177" t="str">
        <f>IFERROR(INDEX(PRENOTAZIONI!$E:$E,SMALL(PRENOTAZIONI!$Z:$Z,3)),"")</f>
        <v>Enrico Minante</v>
      </c>
      <c r="E6" s="177" t="str">
        <f>IFERROR(INDEX(PRENOTAZIONI!$F:$F,SMALL(PRENOTAZIONI!$Z:$Z,3)),"")</f>
        <v>1 ad</v>
      </c>
      <c r="F6" s="177" t="str">
        <f>IFERROR(INDEX(PRENOTAZIONI!$G:$G,SMALL(PRENOTAZIONI!$Z:$Z,3)),"")</f>
        <v>booking.com</v>
      </c>
      <c r="G6" s="178">
        <f>IFERROR(INDEX(PRENOTAZIONI!$H:$H,SMALL(PRENOTAZIONI!$Z:$Z,3)),"")</f>
        <v>173.8</v>
      </c>
      <c r="H6" s="215">
        <f t="shared" si="1"/>
        <v>57.933333333333337</v>
      </c>
      <c r="I6" s="178">
        <v>29.55</v>
      </c>
      <c r="J6" s="179">
        <f t="shared" si="3"/>
        <v>6.5010000000000003</v>
      </c>
      <c r="K6" s="177" t="str">
        <f>IFERROR(INDEX(PRENOTAZIONI!$K:$K,SMALL(PRENOTAZIONI!$Z:$Z,3)),"")</f>
        <v>MASTER</v>
      </c>
      <c r="L6" s="178">
        <f>IFERROR(INDEX(PRENOTAZIONI!$L:$L,SMALL(PRENOTAZIONI!$Z:$Z,3)),"")</f>
        <v>3</v>
      </c>
      <c r="M6" s="180">
        <f t="shared" si="4"/>
        <v>36.497999999999998</v>
      </c>
      <c r="N6" s="178">
        <f t="shared" si="5"/>
        <v>43.45</v>
      </c>
      <c r="O6" s="178">
        <v>0</v>
      </c>
      <c r="P6" s="181"/>
      <c r="Q6" s="180">
        <f t="shared" si="6"/>
        <v>57.801000000000002</v>
      </c>
      <c r="R6" s="216">
        <f>IFERROR(INDEX(PRENOTAZIONI!$R:$R,SMALL(PRENOTAZIONI!$Z:$Z,3)),"")</f>
        <v>0</v>
      </c>
      <c r="S6" s="221" t="s">
        <v>335</v>
      </c>
      <c r="T6" s="99" t="str">
        <f>IFERROR(INDEX(PRENOTAZIONI!$A:$A,SMALL(PRENOTAZIONI!$AN:$AN,3)),"")</f>
        <v/>
      </c>
      <c r="U6" s="31" t="str">
        <f>IFERROR(INDEX(PRENOTAZIONI!$B:$B,SMALL(PRENOTAZIONI!$AN:$AN,3)),"")</f>
        <v/>
      </c>
      <c r="V6" s="32" t="str">
        <f t="shared" si="7"/>
        <v/>
      </c>
      <c r="W6" s="34" t="str">
        <f>IFERROR(INDEX(PRENOTAZIONI!$E:$E,SMALL(PRENOTAZIONI!$AN:$AN,3)),"")</f>
        <v/>
      </c>
      <c r="X6" s="34" t="str">
        <f>IFERROR(INDEX(PRENOTAZIONI!$F:$F,SMALL(PRENOTAZIONI!$AN:$AN,3)),"")</f>
        <v/>
      </c>
      <c r="Y6" s="35" t="str">
        <f>IFERROR(INDEX(PRENOTAZIONI!$H:$H,SMALL(PRENOTAZIONI!$AN:$AN,3)),"")</f>
        <v/>
      </c>
      <c r="Z6" s="34" t="str">
        <f>IFERROR(INDEX(PRENOTAZIONI!$K:$K,SMALL(PRENOTAZIONI!$AN:$AN,3)),"")</f>
        <v/>
      </c>
      <c r="AA6" s="34"/>
      <c r="AB6" s="34"/>
      <c r="AC6" s="40" t="str">
        <f t="shared" si="8"/>
        <v/>
      </c>
      <c r="AD6" s="41" t="str">
        <f t="shared" si="9"/>
        <v/>
      </c>
      <c r="AF6" s="38"/>
      <c r="AG6" s="113" t="s">
        <v>183</v>
      </c>
      <c r="AH6" s="114">
        <f>SUMPRODUCT((MONTH(PRENOTAZIONI!$A$3:$A$262)=3)*(YEAR(PRENOTAZIONI!$A$3:$A$262)=2026)*(PRENOTAZIONI!$D$3:$D$262="Agantonio"))</f>
        <v>0</v>
      </c>
      <c r="AI6" s="114">
        <f>SUMPRODUCT((PRENOTAZIONI!$A$3:$A$262&lt;DATE(2026,4,1))*(PRENOTAZIONI!$B$3:$B$262&gt;DATE(2026,3,1))*(YEAR(PRENOTAZIONI!$A$3:$A$262)=2026)*(PRENOTAZIONI!$D$3:$D$262="Agantonio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183">
        <f>IFERROR(INDEX(PRENOTAZIONI!$A:$A,SMALL(PRENOTAZIONI!$Z:$Z,4)),"")</f>
        <v>46172</v>
      </c>
      <c r="B7" s="184">
        <f>IFERROR(INDEX(PRENOTAZIONI!$B:$B,SMALL(PRENOTAZIONI!$Z:$Z,4)),"")</f>
        <v>46175</v>
      </c>
      <c r="C7" s="185">
        <f t="shared" si="0"/>
        <v>3</v>
      </c>
      <c r="D7" s="186" t="str">
        <f>IFERROR(INDEX(PRENOTAZIONI!$E:$E,SMALL(PRENOTAZIONI!$Z:$Z,4)),"")</f>
        <v>Colombara Fabio</v>
      </c>
      <c r="E7" s="186" t="str">
        <f>IFERROR(INDEX(PRENOTAZIONI!$F:$F,SMALL(PRENOTAZIONI!$Z:$Z,4)),"")</f>
        <v>2 ad</v>
      </c>
      <c r="F7" s="186" t="str">
        <f>IFERROR(INDEX(PRENOTAZIONI!$G:$G,SMALL(PRENOTAZIONI!$Z:$Z,4)),"")</f>
        <v>booking.com</v>
      </c>
      <c r="G7" s="147">
        <f>IFERROR(INDEX(PRENOTAZIONI!$H:$H,SMALL(PRENOTAZIONI!$Z:$Z,4)),"")</f>
        <v>300.52</v>
      </c>
      <c r="H7" s="223">
        <f t="shared" si="1"/>
        <v>100.17333333333333</v>
      </c>
      <c r="I7" s="147">
        <f>IF(G7="","",IF(NOT(ISERROR(SEARCH("diretta",F7))),0,IF(NOT(ISERROR(SEARCH("booking",F7))),G7*0.15,IF(NOT(ISERROR(SEARCH("airbnb",F7))),G7*0.155,""))))</f>
        <v>45.077999999999996</v>
      </c>
      <c r="J7" s="187">
        <f t="shared" si="3"/>
        <v>9.9171599999999991</v>
      </c>
      <c r="K7" s="186" t="str">
        <f>IFERROR(INDEX(PRENOTAZIONI!$K:$K,SMALL(PRENOTAZIONI!$Z:$Z,4)),"")</f>
        <v>contanti</v>
      </c>
      <c r="L7" s="147">
        <f>IFERROR(INDEX(PRENOTAZIONI!$L:$L,SMALL(PRENOTAZIONI!$Z:$Z,4)),"")</f>
        <v>6</v>
      </c>
      <c r="M7" s="188">
        <f t="shared" si="4"/>
        <v>63.109199999999994</v>
      </c>
      <c r="N7" s="147">
        <f t="shared" si="5"/>
        <v>75.13</v>
      </c>
      <c r="O7" s="147"/>
      <c r="P7" s="189"/>
      <c r="Q7" s="188">
        <f t="shared" si="6"/>
        <v>107.28564</v>
      </c>
      <c r="R7" s="47">
        <f>IFERROR(INDEX(PRENOTAZIONI!$R:$R,SMALL(PRENOTAZIONI!$Z:$Z,4)),"")</f>
        <v>0</v>
      </c>
      <c r="S7" s="226"/>
      <c r="T7" s="99" t="str">
        <f>IFERROR(INDEX(PRENOTAZIONI!$A:$A,SMALL(PRENOTAZIONI!$AN:$AN,4)),"")</f>
        <v/>
      </c>
      <c r="U7" s="31" t="str">
        <f>IFERROR(INDEX(PRENOTAZIONI!$B:$B,SMALL(PRENOTAZIONI!$AN:$AN,4)),"")</f>
        <v/>
      </c>
      <c r="V7" s="32" t="str">
        <f t="shared" si="7"/>
        <v/>
      </c>
      <c r="W7" s="34" t="str">
        <f>IFERROR(INDEX(PRENOTAZIONI!$E:$E,SMALL(PRENOTAZIONI!$AN:$AN,4)),"")</f>
        <v/>
      </c>
      <c r="X7" s="34" t="str">
        <f>IFERROR(INDEX(PRENOTAZIONI!$F:$F,SMALL(PRENOTAZIONI!$AN:$AN,4)),"")</f>
        <v/>
      </c>
      <c r="Y7" s="35" t="str">
        <f>IFERROR(INDEX(PRENOTAZIONI!$H:$H,SMALL(PRENOTAZIONI!$AN:$AN,4)),"")</f>
        <v/>
      </c>
      <c r="Z7" s="34" t="str">
        <f>IFERROR(INDEX(PRENOTAZIONI!$K:$K,SMALL(PRENOTAZIONI!$AN:$AN,4)),"")</f>
        <v/>
      </c>
      <c r="AA7" s="34"/>
      <c r="AB7" s="34"/>
      <c r="AC7" s="40" t="str">
        <f t="shared" si="8"/>
        <v/>
      </c>
      <c r="AD7" s="41" t="str">
        <f t="shared" si="9"/>
        <v/>
      </c>
      <c r="AF7" s="38"/>
      <c r="AG7" s="113" t="s">
        <v>184</v>
      </c>
      <c r="AH7" s="114">
        <f>SUMPRODUCT((MONTH(PRENOTAZIONI!$A$3:$A$262)=4)*(YEAR(PRENOTAZIONI!$A$3:$A$262)=2026)*(PRENOTAZIONI!$D$3:$D$262="Agantonio"))</f>
        <v>2</v>
      </c>
      <c r="AI7" s="114">
        <f>SUMPRODUCT((PRENOTAZIONI!$A$3:$A$262&lt;DATE(2026,5,1))*(PRENOTAZIONI!$B$3:$B$262&gt;DATE(2026,4,1))*(YEAR(PRENOTAZIONI!$A$3:$A$262)=2026)*(PRENOTAZIONI!$D$3:$D$262="Agantonio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4</v>
      </c>
      <c r="AJ7" s="151">
        <f>SUMIF(A4:A33,"&gt;="&amp;DATE(2026,4,1),G4:G33)-SUMIF(A4:A33,"&gt;="&amp;DATE(2026,5,1),G4:G33)</f>
        <v>428.70999999999913</v>
      </c>
      <c r="AK7" s="151">
        <f>SUMIF(A4:A33,"&gt;="&amp;DATE(2026,4,1),I4:I33)-SUMIF(A4:A33,"&gt;="&amp;DATE(2026,5,1),I4:I33)</f>
        <v>64.306500000000028</v>
      </c>
      <c r="AL7" s="151">
        <f>SUMIF(A4:A33,"&gt;="&amp;DATE(2026,4,1),L4:L33)-SUMIF(A4:A33,"&gt;="&amp;DATE(2026,5,1),L4:L33)</f>
        <v>9</v>
      </c>
      <c r="AM7" s="151">
        <f>SUMIF(A4:A33,"&gt;="&amp;DATE(2026,4,1),N4:N33)-SUMIF(A4:A33,"&gt;="&amp;DATE(2026,5,1),N4:N33)</f>
        <v>107.17749999999978</v>
      </c>
      <c r="AN7" s="152">
        <f>SUMIF(A4:A33,"&gt;="&amp;DATE(2026,4,1),M4:M33)-SUMIF(A4:A33,"&gt;="&amp;DATE(2026,5,1),M4:M33)</f>
        <v>90.029099999999971</v>
      </c>
      <c r="AO7" s="152">
        <f>SUMIF(A4:A33,"&gt;="&amp;DATE(2026,4,1),J4:J33)-SUMIF(A4:A33,"&gt;="&amp;DATE(2026,5,1),J4:J33)</f>
        <v>14.147429999999986</v>
      </c>
      <c r="AP7" s="153">
        <f>SUMIF(A4:A33,"&gt;="&amp;DATE(2026,4,1),Q4:Q33)-SUMIF(A4:A33,"&gt;="&amp;DATE(2026,5,1),Q4:Q33)</f>
        <v>153.04946999999993</v>
      </c>
    </row>
    <row r="8" spans="1:60" ht="20" customHeight="1" x14ac:dyDescent="0.2">
      <c r="A8" s="183">
        <f>IFERROR(INDEX(PRENOTAZIONI!$A:$A,SMALL(PRENOTAZIONI!$Z:$Z,5)),"")</f>
        <v>46186</v>
      </c>
      <c r="B8" s="184">
        <f>IFERROR(INDEX(PRENOTAZIONI!$B:$B,SMALL(PRENOTAZIONI!$Z:$Z,5)),"")</f>
        <v>46193</v>
      </c>
      <c r="C8" s="185">
        <f t="shared" si="0"/>
        <v>7</v>
      </c>
      <c r="D8" s="186" t="str">
        <f>IFERROR(INDEX(PRENOTAZIONI!$E:$E,SMALL(PRENOTAZIONI!$Z:$Z,5)),"")</f>
        <v>Orazio Di Nunzio</v>
      </c>
      <c r="E8" s="186" t="str">
        <f>IFERROR(INDEX(PRENOTAZIONI!$F:$F,SMALL(PRENOTAZIONI!$Z:$Z,5)),"")</f>
        <v>2 ad</v>
      </c>
      <c r="F8" s="186" t="str">
        <f>IFERROR(INDEX(PRENOTAZIONI!$G:$G,SMALL(PRENOTAZIONI!$Z:$Z,5)),"")</f>
        <v>booking.com</v>
      </c>
      <c r="G8" s="147">
        <f>IFERROR(INDEX(PRENOTAZIONI!$H:$H,SMALL(PRENOTAZIONI!$Z:$Z,5)),"")</f>
        <v>709.26</v>
      </c>
      <c r="H8" s="223">
        <f t="shared" si="1"/>
        <v>101.32285714285715</v>
      </c>
      <c r="I8" s="147">
        <f t="shared" si="2"/>
        <v>106.389</v>
      </c>
      <c r="J8" s="187">
        <f t="shared" si="3"/>
        <v>23.40558</v>
      </c>
      <c r="K8" s="186" t="str">
        <f>IFERROR(INDEX(PRENOTAZIONI!$K:$K,SMALL(PRENOTAZIONI!$Z:$Z,5)),"")</f>
        <v>MASTER</v>
      </c>
      <c r="L8" s="147">
        <f>IFERROR(INDEX(PRENOTAZIONI!$L:$L,SMALL(PRENOTAZIONI!$Z:$Z,5)),"")</f>
        <v>14</v>
      </c>
      <c r="M8" s="188">
        <f t="shared" si="4"/>
        <v>148.94459999999998</v>
      </c>
      <c r="N8" s="147">
        <f t="shared" si="5"/>
        <v>177.315</v>
      </c>
      <c r="O8" s="147"/>
      <c r="P8" s="189"/>
      <c r="Q8" s="188">
        <f t="shared" si="6"/>
        <v>253.20582000000002</v>
      </c>
      <c r="R8" s="47">
        <f>IFERROR(INDEX(PRENOTAZIONI!$R:$R,SMALL(PRENOTAZIONI!$Z:$Z,5)),"")</f>
        <v>0</v>
      </c>
      <c r="S8" s="226"/>
      <c r="T8" s="99" t="str">
        <f>IFERROR(INDEX(PRENOTAZIONI!$A:$A,SMALL(PRENOTAZIONI!$AN:$AN,5)),"")</f>
        <v/>
      </c>
      <c r="U8" s="31" t="str">
        <f>IFERROR(INDEX(PRENOTAZIONI!$B:$B,SMALL(PRENOTAZIONI!$AN:$AN,5)),"")</f>
        <v/>
      </c>
      <c r="V8" s="32" t="str">
        <f t="shared" si="7"/>
        <v/>
      </c>
      <c r="W8" s="34" t="str">
        <f>IFERROR(INDEX(PRENOTAZIONI!$E:$E,SMALL(PRENOTAZIONI!$AN:$AN,5)),"")</f>
        <v/>
      </c>
      <c r="X8" s="34" t="str">
        <f>IFERROR(INDEX(PRENOTAZIONI!$F:$F,SMALL(PRENOTAZIONI!$AN:$AN,5)),"")</f>
        <v/>
      </c>
      <c r="Y8" s="35" t="str">
        <f>IFERROR(INDEX(PRENOTAZIONI!$H:$H,SMALL(PRENOTAZIONI!$AN:$AN,5)),"")</f>
        <v/>
      </c>
      <c r="Z8" s="34" t="str">
        <f>IFERROR(INDEX(PRENOTAZIONI!$K:$K,SMALL(PRENOTAZIONI!$AN:$AN,5)),"")</f>
        <v/>
      </c>
      <c r="AA8" s="34"/>
      <c r="AB8" s="34"/>
      <c r="AC8" s="40" t="str">
        <f t="shared" si="8"/>
        <v/>
      </c>
      <c r="AD8" s="41" t="str">
        <f t="shared" si="9"/>
        <v/>
      </c>
      <c r="AF8" s="38"/>
      <c r="AG8" s="113" t="s">
        <v>185</v>
      </c>
      <c r="AH8" s="114">
        <f>SUMPRODUCT((MONTH(PRENOTAZIONI!$A$3:$A$262)=5)*(YEAR(PRENOTAZIONI!$A$3:$A$262)=2026)*(PRENOTAZIONI!$D$3:$D$262="Agantonio"))</f>
        <v>2</v>
      </c>
      <c r="AI8" s="114">
        <f>SUMPRODUCT((PRENOTAZIONI!$A$3:$A$262&lt;DATE(2026,6,1))*(PRENOTAZIONI!$B$3:$B$262&gt;DATE(2026,5,1))*(YEAR(PRENOTAZIONI!$A$3:$A$262)=2026)*(PRENOTAZIONI!$D$3:$D$262="Agantonio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7</v>
      </c>
      <c r="AJ8" s="151">
        <f>SUMIF(A4:A33,"&gt;="&amp;DATE(2026,5,1),G4:G33)-SUMIF(A4:A33,"&gt;="&amp;DATE(2026,6,1),G4:G33)</f>
        <v>474.31999999999971</v>
      </c>
      <c r="AK8" s="151">
        <f>SUMIF(A4:A33,"&gt;="&amp;DATE(2026,5,1),I4:I33)-SUMIF(A4:A33,"&gt;="&amp;DATE(2026,6,1),I4:I33)</f>
        <v>74.627999999999929</v>
      </c>
      <c r="AL8" s="151">
        <f>SUMIF(A4:A33,"&gt;="&amp;DATE(2026,5,1),L4:L33)-SUMIF(A4:A33,"&gt;="&amp;DATE(2026,6,1),L4:L33)</f>
        <v>9</v>
      </c>
      <c r="AM8" s="151">
        <f>SUMIF(A4:A33,"&gt;="&amp;DATE(2026,5,1),N4:N33)-SUMIF(A4:A33,"&gt;="&amp;DATE(2026,6,1),N4:N33)</f>
        <v>118.57999999999993</v>
      </c>
      <c r="AN8" s="152">
        <f>SUMIF(A4:A33,"&gt;="&amp;DATE(2026,5,1),M4:M33)-SUMIF(A4:A33,"&gt;="&amp;DATE(2026,6,1),M4:M33)</f>
        <v>99.607199999999921</v>
      </c>
      <c r="AO8" s="152">
        <f>SUMIF(A4:A33,"&gt;="&amp;DATE(2026,5,1),J4:J33)-SUMIF(A4:A33,"&gt;="&amp;DATE(2026,6,1),J4:J33)</f>
        <v>16.41816</v>
      </c>
      <c r="AP8" s="153">
        <f>SUMIF(A4:A33,"&gt;="&amp;DATE(2026,5,1),Q4:Q33)-SUMIF(A4:A33,"&gt;="&amp;DATE(2026,6,1),Q4:Q33)</f>
        <v>165.08663999999999</v>
      </c>
    </row>
    <row r="9" spans="1:60" ht="20" customHeight="1" thickBot="1" x14ac:dyDescent="0.25">
      <c r="A9" s="191">
        <f>IFERROR(INDEX(PRENOTAZIONI!$A:$A,SMALL(PRENOTAZIONI!$Z:$Z,6)),"")</f>
        <v>46197</v>
      </c>
      <c r="B9" s="192">
        <f>IFERROR(INDEX(PRENOTAZIONI!$B:$B,SMALL(PRENOTAZIONI!$Z:$Z,6)),"")</f>
        <v>46203</v>
      </c>
      <c r="C9" s="193">
        <f t="shared" si="0"/>
        <v>6</v>
      </c>
      <c r="D9" s="194" t="str">
        <f>IFERROR(INDEX(PRENOTAZIONI!$E:$E,SMALL(PRENOTAZIONI!$Z:$Z,6)),"")</f>
        <v>Maurizio Mercuri</v>
      </c>
      <c r="E9" s="194" t="str">
        <f>IFERROR(INDEX(PRENOTAZIONI!$F:$F,SMALL(PRENOTAZIONI!$Z:$Z,6)),"")</f>
        <v>2 ad + 2 b</v>
      </c>
      <c r="F9" s="194" t="str">
        <f>IFERROR(INDEX(PRENOTAZIONI!$G:$G,SMALL(PRENOTAZIONI!$Z:$Z,6)),"")</f>
        <v>booking.com</v>
      </c>
      <c r="G9" s="195">
        <f>IFERROR(INDEX(PRENOTAZIONI!$H:$H,SMALL(PRENOTAZIONI!$Z:$Z,6)),"")</f>
        <v>594.27</v>
      </c>
      <c r="H9" s="218">
        <f t="shared" si="1"/>
        <v>99.045000000000002</v>
      </c>
      <c r="I9" s="195">
        <f t="shared" si="2"/>
        <v>89.140499999999989</v>
      </c>
      <c r="J9" s="196">
        <f t="shared" si="3"/>
        <v>19.610909999999997</v>
      </c>
      <c r="K9" s="194" t="str">
        <f>IFERROR(INDEX(PRENOTAZIONI!$K:$K,SMALL(PRENOTAZIONI!$Z:$Z,6)),"")</f>
        <v>MASTER</v>
      </c>
      <c r="L9" s="195">
        <f>IFERROR(INDEX(PRENOTAZIONI!$L:$L,SMALL(PRENOTAZIONI!$Z:$Z,6)),"")</f>
        <v>12</v>
      </c>
      <c r="M9" s="197">
        <f t="shared" si="4"/>
        <v>124.79669999999999</v>
      </c>
      <c r="N9" s="195">
        <f t="shared" si="5"/>
        <v>148.5675</v>
      </c>
      <c r="O9" s="195"/>
      <c r="P9" s="198"/>
      <c r="Q9" s="197">
        <f t="shared" si="6"/>
        <v>212.15439000000003</v>
      </c>
      <c r="R9" s="219">
        <f>IFERROR(INDEX(PRENOTAZIONI!$R:$R,SMALL(PRENOTAZIONI!$Z:$Z,6)),"")</f>
        <v>0</v>
      </c>
      <c r="S9" s="220"/>
      <c r="T9" s="99" t="str">
        <f>IFERROR(INDEX(PRENOTAZIONI!$A:$A,SMALL(PRENOTAZIONI!$AN:$AN,6)),"")</f>
        <v/>
      </c>
      <c r="U9" s="31" t="str">
        <f>IFERROR(INDEX(PRENOTAZIONI!$B:$B,SMALL(PRENOTAZIONI!$AN:$AN,6)),"")</f>
        <v/>
      </c>
      <c r="V9" s="32" t="str">
        <f t="shared" si="7"/>
        <v/>
      </c>
      <c r="W9" s="34" t="str">
        <f>IFERROR(INDEX(PRENOTAZIONI!$E:$E,SMALL(PRENOTAZIONI!$AN:$AN,6)),"")</f>
        <v/>
      </c>
      <c r="X9" s="34" t="str">
        <f>IFERROR(INDEX(PRENOTAZIONI!$F:$F,SMALL(PRENOTAZIONI!$AN:$AN,6)),"")</f>
        <v/>
      </c>
      <c r="Y9" s="35" t="str">
        <f>IFERROR(INDEX(PRENOTAZIONI!$H:$H,SMALL(PRENOTAZIONI!$AN:$AN,6)),"")</f>
        <v/>
      </c>
      <c r="Z9" s="34" t="str">
        <f>IFERROR(INDEX(PRENOTAZIONI!$K:$K,SMALL(PRENOTAZIONI!$AN:$AN,6)),"")</f>
        <v/>
      </c>
      <c r="AA9" s="34"/>
      <c r="AB9" s="34"/>
      <c r="AC9" s="40" t="str">
        <f t="shared" si="8"/>
        <v/>
      </c>
      <c r="AD9" s="41" t="str">
        <f t="shared" si="9"/>
        <v/>
      </c>
      <c r="AF9" s="38"/>
      <c r="AG9" s="113" t="s">
        <v>186</v>
      </c>
      <c r="AH9" s="114">
        <f>SUMPRODUCT((MONTH(PRENOTAZIONI!$A$3:$A$262)=6)*(YEAR(PRENOTAZIONI!$A$3:$A$262)=2026)*(PRENOTAZIONI!$D$3:$D$262="Agantonio"))</f>
        <v>2</v>
      </c>
      <c r="AI9" s="114">
        <f>SUMPRODUCT((PRENOTAZIONI!$A$3:$A$262&lt;DATE(2026,7,1))*(PRENOTAZIONI!$B$3:$B$262&gt;DATE(2026,6,1))*(YEAR(PRENOTAZIONI!$A$3:$A$262)=2026)*(PRENOTAZIONI!$D$3:$D$262="Agantonio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14</v>
      </c>
      <c r="AJ9" s="151">
        <f>SUMIF(A4:A33,"&gt;="&amp;DATE(2026,6,1),G4:G33)-SUMIF(A4:A33,"&gt;="&amp;DATE(2026,7,1),G4:G33)</f>
        <v>1303.5300000000007</v>
      </c>
      <c r="AK9" s="151">
        <f>SUMIF(A4:A33,"&gt;="&amp;DATE(2026,6,1),I4:I33)-SUMIF(A4:A33,"&gt;="&amp;DATE(2026,7,1),I4:I33)</f>
        <v>195.52949999999998</v>
      </c>
      <c r="AL9" s="151">
        <f>SUMIF(A4:A33,"&gt;="&amp;DATE(2026,6,1),L4:L33)-SUMIF(A4:A33,"&gt;="&amp;DATE(2026,7,1),L4:L33)</f>
        <v>26</v>
      </c>
      <c r="AM9" s="151">
        <f>SUMIF(A4:A33,"&gt;="&amp;DATE(2026,6,1),N4:N33)-SUMIF(A4:A33,"&gt;="&amp;DATE(2026,7,1),N4:N33)</f>
        <v>325.88250000000016</v>
      </c>
      <c r="AN9" s="152">
        <f>SUMIF(A4:A33,"&gt;="&amp;DATE(2026,6,1),M4:M33)-SUMIF(A4:A33,"&gt;="&amp;DATE(2026,7,1),M4:M33)</f>
        <v>273.74130000000002</v>
      </c>
      <c r="AO9" s="152">
        <f>SUMIF(A4:A33,"&gt;="&amp;DATE(2026,6,1),J4:J33)-SUMIF(A4:A33,"&gt;="&amp;DATE(2026,7,1),J4:J33)</f>
        <v>43.01648999999999</v>
      </c>
      <c r="AP9" s="153">
        <f>SUMIF(A4:A33,"&gt;="&amp;DATE(2026,6,1),Q4:Q33)-SUMIF(A4:A33,"&gt;="&amp;DATE(2026,7,1),Q4:Q33)</f>
        <v>465.36021000000005</v>
      </c>
    </row>
    <row r="10" spans="1:60" ht="20" customHeight="1" thickBot="1" x14ac:dyDescent="0.25">
      <c r="A10" s="164">
        <f>IFERROR(INDEX(PRENOTAZIONI!$A:$A,SMALL(PRENOTAZIONI!$Z:$Z,7)),"")</f>
        <v>46227</v>
      </c>
      <c r="B10" s="165">
        <f>IFERROR(INDEX(PRENOTAZIONI!$B:$B,SMALL(PRENOTAZIONI!$Z:$Z,7)),"")</f>
        <v>46233</v>
      </c>
      <c r="C10" s="166">
        <f t="shared" si="0"/>
        <v>6</v>
      </c>
      <c r="D10" s="167" t="str">
        <f>IFERROR(INDEX(PRENOTAZIONI!$E:$E,SMALL(PRENOTAZIONI!$Z:$Z,7)),"")</f>
        <v>Daniele Charreron</v>
      </c>
      <c r="E10" s="167" t="str">
        <f>IFERROR(INDEX(PRENOTAZIONI!$F:$F,SMALL(PRENOTAZIONI!$Z:$Z,7)),"")</f>
        <v>2 ad</v>
      </c>
      <c r="F10" s="167" t="str">
        <f>IFERROR(INDEX(PRENOTAZIONI!$G:$G,SMALL(PRENOTAZIONI!$Z:$Z,7)),"")</f>
        <v>booking.com</v>
      </c>
      <c r="G10" s="168">
        <f>IFERROR(INDEX(PRENOTAZIONI!$H:$H,SMALL(PRENOTAZIONI!$Z:$Z,7)),"")</f>
        <v>530.67999999999995</v>
      </c>
      <c r="H10" s="213">
        <f t="shared" si="1"/>
        <v>88.446666666666658</v>
      </c>
      <c r="I10" s="168">
        <f t="shared" si="2"/>
        <v>79.60199999999999</v>
      </c>
      <c r="J10" s="169">
        <f t="shared" si="3"/>
        <v>17.512439999999998</v>
      </c>
      <c r="K10" s="167" t="str">
        <f>IFERROR(INDEX(PRENOTAZIONI!$K:$K,SMALL(PRENOTAZIONI!$Z:$Z,7)),"")</f>
        <v>VISA</v>
      </c>
      <c r="L10" s="168">
        <f>IFERROR(INDEX(PRENOTAZIONI!$L:$L,SMALL(PRENOTAZIONI!$Z:$Z,7)),"")</f>
        <v>12</v>
      </c>
      <c r="M10" s="170">
        <f t="shared" si="4"/>
        <v>111.44279999999999</v>
      </c>
      <c r="N10" s="168">
        <f t="shared" si="5"/>
        <v>132.66999999999999</v>
      </c>
      <c r="O10" s="168">
        <v>38</v>
      </c>
      <c r="P10" s="171" t="s">
        <v>371</v>
      </c>
      <c r="Q10" s="170">
        <f t="shared" si="6"/>
        <v>151.45276000000004</v>
      </c>
      <c r="R10" s="210">
        <f>IFERROR(INDEX(PRENOTAZIONI!$R:$R,SMALL(PRENOTAZIONI!$Z:$Z,7)),"")</f>
        <v>0</v>
      </c>
      <c r="S10" s="214" t="s">
        <v>379</v>
      </c>
      <c r="T10" s="99" t="str">
        <f>IFERROR(INDEX(PRENOTAZIONI!$A:$A,SMALL(PRENOTAZIONI!$AN:$AN,7)),"")</f>
        <v/>
      </c>
      <c r="U10" s="31" t="str">
        <f>IFERROR(INDEX(PRENOTAZIONI!$B:$B,SMALL(PRENOTAZIONI!$AN:$AN,7)),"")</f>
        <v/>
      </c>
      <c r="V10" s="32" t="str">
        <f t="shared" si="7"/>
        <v/>
      </c>
      <c r="W10" s="34" t="str">
        <f>IFERROR(INDEX(PRENOTAZIONI!$E:$E,SMALL(PRENOTAZIONI!$AN:$AN,7)),"")</f>
        <v/>
      </c>
      <c r="X10" s="34" t="str">
        <f>IFERROR(INDEX(PRENOTAZIONI!$F:$F,SMALL(PRENOTAZIONI!$AN:$AN,7)),"")</f>
        <v/>
      </c>
      <c r="Y10" s="35" t="str">
        <f>IFERROR(INDEX(PRENOTAZIONI!$H:$H,SMALL(PRENOTAZIONI!$AN:$AN,7)),"")</f>
        <v/>
      </c>
      <c r="Z10" s="34" t="str">
        <f>IFERROR(INDEX(PRENOTAZIONI!$K:$K,SMALL(PRENOTAZIONI!$AN:$AN,7)),"")</f>
        <v/>
      </c>
      <c r="AA10" s="34"/>
      <c r="AB10" s="34"/>
      <c r="AC10" s="40" t="str">
        <f t="shared" si="8"/>
        <v/>
      </c>
      <c r="AD10" s="41" t="str">
        <f t="shared" si="9"/>
        <v/>
      </c>
      <c r="AF10" s="38"/>
      <c r="AG10" s="113" t="s">
        <v>187</v>
      </c>
      <c r="AH10" s="114">
        <f>SUMPRODUCT((MONTH(PRENOTAZIONI!$A$3:$A$262)=7)*(YEAR(PRENOTAZIONI!$A$3:$A$262)=2026)*(PRENOTAZIONI!$D$3:$D$262="Agantonio"))</f>
        <v>1</v>
      </c>
      <c r="AI10" s="114">
        <f>SUMPRODUCT((PRENOTAZIONI!$A$3:$A$262&lt;DATE(2026,8,1))*(PRENOTAZIONI!$B$3:$B$262&gt;DATE(2026,7,1))*(YEAR(PRENOTAZIONI!$A$3:$A$262)=2026)*(PRENOTAZIONI!$D$3:$D$262="Agantonio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6</v>
      </c>
      <c r="AJ10" s="151">
        <f>SUMIF(A4:A33,"&gt;="&amp;DATE(2026,7,1),G4:G33)-SUMIF(A4:A33,"&gt;="&amp;DATE(2026,8,1),G4:G33)</f>
        <v>530.67999999999984</v>
      </c>
      <c r="AK10" s="151">
        <f>SUMIF(A4:A33,"&gt;="&amp;DATE(2026,7,1),I4:I33)-SUMIF(A4:A33,"&gt;="&amp;DATE(2026,8,1),I4:I33)</f>
        <v>79.601999999999975</v>
      </c>
      <c r="AL10" s="151">
        <f>SUMIF(A4:A33,"&gt;="&amp;DATE(2026,7,1),L4:L33)-SUMIF(A4:A33,"&gt;="&amp;DATE(2026,8,1),L4:L33)</f>
        <v>12</v>
      </c>
      <c r="AM10" s="151">
        <f>SUMIF(A4:A33,"&gt;="&amp;DATE(2026,7,1),N4:N33)-SUMIF(A4:A33,"&gt;="&amp;DATE(2026,8,1),N4:N33)</f>
        <v>132.66999999999996</v>
      </c>
      <c r="AN10" s="152">
        <f>SUMIF(A4:A33,"&gt;="&amp;DATE(2026,7,1),M4:M33)-SUMIF(A4:A33,"&gt;="&amp;DATE(2026,8,1),M4:M33)</f>
        <v>111.44280000000003</v>
      </c>
      <c r="AO10" s="152">
        <f>SUMIF(A4:A33,"&gt;="&amp;DATE(2026,7,1),J4:J33)-SUMIF(A4:A33,"&gt;="&amp;DATE(2026,8,1),J4:J33)</f>
        <v>17.512439999999998</v>
      </c>
      <c r="AP10" s="153">
        <f>SUMIF(A4:A33,"&gt;="&amp;DATE(2026,7,1),Q4:Q33)-SUMIF(A4:A33,"&gt;="&amp;DATE(2026,8,1),Q4:Q33)</f>
        <v>151.45276000000001</v>
      </c>
    </row>
    <row r="11" spans="1:60" ht="20" customHeight="1" x14ac:dyDescent="0.2">
      <c r="A11" s="157">
        <f>IFERROR(INDEX(PRENOTAZIONI!$A:$A,SMALL(PRENOTAZIONI!$Z:$Z,8)),"")</f>
        <v>46243</v>
      </c>
      <c r="B11" s="157">
        <f>IFERROR(INDEX(PRENOTAZIONI!$B:$B,SMALL(PRENOTAZIONI!$Z:$Z,8)),"")</f>
        <v>46253</v>
      </c>
      <c r="C11" s="158">
        <f t="shared" si="0"/>
        <v>10</v>
      </c>
      <c r="D11" s="159" t="str">
        <f>IFERROR(INDEX(PRENOTAZIONI!$E:$E,SMALL(PRENOTAZIONI!$Z:$Z,8)),"")</f>
        <v>Martelli Sara</v>
      </c>
      <c r="E11" s="159" t="str">
        <f>IFERROR(INDEX(PRENOTAZIONI!$F:$F,SMALL(PRENOTAZIONI!$Z:$Z,8)),"")</f>
        <v>2 ad</v>
      </c>
      <c r="F11" s="159" t="str">
        <f>IFERROR(INDEX(PRENOTAZIONI!$G:$G,SMALL(PRENOTAZIONI!$Z:$Z,8)),"")</f>
        <v>booking.com</v>
      </c>
      <c r="G11" s="160">
        <f>IFERROR(INDEX(PRENOTAZIONI!$H:$H,SMALL(PRENOTAZIONI!$Z:$Z,8)),"")</f>
        <v>1285.92</v>
      </c>
      <c r="H11" s="212">
        <f t="shared" si="1"/>
        <v>128.59200000000001</v>
      </c>
      <c r="I11" s="160">
        <f t="shared" si="2"/>
        <v>192.88800000000001</v>
      </c>
      <c r="J11" s="161">
        <f t="shared" si="3"/>
        <v>42.435360000000003</v>
      </c>
      <c r="K11" s="159">
        <f>IFERROR(INDEX(PRENOTAZIONI!$K:$K,SMALL(PRENOTAZIONI!$Z:$Z,8)),"")</f>
        <v>0</v>
      </c>
      <c r="L11" s="160">
        <f>IFERROR(INDEX(PRENOTAZIONI!$L:$L,SMALL(PRENOTAZIONI!$Z:$Z,8)),"")</f>
        <v>10</v>
      </c>
      <c r="M11" s="154">
        <f t="shared" si="4"/>
        <v>270.04320000000001</v>
      </c>
      <c r="N11" s="160">
        <f t="shared" si="5"/>
        <v>321.48</v>
      </c>
      <c r="O11" s="160"/>
      <c r="P11" s="162"/>
      <c r="Q11" s="154">
        <f t="shared" si="6"/>
        <v>459.07344000000012</v>
      </c>
      <c r="R11" s="209" t="str">
        <f>IFERROR(INDEX(PRENOTAZIONI!$R:$R,SMALL(PRENOTAZIONI!$Z:$Z,8)),"")</f>
        <v>CANE</v>
      </c>
      <c r="S11" s="102"/>
      <c r="T11" s="99" t="str">
        <f>IFERROR(INDEX(PRENOTAZIONI!$A:$A,SMALL(PRENOTAZIONI!$AN:$AN,8)),"")</f>
        <v/>
      </c>
      <c r="U11" s="31" t="str">
        <f>IFERROR(INDEX(PRENOTAZIONI!$B:$B,SMALL(PRENOTAZIONI!$AN:$AN,8)),"")</f>
        <v/>
      </c>
      <c r="V11" s="32" t="str">
        <f t="shared" si="7"/>
        <v/>
      </c>
      <c r="W11" s="34" t="str">
        <f>IFERROR(INDEX(PRENOTAZIONI!$E:$E,SMALL(PRENOTAZIONI!$AN:$AN,8)),"")</f>
        <v/>
      </c>
      <c r="X11" s="34" t="str">
        <f>IFERROR(INDEX(PRENOTAZIONI!$F:$F,SMALL(PRENOTAZIONI!$AN:$AN,8)),"")</f>
        <v/>
      </c>
      <c r="Y11" s="35" t="str">
        <f>IFERROR(INDEX(PRENOTAZIONI!$H:$H,SMALL(PRENOTAZIONI!$AN:$AN,8)),"")</f>
        <v/>
      </c>
      <c r="Z11" s="34" t="str">
        <f>IFERROR(INDEX(PRENOTAZIONI!$K:$K,SMALL(PRENOTAZIONI!$AN:$AN,8)),"")</f>
        <v/>
      </c>
      <c r="AA11" s="34"/>
      <c r="AB11" s="34"/>
      <c r="AC11" s="40" t="str">
        <f t="shared" si="8"/>
        <v/>
      </c>
      <c r="AD11" s="41" t="str">
        <f t="shared" si="9"/>
        <v/>
      </c>
      <c r="AF11" s="38"/>
      <c r="AG11" s="113" t="s">
        <v>188</v>
      </c>
      <c r="AH11" s="114">
        <f>SUMPRODUCT((MONTH(PRENOTAZIONI!$A$3:$A$262)=8)*(YEAR(PRENOTAZIONI!$A$3:$A$262)=2026)*(PRENOTAZIONI!$D$3:$D$262="Agantonio"))</f>
        <v>2</v>
      </c>
      <c r="AI11" s="114">
        <f>SUMPRODUCT((PRENOTAZIONI!$A$3:$A$262&lt;DATE(2026,9,1))*(PRENOTAZIONI!$B$3:$B$262&gt;DATE(2026,8,1))*(YEAR(PRENOTAZIONI!$A$3:$A$262)=2026)*(PRENOTAZIONI!$D$3:$D$262="Agantonio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19</v>
      </c>
      <c r="AJ11" s="151">
        <f>SUMIF(A4:A33,"&gt;="&amp;DATE(2026,8,1),G4:G33)-SUMIF(A4:A33,"&gt;="&amp;DATE(2026,9,1),G4:G33)</f>
        <v>2370.15</v>
      </c>
      <c r="AK11" s="151">
        <f>SUMIF(A4:A33,"&gt;="&amp;DATE(2026,8,1),I4:I33)-SUMIF(A4:A33,"&gt;="&amp;DATE(2026,9,1),I4:I33)</f>
        <v>355.52250000000004</v>
      </c>
      <c r="AL11" s="151">
        <f>SUMIF(A4:A33,"&gt;="&amp;DATE(2026,8,1),L4:L33)-SUMIF(A4:A33,"&gt;="&amp;DATE(2026,9,1),L4:L33)</f>
        <v>10</v>
      </c>
      <c r="AM11" s="151">
        <f>SUMIF(A4:A33,"&gt;="&amp;DATE(2026,8,1),N4:N33)-SUMIF(A4:A33,"&gt;="&amp;DATE(2026,9,1),N4:N33)</f>
        <v>592.53750000000002</v>
      </c>
      <c r="AN11" s="152">
        <f>SUMIF(A4:A33,"&gt;="&amp;DATE(2026,8,1),M4:M33)-SUMIF(A4:A33,"&gt;="&amp;DATE(2026,9,1),M4:M33)</f>
        <v>497.73149999999998</v>
      </c>
      <c r="AO11" s="152">
        <f>SUMIF(A4:A33,"&gt;="&amp;DATE(2026,8,1),J4:J33)-SUMIF(A4:A33,"&gt;="&amp;DATE(2026,9,1),J4:J33)</f>
        <v>78.214950000000002</v>
      </c>
      <c r="AP11" s="153">
        <f>SUMIF(A4:A33,"&gt;="&amp;DATE(2026,8,1),Q4:Q33)-SUMIF(A4:A33,"&gt;="&amp;DATE(2026,9,1),Q4:Q33)</f>
        <v>846.14355000000012</v>
      </c>
    </row>
    <row r="12" spans="1:60" ht="20" customHeight="1" x14ac:dyDescent="0.2">
      <c r="A12" s="31">
        <f>IFERROR(INDEX(PRENOTAZIONI!$A:$A,SMALL(PRENOTAZIONI!$Z:$Z,9)),"")</f>
        <v>46254</v>
      </c>
      <c r="B12" s="31">
        <f>IFERROR(INDEX(PRENOTAZIONI!$B:$B,SMALL(PRENOTAZIONI!$Z:$Z,9)),"")</f>
        <v>46263</v>
      </c>
      <c r="C12" s="32">
        <f t="shared" si="0"/>
        <v>9</v>
      </c>
      <c r="D12" s="34" t="str">
        <f>IFERROR(INDEX(PRENOTAZIONI!$E:$E,SMALL(PRENOTAZIONI!$Z:$Z,9)),"")</f>
        <v>Alessandra Galli</v>
      </c>
      <c r="E12" s="34" t="str">
        <f>IFERROR(INDEX(PRENOTAZIONI!$F:$F,SMALL(PRENOTAZIONI!$Z:$Z,9)),"")</f>
        <v>1 ad 2 b</v>
      </c>
      <c r="F12" s="34" t="str">
        <f>IFERROR(INDEX(PRENOTAZIONI!$G:$G,SMALL(PRENOTAZIONI!$Z:$Z,9)),"")</f>
        <v>booking.com</v>
      </c>
      <c r="G12" s="35">
        <f>IFERROR(INDEX(PRENOTAZIONI!$H:$H,SMALL(PRENOTAZIONI!$Z:$Z,9)),"")</f>
        <v>1084.23</v>
      </c>
      <c r="H12" s="146">
        <f t="shared" si="1"/>
        <v>120.47</v>
      </c>
      <c r="I12" s="35">
        <f t="shared" si="2"/>
        <v>162.6345</v>
      </c>
      <c r="J12" s="149">
        <f t="shared" si="3"/>
        <v>35.779589999999999</v>
      </c>
      <c r="K12" s="34">
        <f>IFERROR(INDEX(PRENOTAZIONI!$K:$K,SMALL(PRENOTAZIONI!$Z:$Z,9)),"")</f>
        <v>0</v>
      </c>
      <c r="L12" s="35">
        <f>IFERROR(INDEX(PRENOTAZIONI!$L:$L,SMALL(PRENOTAZIONI!$Z:$Z,9)),"")</f>
        <v>0</v>
      </c>
      <c r="M12" s="150">
        <f t="shared" si="4"/>
        <v>227.6883</v>
      </c>
      <c r="N12" s="35">
        <f t="shared" si="5"/>
        <v>271.0575</v>
      </c>
      <c r="O12" s="35"/>
      <c r="P12" s="43"/>
      <c r="Q12" s="150">
        <f t="shared" si="6"/>
        <v>387.07011</v>
      </c>
      <c r="R12" s="47">
        <f>IFERROR(INDEX(PRENOTAZIONI!$R:$R,SMALL(PRENOTAZIONI!$Z:$Z,9)),"")</f>
        <v>0</v>
      </c>
      <c r="S12" s="102"/>
      <c r="T12" s="99" t="str">
        <f>IFERROR(INDEX(PRENOTAZIONI!$A:$A,SMALL(PRENOTAZIONI!$AN:$AN,9)),"")</f>
        <v/>
      </c>
      <c r="U12" s="31" t="str">
        <f>IFERROR(INDEX(PRENOTAZIONI!$B:$B,SMALL(PRENOTAZIONI!$AN:$AN,9)),"")</f>
        <v/>
      </c>
      <c r="V12" s="32" t="str">
        <f t="shared" si="7"/>
        <v/>
      </c>
      <c r="W12" s="34" t="str">
        <f>IFERROR(INDEX(PRENOTAZIONI!$E:$E,SMALL(PRENOTAZIONI!$AN:$AN,9)),"")</f>
        <v/>
      </c>
      <c r="X12" s="34" t="str">
        <f>IFERROR(INDEX(PRENOTAZIONI!$F:$F,SMALL(PRENOTAZIONI!$AN:$AN,9)),"")</f>
        <v/>
      </c>
      <c r="Y12" s="35" t="str">
        <f>IFERROR(INDEX(PRENOTAZIONI!$H:$H,SMALL(PRENOTAZIONI!$AN:$AN,9)),"")</f>
        <v/>
      </c>
      <c r="Z12" s="34" t="str">
        <f>IFERROR(INDEX(PRENOTAZIONI!$K:$K,SMALL(PRENOTAZIONI!$AN:$AN,9)),"")</f>
        <v/>
      </c>
      <c r="AA12" s="34"/>
      <c r="AB12" s="34"/>
      <c r="AC12" s="40" t="str">
        <f t="shared" si="8"/>
        <v/>
      </c>
      <c r="AD12" s="41" t="str">
        <f t="shared" si="9"/>
        <v/>
      </c>
      <c r="AF12" s="38"/>
      <c r="AG12" s="113" t="s">
        <v>189</v>
      </c>
      <c r="AH12" s="114">
        <f>SUMPRODUCT((MONTH(PRENOTAZIONI!$A$3:$A$262)=9)*(YEAR(PRENOTAZIONI!$A$3:$A$262)=2026)*(PRENOTAZIONI!$D$3:$D$262="Agantonio"))</f>
        <v>0</v>
      </c>
      <c r="AI12" s="114">
        <f>SUMPRODUCT((PRENOTAZIONI!$A$3:$A$262&lt;DATE(2026,10,1))*(PRENOTAZIONI!$B$3:$B$262&gt;DATE(2026,9,1))*(YEAR(PRENOTAZIONI!$A$3:$A$262)=2026)*(PRENOTAZIONI!$D$3:$D$262="Agantonio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IFERROR(INDEX(PRENOTAZIONI!$A:$A,SMALL(PRENOTAZIONI!$Z:$Z,10)),"")</f>
        <v/>
      </c>
      <c r="B13" s="31" t="str">
        <f>IFERROR(INDEX(PRENOTAZIONI!$B:$B,SMALL(PRENOTAZIONI!$Z:$Z,10)),"")</f>
        <v/>
      </c>
      <c r="C13" s="32" t="str">
        <f t="shared" si="0"/>
        <v/>
      </c>
      <c r="D13" s="34" t="str">
        <f>IFERROR(INDEX(PRENOTAZIONI!$E:$E,SMALL(PRENOTAZIONI!$Z:$Z,10)),"")</f>
        <v/>
      </c>
      <c r="E13" s="34" t="str">
        <f>IFERROR(INDEX(PRENOTAZIONI!$F:$F,SMALL(PRENOTAZIONI!$Z:$Z,10)),"")</f>
        <v/>
      </c>
      <c r="F13" s="34" t="str">
        <f>IFERROR(INDEX(PRENOTAZIONI!$G:$G,SMALL(PRENOTAZIONI!$Z:$Z,10)),"")</f>
        <v/>
      </c>
      <c r="G13" s="35" t="str">
        <f>IFERROR(INDEX(PRENOTAZIONI!$H:$H,SMALL(PRENOTAZIONI!$Z:$Z,10)),"")</f>
        <v/>
      </c>
      <c r="H13" s="146" t="str">
        <f t="shared" si="1"/>
        <v/>
      </c>
      <c r="I13" s="35" t="str">
        <f t="shared" si="2"/>
        <v/>
      </c>
      <c r="J13" s="149" t="str">
        <f t="shared" si="3"/>
        <v/>
      </c>
      <c r="K13" s="34" t="str">
        <f>IFERROR(INDEX(PRENOTAZIONI!$K:$K,SMALL(PRENOTAZIONI!$Z:$Z,10)),"")</f>
        <v/>
      </c>
      <c r="L13" s="35" t="str">
        <f>IFERROR(INDEX(PRENOTAZIONI!$L:$L,SMALL(PRENOTAZIONI!$Z:$Z,10)),"")</f>
        <v/>
      </c>
      <c r="M13" s="150" t="str">
        <f t="shared" si="4"/>
        <v/>
      </c>
      <c r="N13" s="35" t="str">
        <f t="shared" si="5"/>
        <v/>
      </c>
      <c r="O13" s="35"/>
      <c r="P13" s="43"/>
      <c r="Q13" s="150" t="str">
        <f t="shared" si="6"/>
        <v/>
      </c>
      <c r="R13" s="47" t="str">
        <f>IFERROR(INDEX(PRENOTAZIONI!$R:$R,SMALL(PRENOTAZIONI!$Z:$Z,10)),"")</f>
        <v/>
      </c>
      <c r="S13" s="102"/>
      <c r="T13" s="99" t="str">
        <f>IFERROR(INDEX(PRENOTAZIONI!$A:$A,SMALL(PRENOTAZIONI!$AN:$AN,10)),"")</f>
        <v/>
      </c>
      <c r="U13" s="31" t="str">
        <f>IFERROR(INDEX(PRENOTAZIONI!$B:$B,SMALL(PRENOTAZIONI!$AN:$AN,10)),"")</f>
        <v/>
      </c>
      <c r="V13" s="32" t="str">
        <f t="shared" si="7"/>
        <v/>
      </c>
      <c r="W13" s="34" t="str">
        <f>IFERROR(INDEX(PRENOTAZIONI!$E:$E,SMALL(PRENOTAZIONI!$AN:$AN,10)),"")</f>
        <v/>
      </c>
      <c r="X13" s="34" t="str">
        <f>IFERROR(INDEX(PRENOTAZIONI!$F:$F,SMALL(PRENOTAZIONI!$AN:$AN,10)),"")</f>
        <v/>
      </c>
      <c r="Y13" s="35" t="str">
        <f>IFERROR(INDEX(PRENOTAZIONI!$H:$H,SMALL(PRENOTAZIONI!$AN:$AN,10)),"")</f>
        <v/>
      </c>
      <c r="Z13" s="34" t="str">
        <f>IFERROR(INDEX(PRENOTAZIONI!$K:$K,SMALL(PRENOTAZIONI!$AN:$AN,10)),"")</f>
        <v/>
      </c>
      <c r="AA13" s="34"/>
      <c r="AB13" s="34"/>
      <c r="AC13" s="40" t="str">
        <f t="shared" si="8"/>
        <v/>
      </c>
      <c r="AD13" s="41" t="str">
        <f t="shared" si="9"/>
        <v/>
      </c>
      <c r="AF13" s="38"/>
      <c r="AG13" s="113" t="s">
        <v>190</v>
      </c>
      <c r="AH13" s="114">
        <f>SUMPRODUCT((MONTH(PRENOTAZIONI!$A$3:$A$262)=10)*(YEAR(PRENOTAZIONI!$A$3:$A$262)=2026)*(PRENOTAZIONI!$D$3:$D$262="Agantonio"))</f>
        <v>0</v>
      </c>
      <c r="AI13" s="114">
        <f>SUMPRODUCT((PRENOTAZIONI!$A$3:$A$262&lt;DATE(2026,11,1))*(PRENOTAZIONI!$B$3:$B$262&gt;DATE(2026,10,1))*(YEAR(PRENOTAZIONI!$A$3:$A$262)=2026)*(PRENOTAZIONI!$D$3:$D$262="Agantonio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IFERROR(INDEX(PRENOTAZIONI!$A:$A,SMALL(PRENOTAZIONI!$Z:$Z,11)),"")</f>
        <v/>
      </c>
      <c r="B14" s="31" t="str">
        <f>IFERROR(INDEX(PRENOTAZIONI!$B:$B,SMALL(PRENOTAZIONI!$Z:$Z,11)),"")</f>
        <v/>
      </c>
      <c r="C14" s="32" t="str">
        <f t="shared" si="0"/>
        <v/>
      </c>
      <c r="D14" s="34" t="str">
        <f>IFERROR(INDEX(PRENOTAZIONI!$E:$E,SMALL(PRENOTAZIONI!$Z:$Z,11)),"")</f>
        <v/>
      </c>
      <c r="E14" s="34" t="str">
        <f>IFERROR(INDEX(PRENOTAZIONI!$F:$F,SMALL(PRENOTAZIONI!$Z:$Z,11)),"")</f>
        <v/>
      </c>
      <c r="F14" s="34" t="str">
        <f>IFERROR(INDEX(PRENOTAZIONI!$G:$G,SMALL(PRENOTAZIONI!$Z:$Z,11)),"")</f>
        <v/>
      </c>
      <c r="G14" s="35" t="str">
        <f>IFERROR(INDEX(PRENOTAZIONI!$H:$H,SMALL(PRENOTAZIONI!$Z:$Z,11)),"")</f>
        <v/>
      </c>
      <c r="H14" s="146" t="str">
        <f t="shared" si="1"/>
        <v/>
      </c>
      <c r="I14" s="35" t="str">
        <f t="shared" si="2"/>
        <v/>
      </c>
      <c r="J14" s="149" t="str">
        <f t="shared" si="3"/>
        <v/>
      </c>
      <c r="K14" s="34" t="str">
        <f>IFERROR(INDEX(PRENOTAZIONI!$K:$K,SMALL(PRENOTAZIONI!$Z:$Z,11)),"")</f>
        <v/>
      </c>
      <c r="L14" s="35" t="str">
        <f>IFERROR(INDEX(PRENOTAZIONI!$L:$L,SMALL(PRENOTAZIONI!$Z:$Z,11)),"")</f>
        <v/>
      </c>
      <c r="M14" s="150" t="str">
        <f t="shared" si="4"/>
        <v/>
      </c>
      <c r="N14" s="35" t="str">
        <f t="shared" si="5"/>
        <v/>
      </c>
      <c r="O14" s="35"/>
      <c r="P14" s="43"/>
      <c r="Q14" s="150" t="str">
        <f t="shared" si="6"/>
        <v/>
      </c>
      <c r="R14" s="47" t="str">
        <f>IFERROR(INDEX(PRENOTAZIONI!$R:$R,SMALL(PRENOTAZIONI!$Z:$Z,11)),"")</f>
        <v/>
      </c>
      <c r="S14" s="102"/>
      <c r="T14" s="99" t="str">
        <f>IFERROR(INDEX(PRENOTAZIONI!$A:$A,SMALL(PRENOTAZIONI!$AN:$AN,11)),"")</f>
        <v/>
      </c>
      <c r="U14" s="31" t="str">
        <f>IFERROR(INDEX(PRENOTAZIONI!$B:$B,SMALL(PRENOTAZIONI!$AN:$AN,11)),"")</f>
        <v/>
      </c>
      <c r="V14" s="32" t="str">
        <f t="shared" si="7"/>
        <v/>
      </c>
      <c r="W14" s="34" t="str">
        <f>IFERROR(INDEX(PRENOTAZIONI!$E:$E,SMALL(PRENOTAZIONI!$AN:$AN,11)),"")</f>
        <v/>
      </c>
      <c r="X14" s="34" t="str">
        <f>IFERROR(INDEX(PRENOTAZIONI!$F:$F,SMALL(PRENOTAZIONI!$AN:$AN,11)),"")</f>
        <v/>
      </c>
      <c r="Y14" s="35" t="str">
        <f>IFERROR(INDEX(PRENOTAZIONI!$H:$H,SMALL(PRENOTAZIONI!$AN:$AN,11)),"")</f>
        <v/>
      </c>
      <c r="Z14" s="34" t="str">
        <f>IFERROR(INDEX(PRENOTAZIONI!$K:$K,SMALL(PRENOTAZIONI!$AN:$AN,11)),"")</f>
        <v/>
      </c>
      <c r="AA14" s="34"/>
      <c r="AB14" s="34"/>
      <c r="AC14" s="40" t="str">
        <f t="shared" si="8"/>
        <v/>
      </c>
      <c r="AD14" s="41" t="str">
        <f t="shared" si="9"/>
        <v/>
      </c>
      <c r="AF14" s="38"/>
      <c r="AG14" s="113" t="s">
        <v>191</v>
      </c>
      <c r="AH14" s="114">
        <f>SUMPRODUCT((MONTH(PRENOTAZIONI!$A$3:$A$262)=11)*(YEAR(PRENOTAZIONI!$A$3:$A$262)=2026)*(PRENOTAZIONI!$D$3:$D$262="Agantonio"))</f>
        <v>0</v>
      </c>
      <c r="AI14" s="114">
        <f>SUMPRODUCT((PRENOTAZIONI!$A$3:$A$262&lt;DATE(2026,12,1))*(PRENOTAZIONI!$B$3:$B$262&gt;DATE(2026,11,1))*(YEAR(PRENOTAZIONI!$A$3:$A$262)=2026)*(PRENOTAZIONI!$D$3:$D$262="Agantonio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IFERROR(INDEX(PRENOTAZIONI!$A:$A,SMALL(PRENOTAZIONI!$Z:$Z,12)),"")</f>
        <v/>
      </c>
      <c r="B15" s="31" t="str">
        <f>IFERROR(INDEX(PRENOTAZIONI!$B:$B,SMALL(PRENOTAZIONI!$Z:$Z,12)),"")</f>
        <v/>
      </c>
      <c r="C15" s="32" t="str">
        <f t="shared" si="0"/>
        <v/>
      </c>
      <c r="D15" s="34" t="str">
        <f>IFERROR(INDEX(PRENOTAZIONI!$E:$E,SMALL(PRENOTAZIONI!$Z:$Z,12)),"")</f>
        <v/>
      </c>
      <c r="E15" s="34" t="str">
        <f>IFERROR(INDEX(PRENOTAZIONI!$F:$F,SMALL(PRENOTAZIONI!$Z:$Z,12)),"")</f>
        <v/>
      </c>
      <c r="F15" s="34" t="str">
        <f>IFERROR(INDEX(PRENOTAZIONI!$G:$G,SMALL(PRENOTAZIONI!$Z:$Z,12)),"")</f>
        <v/>
      </c>
      <c r="G15" s="35" t="str">
        <f>IFERROR(INDEX(PRENOTAZIONI!$H:$H,SMALL(PRENOTAZIONI!$Z:$Z,12)),"")</f>
        <v/>
      </c>
      <c r="H15" s="146" t="str">
        <f t="shared" si="1"/>
        <v/>
      </c>
      <c r="I15" s="35" t="str">
        <f t="shared" si="2"/>
        <v/>
      </c>
      <c r="J15" s="149" t="str">
        <f t="shared" si="3"/>
        <v/>
      </c>
      <c r="K15" s="34" t="str">
        <f>IFERROR(INDEX(PRENOTAZIONI!$K:$K,SMALL(PRENOTAZIONI!$Z:$Z,12)),"")</f>
        <v/>
      </c>
      <c r="L15" s="35" t="str">
        <f>IFERROR(INDEX(PRENOTAZIONI!$L:$L,SMALL(PRENOTAZIONI!$Z:$Z,12)),"")</f>
        <v/>
      </c>
      <c r="M15" s="150" t="str">
        <f t="shared" si="4"/>
        <v/>
      </c>
      <c r="N15" s="35" t="str">
        <f t="shared" si="5"/>
        <v/>
      </c>
      <c r="O15" s="35"/>
      <c r="P15" s="43"/>
      <c r="Q15" s="150" t="str">
        <f t="shared" si="6"/>
        <v/>
      </c>
      <c r="R15" s="47" t="str">
        <f>IFERROR(INDEX(PRENOTAZIONI!$R:$R,SMALL(PRENOTAZIONI!$Z:$Z,12)),"")</f>
        <v/>
      </c>
      <c r="S15" s="102"/>
      <c r="T15" s="99" t="str">
        <f>IFERROR(INDEX(PRENOTAZIONI!$A:$A,SMALL(PRENOTAZIONI!$AN:$AN,12)),"")</f>
        <v/>
      </c>
      <c r="U15" s="31" t="str">
        <f>IFERROR(INDEX(PRENOTAZIONI!$B:$B,SMALL(PRENOTAZIONI!$AN:$AN,12)),"")</f>
        <v/>
      </c>
      <c r="V15" s="32" t="str">
        <f t="shared" si="7"/>
        <v/>
      </c>
      <c r="W15" s="34" t="str">
        <f>IFERROR(INDEX(PRENOTAZIONI!$E:$E,SMALL(PRENOTAZIONI!$AN:$AN,12)),"")</f>
        <v/>
      </c>
      <c r="X15" s="34" t="str">
        <f>IFERROR(INDEX(PRENOTAZIONI!$F:$F,SMALL(PRENOTAZIONI!$AN:$AN,12)),"")</f>
        <v/>
      </c>
      <c r="Y15" s="35" t="str">
        <f>IFERROR(INDEX(PRENOTAZIONI!$H:$H,SMALL(PRENOTAZIONI!$AN:$AN,12)),"")</f>
        <v/>
      </c>
      <c r="Z15" s="34" t="str">
        <f>IFERROR(INDEX(PRENOTAZIONI!$K:$K,SMALL(PRENOTAZIONI!$AN:$AN,12)),"")</f>
        <v/>
      </c>
      <c r="AA15" s="34"/>
      <c r="AB15" s="34"/>
      <c r="AC15" s="40" t="str">
        <f t="shared" si="8"/>
        <v/>
      </c>
      <c r="AD15" s="41" t="str">
        <f t="shared" si="9"/>
        <v/>
      </c>
      <c r="AF15" s="38"/>
      <c r="AG15" s="113" t="s">
        <v>192</v>
      </c>
      <c r="AH15" s="114">
        <f>SUMPRODUCT((MONTH(PRENOTAZIONI!$A$3:$A$262)=12)*(YEAR(PRENOTAZIONI!$A$3:$A$262)=2026)*(PRENOTAZIONI!$D$3:$D$262="Agantonio"))</f>
        <v>0</v>
      </c>
      <c r="AI15" s="114">
        <f>SUMPRODUCT((PRENOTAZIONI!$A$3:$A$262&lt;DATE(2027,1,1))*(PRENOTAZIONI!$B$3:$B$262&gt;DATE(2026,12,1))*(YEAR(PRENOTAZIONI!$A$3:$A$262)=2026)*(PRENOTAZIONI!$D$3:$D$262="Agantonio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thickBot="1" x14ac:dyDescent="0.25">
      <c r="A16" s="31" t="str">
        <f>IFERROR(INDEX(PRENOTAZIONI!$A:$A,SMALL(PRENOTAZIONI!$Z:$Z,13)),"")</f>
        <v/>
      </c>
      <c r="B16" s="31" t="str">
        <f>IFERROR(INDEX(PRENOTAZIONI!$B:$B,SMALL(PRENOTAZIONI!$Z:$Z,13)),"")</f>
        <v/>
      </c>
      <c r="C16" s="32" t="str">
        <f t="shared" si="0"/>
        <v/>
      </c>
      <c r="D16" s="34" t="str">
        <f>IFERROR(INDEX(PRENOTAZIONI!$E:$E,SMALL(PRENOTAZIONI!$Z:$Z,13)),"")</f>
        <v/>
      </c>
      <c r="E16" s="34" t="str">
        <f>IFERROR(INDEX(PRENOTAZIONI!$F:$F,SMALL(PRENOTAZIONI!$Z:$Z,13)),"")</f>
        <v/>
      </c>
      <c r="F16" s="34" t="str">
        <f>IFERROR(INDEX(PRENOTAZIONI!$G:$G,SMALL(PRENOTAZIONI!$Z:$Z,13)),"")</f>
        <v/>
      </c>
      <c r="G16" s="35" t="str">
        <f>IFERROR(INDEX(PRENOTAZIONI!$H:$H,SMALL(PRENOTAZIONI!$Z:$Z,13)),"")</f>
        <v/>
      </c>
      <c r="H16" s="146" t="str">
        <f t="shared" si="1"/>
        <v/>
      </c>
      <c r="I16" s="35" t="str">
        <f t="shared" si="2"/>
        <v/>
      </c>
      <c r="J16" s="149" t="str">
        <f t="shared" si="3"/>
        <v/>
      </c>
      <c r="K16" s="34" t="str">
        <f>IFERROR(INDEX(PRENOTAZIONI!$K:$K,SMALL(PRENOTAZIONI!$Z:$Z,13)),"")</f>
        <v/>
      </c>
      <c r="L16" s="35" t="str">
        <f>IFERROR(INDEX(PRENOTAZIONI!$L:$L,SMALL(PRENOTAZIONI!$Z:$Z,13)),"")</f>
        <v/>
      </c>
      <c r="M16" s="150" t="str">
        <f t="shared" si="4"/>
        <v/>
      </c>
      <c r="N16" s="35" t="str">
        <f t="shared" si="5"/>
        <v/>
      </c>
      <c r="O16" s="35"/>
      <c r="P16" s="43"/>
      <c r="Q16" s="150" t="str">
        <f t="shared" si="6"/>
        <v/>
      </c>
      <c r="R16" s="47" t="str">
        <f>IFERROR(INDEX(PRENOTAZIONI!$R:$R,SMALL(PRENOTAZIONI!$Z:$Z,13)),"")</f>
        <v/>
      </c>
      <c r="S16" s="102"/>
      <c r="T16" s="99" t="str">
        <f>IFERROR(INDEX(PRENOTAZIONI!$A:$A,SMALL(PRENOTAZIONI!$AN:$AN,13)),"")</f>
        <v/>
      </c>
      <c r="U16" s="31" t="str">
        <f>IFERROR(INDEX(PRENOTAZIONI!$B:$B,SMALL(PRENOTAZIONI!$AN:$AN,13)),"")</f>
        <v/>
      </c>
      <c r="V16" s="32" t="str">
        <f t="shared" si="7"/>
        <v/>
      </c>
      <c r="W16" s="34" t="str">
        <f>IFERROR(INDEX(PRENOTAZIONI!$E:$E,SMALL(PRENOTAZIONI!$AN:$AN,13)),"")</f>
        <v/>
      </c>
      <c r="X16" s="34" t="str">
        <f>IFERROR(INDEX(PRENOTAZIONI!$F:$F,SMALL(PRENOTAZIONI!$AN:$AN,13)),"")</f>
        <v/>
      </c>
      <c r="Y16" s="35" t="str">
        <f>IFERROR(INDEX(PRENOTAZIONI!$H:$H,SMALL(PRENOTAZIONI!$AN:$AN,13)),"")</f>
        <v/>
      </c>
      <c r="Z16" s="34" t="str">
        <f>IFERROR(INDEX(PRENOTAZIONI!$K:$K,SMALL(PRENOTAZIONI!$AN:$AN,13)),"")</f>
        <v/>
      </c>
      <c r="AA16" s="34"/>
      <c r="AB16" s="34"/>
      <c r="AC16" s="40" t="str">
        <f t="shared" si="8"/>
        <v/>
      </c>
      <c r="AD16" s="41" t="str">
        <f t="shared" si="9"/>
        <v/>
      </c>
      <c r="AF16" s="38"/>
      <c r="AG16" s="115" t="s">
        <v>196</v>
      </c>
      <c r="AH16" s="225">
        <f t="shared" ref="AH16:AP16" si="10">SUM(AH4:AH15)</f>
        <v>9</v>
      </c>
      <c r="AI16" s="225">
        <f t="shared" si="10"/>
        <v>50</v>
      </c>
      <c r="AJ16" s="116">
        <f t="shared" si="10"/>
        <v>5107.3899999999994</v>
      </c>
      <c r="AK16" s="116">
        <f t="shared" si="10"/>
        <v>769.58849999999995</v>
      </c>
      <c r="AL16" s="116">
        <f t="shared" si="10"/>
        <v>66</v>
      </c>
      <c r="AM16" s="116">
        <f t="shared" si="10"/>
        <v>1276.8474999999999</v>
      </c>
      <c r="AN16" s="116">
        <f t="shared" si="10"/>
        <v>1072.5518999999999</v>
      </c>
      <c r="AO16" s="117">
        <f t="shared" si="10"/>
        <v>169.30946999999998</v>
      </c>
      <c r="AP16" s="117">
        <f t="shared" si="10"/>
        <v>1781.0926300000001</v>
      </c>
    </row>
    <row r="17" spans="1:42" ht="22" customHeight="1" x14ac:dyDescent="0.2">
      <c r="A17" s="31" t="str">
        <f>IFERROR(INDEX(PRENOTAZIONI!$A:$A,SMALL(PRENOTAZIONI!$Z:$Z,14)),"")</f>
        <v/>
      </c>
      <c r="B17" s="31" t="str">
        <f>IFERROR(INDEX(PRENOTAZIONI!$B:$B,SMALL(PRENOTAZIONI!$Z:$Z,14)),"")</f>
        <v/>
      </c>
      <c r="C17" s="32" t="str">
        <f t="shared" si="0"/>
        <v/>
      </c>
      <c r="D17" s="34" t="str">
        <f>IFERROR(INDEX(PRENOTAZIONI!$E:$E,SMALL(PRENOTAZIONI!$Z:$Z,14)),"")</f>
        <v/>
      </c>
      <c r="E17" s="34" t="str">
        <f>IFERROR(INDEX(PRENOTAZIONI!$F:$F,SMALL(PRENOTAZIONI!$Z:$Z,14)),"")</f>
        <v/>
      </c>
      <c r="F17" s="34" t="str">
        <f>IFERROR(INDEX(PRENOTAZIONI!$G:$G,SMALL(PRENOTAZIONI!$Z:$Z,14)),"")</f>
        <v/>
      </c>
      <c r="G17" s="35" t="str">
        <f>IFERROR(INDEX(PRENOTAZIONI!$H:$H,SMALL(PRENOTAZIONI!$Z:$Z,14)),"")</f>
        <v/>
      </c>
      <c r="H17" s="146" t="str">
        <f t="shared" si="1"/>
        <v/>
      </c>
      <c r="I17" s="35" t="str">
        <f t="shared" si="2"/>
        <v/>
      </c>
      <c r="J17" s="149" t="str">
        <f t="shared" si="3"/>
        <v/>
      </c>
      <c r="K17" s="34" t="str">
        <f>IFERROR(INDEX(PRENOTAZIONI!$K:$K,SMALL(PRENOTAZIONI!$Z:$Z,14)),"")</f>
        <v/>
      </c>
      <c r="L17" s="35" t="str">
        <f>IFERROR(INDEX(PRENOTAZIONI!$L:$L,SMALL(PRENOTAZIONI!$Z:$Z,14)),"")</f>
        <v/>
      </c>
      <c r="M17" s="150" t="str">
        <f t="shared" si="4"/>
        <v/>
      </c>
      <c r="N17" s="35" t="str">
        <f t="shared" si="5"/>
        <v/>
      </c>
      <c r="O17" s="35"/>
      <c r="P17" s="43"/>
      <c r="Q17" s="150" t="str">
        <f t="shared" si="6"/>
        <v/>
      </c>
      <c r="R17" s="47" t="str">
        <f>IFERROR(INDEX(PRENOTAZIONI!$R:$R,SMALL(PRENOTAZIONI!$Z:$Z,14)),"")</f>
        <v/>
      </c>
      <c r="S17" s="102"/>
      <c r="T17" s="99" t="str">
        <f>IFERROR(INDEX(PRENOTAZIONI!$A:$A,SMALL(PRENOTAZIONI!$AN:$AN,14)),"")</f>
        <v/>
      </c>
      <c r="U17" s="31" t="str">
        <f>IFERROR(INDEX(PRENOTAZIONI!$B:$B,SMALL(PRENOTAZIONI!$AN:$AN,14)),"")</f>
        <v/>
      </c>
      <c r="V17" s="32" t="str">
        <f t="shared" si="7"/>
        <v/>
      </c>
      <c r="W17" s="34" t="str">
        <f>IFERROR(INDEX(PRENOTAZIONI!$E:$E,SMALL(PRENOTAZIONI!$AN:$AN,14)),"")</f>
        <v/>
      </c>
      <c r="X17" s="34" t="str">
        <f>IFERROR(INDEX(PRENOTAZIONI!$F:$F,SMALL(PRENOTAZIONI!$AN:$AN,14)),"")</f>
        <v/>
      </c>
      <c r="Y17" s="35" t="str">
        <f>IFERROR(INDEX(PRENOTAZIONI!$H:$H,SMALL(PRENOTAZIONI!$AN:$AN,14)),"")</f>
        <v/>
      </c>
      <c r="Z17" s="34" t="str">
        <f>IFERROR(INDEX(PRENOTAZIONI!$K:$K,SMALL(PRENOTAZIONI!$AN:$AN,14)),"")</f>
        <v/>
      </c>
      <c r="AA17" s="34"/>
      <c r="AB17" s="34"/>
      <c r="AC17" s="40" t="str">
        <f t="shared" si="8"/>
        <v/>
      </c>
      <c r="AD17" s="41" t="str">
        <f t="shared" si="9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IFERROR(INDEX(PRENOTAZIONI!$A:$A,SMALL(PRENOTAZIONI!$Z:$Z,15)),"")</f>
        <v/>
      </c>
      <c r="B18" s="31" t="str">
        <f>IFERROR(INDEX(PRENOTAZIONI!$B:$B,SMALL(PRENOTAZIONI!$Z:$Z,15)),"")</f>
        <v/>
      </c>
      <c r="C18" s="32" t="str">
        <f t="shared" si="0"/>
        <v/>
      </c>
      <c r="D18" s="34" t="str">
        <f>IFERROR(INDEX(PRENOTAZIONI!$E:$E,SMALL(PRENOTAZIONI!$Z:$Z,15)),"")</f>
        <v/>
      </c>
      <c r="E18" s="34" t="str">
        <f>IFERROR(INDEX(PRENOTAZIONI!$F:$F,SMALL(PRENOTAZIONI!$Z:$Z,15)),"")</f>
        <v/>
      </c>
      <c r="F18" s="34" t="str">
        <f>IFERROR(INDEX(PRENOTAZIONI!$G:$G,SMALL(PRENOTAZIONI!$Z:$Z,15)),"")</f>
        <v/>
      </c>
      <c r="G18" s="35" t="str">
        <f>IFERROR(INDEX(PRENOTAZIONI!$H:$H,SMALL(PRENOTAZIONI!$Z:$Z,15)),"")</f>
        <v/>
      </c>
      <c r="H18" s="146" t="str">
        <f t="shared" si="1"/>
        <v/>
      </c>
      <c r="I18" s="35" t="str">
        <f t="shared" si="2"/>
        <v/>
      </c>
      <c r="J18" s="149" t="str">
        <f t="shared" si="3"/>
        <v/>
      </c>
      <c r="K18" s="34" t="str">
        <f>IFERROR(INDEX(PRENOTAZIONI!$K:$K,SMALL(PRENOTAZIONI!$Z:$Z,15)),"")</f>
        <v/>
      </c>
      <c r="L18" s="35" t="str">
        <f>IFERROR(INDEX(PRENOTAZIONI!$L:$L,SMALL(PRENOTAZIONI!$Z:$Z,15)),"")</f>
        <v/>
      </c>
      <c r="M18" s="150" t="str">
        <f t="shared" si="4"/>
        <v/>
      </c>
      <c r="N18" s="35" t="str">
        <f t="shared" si="5"/>
        <v/>
      </c>
      <c r="O18" s="35"/>
      <c r="P18" s="43"/>
      <c r="Q18" s="150" t="str">
        <f t="shared" si="6"/>
        <v/>
      </c>
      <c r="R18" s="47" t="str">
        <f>IFERROR(INDEX(PRENOTAZIONI!$R:$R,SMALL(PRENOTAZIONI!$Z:$Z,15)),"")</f>
        <v/>
      </c>
      <c r="S18" s="102"/>
      <c r="T18" s="99" t="str">
        <f>IFERROR(INDEX(PRENOTAZIONI!$A:$A,SMALL(PRENOTAZIONI!$AN:$AN,15)),"")</f>
        <v/>
      </c>
      <c r="U18" s="31" t="str">
        <f>IFERROR(INDEX(PRENOTAZIONI!$B:$B,SMALL(PRENOTAZIONI!$AN:$AN,15)),"")</f>
        <v/>
      </c>
      <c r="V18" s="32" t="str">
        <f t="shared" si="7"/>
        <v/>
      </c>
      <c r="W18" s="34" t="str">
        <f>IFERROR(INDEX(PRENOTAZIONI!$E:$E,SMALL(PRENOTAZIONI!$AN:$AN,15)),"")</f>
        <v/>
      </c>
      <c r="X18" s="34" t="str">
        <f>IFERROR(INDEX(PRENOTAZIONI!$F:$F,SMALL(PRENOTAZIONI!$AN:$AN,15)),"")</f>
        <v/>
      </c>
      <c r="Y18" s="35" t="str">
        <f>IFERROR(INDEX(PRENOTAZIONI!$H:$H,SMALL(PRENOTAZIONI!$AN:$AN,15)),"")</f>
        <v/>
      </c>
      <c r="Z18" s="34" t="str">
        <f>IFERROR(INDEX(PRENOTAZIONI!$K:$K,SMALL(PRENOTAZIONI!$AN:$AN,15)),"")</f>
        <v/>
      </c>
      <c r="AA18" s="34"/>
      <c r="AB18" s="34"/>
      <c r="AC18" s="40" t="str">
        <f t="shared" si="8"/>
        <v/>
      </c>
      <c r="AD18" s="41" t="str">
        <f t="shared" si="9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IFERROR(INDEX(PRENOTAZIONI!$A:$A,SMALL(PRENOTAZIONI!$Z:$Z,16)),"")</f>
        <v/>
      </c>
      <c r="B19" s="31" t="str">
        <f>IFERROR(INDEX(PRENOTAZIONI!$B:$B,SMALL(PRENOTAZIONI!$Z:$Z,16)),"")</f>
        <v/>
      </c>
      <c r="C19" s="32" t="str">
        <f t="shared" si="0"/>
        <v/>
      </c>
      <c r="D19" s="34" t="str">
        <f>IFERROR(INDEX(PRENOTAZIONI!$E:$E,SMALL(PRENOTAZIONI!$Z:$Z,16)),"")</f>
        <v/>
      </c>
      <c r="E19" s="34" t="str">
        <f>IFERROR(INDEX(PRENOTAZIONI!$F:$F,SMALL(PRENOTAZIONI!$Z:$Z,16)),"")</f>
        <v/>
      </c>
      <c r="F19" s="34" t="str">
        <f>IFERROR(INDEX(PRENOTAZIONI!$G:$G,SMALL(PRENOTAZIONI!$Z:$Z,16)),"")</f>
        <v/>
      </c>
      <c r="G19" s="35" t="str">
        <f>IFERROR(INDEX(PRENOTAZIONI!$H:$H,SMALL(PRENOTAZIONI!$Z:$Z,16)),"")</f>
        <v/>
      </c>
      <c r="H19" s="146" t="str">
        <f t="shared" si="1"/>
        <v/>
      </c>
      <c r="I19" s="35" t="str">
        <f t="shared" si="2"/>
        <v/>
      </c>
      <c r="J19" s="149" t="str">
        <f t="shared" si="3"/>
        <v/>
      </c>
      <c r="K19" s="34" t="str">
        <f>IFERROR(INDEX(PRENOTAZIONI!$K:$K,SMALL(PRENOTAZIONI!$Z:$Z,16)),"")</f>
        <v/>
      </c>
      <c r="L19" s="35" t="str">
        <f>IFERROR(INDEX(PRENOTAZIONI!$L:$L,SMALL(PRENOTAZIONI!$Z:$Z,16)),"")</f>
        <v/>
      </c>
      <c r="M19" s="150" t="str">
        <f t="shared" si="4"/>
        <v/>
      </c>
      <c r="N19" s="35" t="str">
        <f t="shared" si="5"/>
        <v/>
      </c>
      <c r="O19" s="35"/>
      <c r="P19" s="43"/>
      <c r="Q19" s="150" t="str">
        <f t="shared" si="6"/>
        <v/>
      </c>
      <c r="R19" s="47" t="str">
        <f>IFERROR(INDEX(PRENOTAZIONI!$R:$R,SMALL(PRENOTAZIONI!$Z:$Z,16)),"")</f>
        <v/>
      </c>
      <c r="S19" s="102"/>
      <c r="T19" s="99" t="str">
        <f>IFERROR(INDEX(PRENOTAZIONI!$A:$A,SMALL(PRENOTAZIONI!$AN:$AN,16)),"")</f>
        <v/>
      </c>
      <c r="U19" s="31" t="str">
        <f>IFERROR(INDEX(PRENOTAZIONI!$B:$B,SMALL(PRENOTAZIONI!$AN:$AN,16)),"")</f>
        <v/>
      </c>
      <c r="V19" s="32" t="str">
        <f t="shared" si="7"/>
        <v/>
      </c>
      <c r="W19" s="34" t="str">
        <f>IFERROR(INDEX(PRENOTAZIONI!$E:$E,SMALL(PRENOTAZIONI!$AN:$AN,16)),"")</f>
        <v/>
      </c>
      <c r="X19" s="34" t="str">
        <f>IFERROR(INDEX(PRENOTAZIONI!$F:$F,SMALL(PRENOTAZIONI!$AN:$AN,16)),"")</f>
        <v/>
      </c>
      <c r="Y19" s="35" t="str">
        <f>IFERROR(INDEX(PRENOTAZIONI!$H:$H,SMALL(PRENOTAZIONI!$AN:$AN,16)),"")</f>
        <v/>
      </c>
      <c r="Z19" s="34" t="str">
        <f>IFERROR(INDEX(PRENOTAZIONI!$K:$K,SMALL(PRENOTAZIONI!$AN:$AN,16)),"")</f>
        <v/>
      </c>
      <c r="AA19" s="34"/>
      <c r="AB19" s="34"/>
      <c r="AC19" s="40" t="str">
        <f t="shared" si="8"/>
        <v/>
      </c>
      <c r="AD19" s="41" t="str">
        <f t="shared" si="9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IFERROR(INDEX(PRENOTAZIONI!$A:$A,SMALL(PRENOTAZIONI!$Z:$Z,17)),"")</f>
        <v/>
      </c>
      <c r="B20" s="31" t="str">
        <f>IFERROR(INDEX(PRENOTAZIONI!$B:$B,SMALL(PRENOTAZIONI!$Z:$Z,17)),"")</f>
        <v/>
      </c>
      <c r="C20" s="32" t="str">
        <f t="shared" si="0"/>
        <v/>
      </c>
      <c r="D20" s="34" t="str">
        <f>IFERROR(INDEX(PRENOTAZIONI!$E:$E,SMALL(PRENOTAZIONI!$Z:$Z,17)),"")</f>
        <v/>
      </c>
      <c r="E20" s="34" t="str">
        <f>IFERROR(INDEX(PRENOTAZIONI!$F:$F,SMALL(PRENOTAZIONI!$Z:$Z,17)),"")</f>
        <v/>
      </c>
      <c r="F20" s="34" t="str">
        <f>IFERROR(INDEX(PRENOTAZIONI!$G:$G,SMALL(PRENOTAZIONI!$Z:$Z,17)),"")</f>
        <v/>
      </c>
      <c r="G20" s="35" t="str">
        <f>IFERROR(INDEX(PRENOTAZIONI!$H:$H,SMALL(PRENOTAZIONI!$Z:$Z,17)),"")</f>
        <v/>
      </c>
      <c r="H20" s="146" t="str">
        <f t="shared" si="1"/>
        <v/>
      </c>
      <c r="I20" s="35" t="str">
        <f t="shared" si="2"/>
        <v/>
      </c>
      <c r="J20" s="149" t="str">
        <f t="shared" si="3"/>
        <v/>
      </c>
      <c r="K20" s="34" t="str">
        <f>IFERROR(INDEX(PRENOTAZIONI!$K:$K,SMALL(PRENOTAZIONI!$Z:$Z,17)),"")</f>
        <v/>
      </c>
      <c r="L20" s="35" t="str">
        <f>IFERROR(INDEX(PRENOTAZIONI!$L:$L,SMALL(PRENOTAZIONI!$Z:$Z,17)),"")</f>
        <v/>
      </c>
      <c r="M20" s="150" t="str">
        <f t="shared" si="4"/>
        <v/>
      </c>
      <c r="N20" s="35" t="str">
        <f t="shared" si="5"/>
        <v/>
      </c>
      <c r="O20" s="35"/>
      <c r="P20" s="43"/>
      <c r="Q20" s="150" t="str">
        <f t="shared" si="6"/>
        <v/>
      </c>
      <c r="R20" s="47" t="str">
        <f>IFERROR(INDEX(PRENOTAZIONI!$R:$R,SMALL(PRENOTAZIONI!$Z:$Z,17)),"")</f>
        <v/>
      </c>
      <c r="S20" s="102"/>
      <c r="T20" s="99" t="str">
        <f>IFERROR(INDEX(PRENOTAZIONI!$A:$A,SMALL(PRENOTAZIONI!$AN:$AN,17)),"")</f>
        <v/>
      </c>
      <c r="U20" s="31" t="str">
        <f>IFERROR(INDEX(PRENOTAZIONI!$B:$B,SMALL(PRENOTAZIONI!$AN:$AN,17)),"")</f>
        <v/>
      </c>
      <c r="V20" s="32" t="str">
        <f t="shared" si="7"/>
        <v/>
      </c>
      <c r="W20" s="34" t="str">
        <f>IFERROR(INDEX(PRENOTAZIONI!$E:$E,SMALL(PRENOTAZIONI!$AN:$AN,17)),"")</f>
        <v/>
      </c>
      <c r="X20" s="34" t="str">
        <f>IFERROR(INDEX(PRENOTAZIONI!$F:$F,SMALL(PRENOTAZIONI!$AN:$AN,17)),"")</f>
        <v/>
      </c>
      <c r="Y20" s="35" t="str">
        <f>IFERROR(INDEX(PRENOTAZIONI!$H:$H,SMALL(PRENOTAZIONI!$AN:$AN,17)),"")</f>
        <v/>
      </c>
      <c r="Z20" s="34" t="str">
        <f>IFERROR(INDEX(PRENOTAZIONI!$K:$K,SMALL(PRENOTAZIONI!$AN:$AN,17)),"")</f>
        <v/>
      </c>
      <c r="AA20" s="34"/>
      <c r="AB20" s="34"/>
      <c r="AC20" s="40" t="str">
        <f t="shared" si="8"/>
        <v/>
      </c>
      <c r="AD20" s="41" t="str">
        <f t="shared" si="9"/>
        <v/>
      </c>
    </row>
    <row r="21" spans="1:42" ht="22" customHeight="1" x14ac:dyDescent="0.2">
      <c r="A21" s="31" t="str">
        <f>IFERROR(INDEX(PRENOTAZIONI!$A:$A,SMALL(PRENOTAZIONI!$Z:$Z,18)),"")</f>
        <v/>
      </c>
      <c r="B21" s="31" t="str">
        <f>IFERROR(INDEX(PRENOTAZIONI!$B:$B,SMALL(PRENOTAZIONI!$Z:$Z,18)),"")</f>
        <v/>
      </c>
      <c r="C21" s="32" t="str">
        <f t="shared" si="0"/>
        <v/>
      </c>
      <c r="D21" s="34" t="str">
        <f>IFERROR(INDEX(PRENOTAZIONI!$E:$E,SMALL(PRENOTAZIONI!$Z:$Z,18)),"")</f>
        <v/>
      </c>
      <c r="E21" s="34" t="str">
        <f>IFERROR(INDEX(PRENOTAZIONI!$F:$F,SMALL(PRENOTAZIONI!$Z:$Z,18)),"")</f>
        <v/>
      </c>
      <c r="F21" s="34" t="str">
        <f>IFERROR(INDEX(PRENOTAZIONI!$G:$G,SMALL(PRENOTAZIONI!$Z:$Z,18)),"")</f>
        <v/>
      </c>
      <c r="G21" s="35" t="str">
        <f>IFERROR(INDEX(PRENOTAZIONI!$H:$H,SMALL(PRENOTAZIONI!$Z:$Z,18)),"")</f>
        <v/>
      </c>
      <c r="H21" s="146" t="str">
        <f t="shared" si="1"/>
        <v/>
      </c>
      <c r="I21" s="35" t="str">
        <f t="shared" si="2"/>
        <v/>
      </c>
      <c r="J21" s="149" t="str">
        <f t="shared" si="3"/>
        <v/>
      </c>
      <c r="K21" s="34" t="str">
        <f>IFERROR(INDEX(PRENOTAZIONI!$K:$K,SMALL(PRENOTAZIONI!$Z:$Z,18)),"")</f>
        <v/>
      </c>
      <c r="L21" s="35" t="str">
        <f>IFERROR(INDEX(PRENOTAZIONI!$L:$L,SMALL(PRENOTAZIONI!$Z:$Z,18)),"")</f>
        <v/>
      </c>
      <c r="M21" s="150" t="str">
        <f t="shared" si="4"/>
        <v/>
      </c>
      <c r="N21" s="35" t="str">
        <f t="shared" si="5"/>
        <v/>
      </c>
      <c r="O21" s="35"/>
      <c r="P21" s="43"/>
      <c r="Q21" s="150" t="str">
        <f t="shared" si="6"/>
        <v/>
      </c>
      <c r="R21" s="47" t="str">
        <f>IFERROR(INDEX(PRENOTAZIONI!$R:$R,SMALL(PRENOTAZIONI!$Z:$Z,18)),"")</f>
        <v/>
      </c>
      <c r="S21" s="102"/>
      <c r="T21" s="99" t="str">
        <f>IFERROR(INDEX(PRENOTAZIONI!$A:$A,SMALL(PRENOTAZIONI!$AN:$AN,18)),"")</f>
        <v/>
      </c>
      <c r="U21" s="31" t="str">
        <f>IFERROR(INDEX(PRENOTAZIONI!$B:$B,SMALL(PRENOTAZIONI!$AN:$AN,18)),"")</f>
        <v/>
      </c>
      <c r="V21" s="32" t="str">
        <f t="shared" si="7"/>
        <v/>
      </c>
      <c r="W21" s="34" t="str">
        <f>IFERROR(INDEX(PRENOTAZIONI!$E:$E,SMALL(PRENOTAZIONI!$AN:$AN,18)),"")</f>
        <v/>
      </c>
      <c r="X21" s="34" t="str">
        <f>IFERROR(INDEX(PRENOTAZIONI!$F:$F,SMALL(PRENOTAZIONI!$AN:$AN,18)),"")</f>
        <v/>
      </c>
      <c r="Y21" s="35" t="str">
        <f>IFERROR(INDEX(PRENOTAZIONI!$H:$H,SMALL(PRENOTAZIONI!$AN:$AN,18)),"")</f>
        <v/>
      </c>
      <c r="Z21" s="34" t="str">
        <f>IFERROR(INDEX(PRENOTAZIONI!$K:$K,SMALL(PRENOTAZIONI!$AN:$AN,18)),"")</f>
        <v/>
      </c>
      <c r="AA21" s="34"/>
      <c r="AB21" s="34"/>
      <c r="AC21" s="40" t="str">
        <f t="shared" si="8"/>
        <v/>
      </c>
      <c r="AD21" s="41" t="str">
        <f t="shared" si="9"/>
        <v/>
      </c>
    </row>
    <row r="22" spans="1:42" ht="22" customHeight="1" x14ac:dyDescent="0.2">
      <c r="A22" s="31" t="str">
        <f>IFERROR(INDEX(PRENOTAZIONI!$A:$A,SMALL(PRENOTAZIONI!$Z:$Z,19)),"")</f>
        <v/>
      </c>
      <c r="B22" s="31" t="str">
        <f>IFERROR(INDEX(PRENOTAZIONI!$B:$B,SMALL(PRENOTAZIONI!$Z:$Z,19)),"")</f>
        <v/>
      </c>
      <c r="C22" s="32" t="str">
        <f t="shared" si="0"/>
        <v/>
      </c>
      <c r="D22" s="34" t="str">
        <f>IFERROR(INDEX(PRENOTAZIONI!$E:$E,SMALL(PRENOTAZIONI!$Z:$Z,19)),"")</f>
        <v/>
      </c>
      <c r="E22" s="34" t="str">
        <f>IFERROR(INDEX(PRENOTAZIONI!$F:$F,SMALL(PRENOTAZIONI!$Z:$Z,19)),"")</f>
        <v/>
      </c>
      <c r="F22" s="34" t="str">
        <f>IFERROR(INDEX(PRENOTAZIONI!$G:$G,SMALL(PRENOTAZIONI!$Z:$Z,19)),"")</f>
        <v/>
      </c>
      <c r="G22" s="35" t="str">
        <f>IFERROR(INDEX(PRENOTAZIONI!$H:$H,SMALL(PRENOTAZIONI!$Z:$Z,19)),"")</f>
        <v/>
      </c>
      <c r="H22" s="146" t="str">
        <f t="shared" si="1"/>
        <v/>
      </c>
      <c r="I22" s="35" t="str">
        <f t="shared" si="2"/>
        <v/>
      </c>
      <c r="J22" s="149" t="str">
        <f t="shared" si="3"/>
        <v/>
      </c>
      <c r="K22" s="34" t="str">
        <f>IFERROR(INDEX(PRENOTAZIONI!$K:$K,SMALL(PRENOTAZIONI!$Z:$Z,19)),"")</f>
        <v/>
      </c>
      <c r="L22" s="35" t="str">
        <f>IFERROR(INDEX(PRENOTAZIONI!$L:$L,SMALL(PRENOTAZIONI!$Z:$Z,19)),"")</f>
        <v/>
      </c>
      <c r="M22" s="150" t="str">
        <f t="shared" si="4"/>
        <v/>
      </c>
      <c r="N22" s="35" t="str">
        <f t="shared" si="5"/>
        <v/>
      </c>
      <c r="O22" s="35"/>
      <c r="P22" s="43"/>
      <c r="Q22" s="150" t="str">
        <f t="shared" si="6"/>
        <v/>
      </c>
      <c r="R22" s="47" t="str">
        <f>IFERROR(INDEX(PRENOTAZIONI!$R:$R,SMALL(PRENOTAZIONI!$Z:$Z,19)),"")</f>
        <v/>
      </c>
      <c r="S22" s="102"/>
      <c r="T22" s="99" t="str">
        <f>IFERROR(INDEX(PRENOTAZIONI!$A:$A,SMALL(PRENOTAZIONI!$AN:$AN,19)),"")</f>
        <v/>
      </c>
      <c r="U22" s="31" t="str">
        <f>IFERROR(INDEX(PRENOTAZIONI!$B:$B,SMALL(PRENOTAZIONI!$AN:$AN,19)),"")</f>
        <v/>
      </c>
      <c r="V22" s="32" t="str">
        <f t="shared" si="7"/>
        <v/>
      </c>
      <c r="W22" s="34" t="str">
        <f>IFERROR(INDEX(PRENOTAZIONI!$E:$E,SMALL(PRENOTAZIONI!$AN:$AN,19)),"")</f>
        <v/>
      </c>
      <c r="X22" s="34" t="str">
        <f>IFERROR(INDEX(PRENOTAZIONI!$F:$F,SMALL(PRENOTAZIONI!$AN:$AN,19)),"")</f>
        <v/>
      </c>
      <c r="Y22" s="35" t="str">
        <f>IFERROR(INDEX(PRENOTAZIONI!$H:$H,SMALL(PRENOTAZIONI!$AN:$AN,19)),"")</f>
        <v/>
      </c>
      <c r="Z22" s="34" t="str">
        <f>IFERROR(INDEX(PRENOTAZIONI!$K:$K,SMALL(PRENOTAZIONI!$AN:$AN,19)),"")</f>
        <v/>
      </c>
      <c r="AA22" s="34"/>
      <c r="AB22" s="34"/>
      <c r="AC22" s="40" t="str">
        <f t="shared" si="8"/>
        <v/>
      </c>
      <c r="AD22" s="41" t="str">
        <f t="shared" si="9"/>
        <v/>
      </c>
    </row>
    <row r="23" spans="1:42" ht="22" customHeight="1" x14ac:dyDescent="0.2">
      <c r="A23" s="31" t="str">
        <f>IFERROR(INDEX(PRENOTAZIONI!$A:$A,SMALL(PRENOTAZIONI!$Z:$Z,20)),"")</f>
        <v/>
      </c>
      <c r="B23" s="31" t="str">
        <f>IFERROR(INDEX(PRENOTAZIONI!$B:$B,SMALL(PRENOTAZIONI!$Z:$Z,20)),"")</f>
        <v/>
      </c>
      <c r="C23" s="32" t="str">
        <f t="shared" si="0"/>
        <v/>
      </c>
      <c r="D23" s="34" t="str">
        <f>IFERROR(INDEX(PRENOTAZIONI!$E:$E,SMALL(PRENOTAZIONI!$Z:$Z,20)),"")</f>
        <v/>
      </c>
      <c r="E23" s="34" t="str">
        <f>IFERROR(INDEX(PRENOTAZIONI!$F:$F,SMALL(PRENOTAZIONI!$Z:$Z,20)),"")</f>
        <v/>
      </c>
      <c r="F23" s="34" t="str">
        <f>IFERROR(INDEX(PRENOTAZIONI!$G:$G,SMALL(PRENOTAZIONI!$Z:$Z,20)),"")</f>
        <v/>
      </c>
      <c r="G23" s="35" t="str">
        <f>IFERROR(INDEX(PRENOTAZIONI!$H:$H,SMALL(PRENOTAZIONI!$Z:$Z,20)),"")</f>
        <v/>
      </c>
      <c r="H23" s="146" t="str">
        <f t="shared" si="1"/>
        <v/>
      </c>
      <c r="I23" s="35" t="str">
        <f t="shared" si="2"/>
        <v/>
      </c>
      <c r="J23" s="149" t="str">
        <f t="shared" si="3"/>
        <v/>
      </c>
      <c r="K23" s="34" t="str">
        <f>IFERROR(INDEX(PRENOTAZIONI!$K:$K,SMALL(PRENOTAZIONI!$Z:$Z,20)),"")</f>
        <v/>
      </c>
      <c r="L23" s="35" t="str">
        <f>IFERROR(INDEX(PRENOTAZIONI!$L:$L,SMALL(PRENOTAZIONI!$Z:$Z,20)),"")</f>
        <v/>
      </c>
      <c r="M23" s="150" t="str">
        <f t="shared" si="4"/>
        <v/>
      </c>
      <c r="N23" s="35" t="str">
        <f t="shared" si="5"/>
        <v/>
      </c>
      <c r="O23" s="35"/>
      <c r="P23" s="43"/>
      <c r="Q23" s="150" t="str">
        <f t="shared" si="6"/>
        <v/>
      </c>
      <c r="R23" s="47" t="str">
        <f>IFERROR(INDEX(PRENOTAZIONI!$R:$R,SMALL(PRENOTAZIONI!$Z:$Z,20)),"")</f>
        <v/>
      </c>
      <c r="S23" s="102"/>
      <c r="T23" s="99" t="str">
        <f>IFERROR(INDEX(PRENOTAZIONI!$A:$A,SMALL(PRENOTAZIONI!$AN:$AN,20)),"")</f>
        <v/>
      </c>
      <c r="U23" s="31" t="str">
        <f>IFERROR(INDEX(PRENOTAZIONI!$B:$B,SMALL(PRENOTAZIONI!$AN:$AN,20)),"")</f>
        <v/>
      </c>
      <c r="V23" s="32" t="str">
        <f t="shared" si="7"/>
        <v/>
      </c>
      <c r="W23" s="34" t="str">
        <f>IFERROR(INDEX(PRENOTAZIONI!$E:$E,SMALL(PRENOTAZIONI!$AN:$AN,20)),"")</f>
        <v/>
      </c>
      <c r="X23" s="34" t="str">
        <f>IFERROR(INDEX(PRENOTAZIONI!$F:$F,SMALL(PRENOTAZIONI!$AN:$AN,20)),"")</f>
        <v/>
      </c>
      <c r="Y23" s="35" t="str">
        <f>IFERROR(INDEX(PRENOTAZIONI!$H:$H,SMALL(PRENOTAZIONI!$AN:$AN,20)),"")</f>
        <v/>
      </c>
      <c r="Z23" s="34" t="str">
        <f>IFERROR(INDEX(PRENOTAZIONI!$K:$K,SMALL(PRENOTAZIONI!$AN:$AN,20)),"")</f>
        <v/>
      </c>
      <c r="AA23" s="34"/>
      <c r="AB23" s="34"/>
      <c r="AC23" s="40" t="str">
        <f t="shared" si="8"/>
        <v/>
      </c>
      <c r="AD23" s="41" t="str">
        <f t="shared" si="9"/>
        <v/>
      </c>
    </row>
    <row r="24" spans="1:42" ht="22" customHeight="1" x14ac:dyDescent="0.2">
      <c r="A24" s="31" t="str">
        <f>IFERROR(INDEX(PRENOTAZIONI!$A:$A,SMALL(PRENOTAZIONI!$Z:$Z,21)),"")</f>
        <v/>
      </c>
      <c r="B24" s="31" t="str">
        <f>IFERROR(INDEX(PRENOTAZIONI!$B:$B,SMALL(PRENOTAZIONI!$Z:$Z,21)),"")</f>
        <v/>
      </c>
      <c r="C24" s="32" t="str">
        <f t="shared" si="0"/>
        <v/>
      </c>
      <c r="D24" s="34" t="str">
        <f>IFERROR(INDEX(PRENOTAZIONI!$E:$E,SMALL(PRENOTAZIONI!$Z:$Z,21)),"")</f>
        <v/>
      </c>
      <c r="E24" s="34" t="str">
        <f>IFERROR(INDEX(PRENOTAZIONI!$F:$F,SMALL(PRENOTAZIONI!$Z:$Z,21)),"")</f>
        <v/>
      </c>
      <c r="F24" s="34" t="str">
        <f>IFERROR(INDEX(PRENOTAZIONI!$G:$G,SMALL(PRENOTAZIONI!$Z:$Z,21)),"")</f>
        <v/>
      </c>
      <c r="G24" s="35" t="str">
        <f>IFERROR(INDEX(PRENOTAZIONI!$H:$H,SMALL(PRENOTAZIONI!$Z:$Z,21)),"")</f>
        <v/>
      </c>
      <c r="H24" s="146" t="str">
        <f t="shared" si="1"/>
        <v/>
      </c>
      <c r="I24" s="35" t="str">
        <f t="shared" si="2"/>
        <v/>
      </c>
      <c r="J24" s="149" t="str">
        <f t="shared" si="3"/>
        <v/>
      </c>
      <c r="K24" s="34" t="str">
        <f>IFERROR(INDEX(PRENOTAZIONI!$K:$K,SMALL(PRENOTAZIONI!$Z:$Z,21)),"")</f>
        <v/>
      </c>
      <c r="L24" s="35" t="str">
        <f>IFERROR(INDEX(PRENOTAZIONI!$L:$L,SMALL(PRENOTAZIONI!$Z:$Z,21)),"")</f>
        <v/>
      </c>
      <c r="M24" s="150" t="str">
        <f t="shared" si="4"/>
        <v/>
      </c>
      <c r="N24" s="35" t="str">
        <f t="shared" si="5"/>
        <v/>
      </c>
      <c r="O24" s="35"/>
      <c r="P24" s="43"/>
      <c r="Q24" s="150" t="str">
        <f t="shared" si="6"/>
        <v/>
      </c>
      <c r="R24" s="47" t="str">
        <f>IFERROR(INDEX(PRENOTAZIONI!$R:$R,SMALL(PRENOTAZIONI!$Z:$Z,21)),"")</f>
        <v/>
      </c>
      <c r="S24" s="102"/>
      <c r="T24" s="99" t="str">
        <f>IFERROR(INDEX(PRENOTAZIONI!$A:$A,SMALL(PRENOTAZIONI!$AN:$AN,21)),"")</f>
        <v/>
      </c>
      <c r="U24" s="31" t="str">
        <f>IFERROR(INDEX(PRENOTAZIONI!$B:$B,SMALL(PRENOTAZIONI!$AN:$AN,21)),"")</f>
        <v/>
      </c>
      <c r="V24" s="32" t="str">
        <f t="shared" si="7"/>
        <v/>
      </c>
      <c r="W24" s="34" t="str">
        <f>IFERROR(INDEX(PRENOTAZIONI!$E:$E,SMALL(PRENOTAZIONI!$AN:$AN,21)),"")</f>
        <v/>
      </c>
      <c r="X24" s="34" t="str">
        <f>IFERROR(INDEX(PRENOTAZIONI!$F:$F,SMALL(PRENOTAZIONI!$AN:$AN,21)),"")</f>
        <v/>
      </c>
      <c r="Y24" s="35" t="str">
        <f>IFERROR(INDEX(PRENOTAZIONI!$H:$H,SMALL(PRENOTAZIONI!$AN:$AN,21)),"")</f>
        <v/>
      </c>
      <c r="Z24" s="34" t="str">
        <f>IFERROR(INDEX(PRENOTAZIONI!$K:$K,SMALL(PRENOTAZIONI!$AN:$AN,21)),"")</f>
        <v/>
      </c>
      <c r="AA24" s="34"/>
      <c r="AB24" s="34"/>
      <c r="AC24" s="40" t="str">
        <f t="shared" si="8"/>
        <v/>
      </c>
      <c r="AD24" s="41" t="str">
        <f t="shared" si="9"/>
        <v/>
      </c>
    </row>
    <row r="25" spans="1:42" ht="22" customHeight="1" x14ac:dyDescent="0.2">
      <c r="A25" s="31" t="str">
        <f>IFERROR(INDEX(PRENOTAZIONI!$A:$A,SMALL(PRENOTAZIONI!$Z:$Z,22)),"")</f>
        <v/>
      </c>
      <c r="B25" s="31" t="str">
        <f>IFERROR(INDEX(PRENOTAZIONI!$B:$B,SMALL(PRENOTAZIONI!$Z:$Z,22)),"")</f>
        <v/>
      </c>
      <c r="C25" s="32" t="str">
        <f t="shared" si="0"/>
        <v/>
      </c>
      <c r="D25" s="34" t="str">
        <f>IFERROR(INDEX(PRENOTAZIONI!$E:$E,SMALL(PRENOTAZIONI!$Z:$Z,22)),"")</f>
        <v/>
      </c>
      <c r="E25" s="34" t="str">
        <f>IFERROR(INDEX(PRENOTAZIONI!$F:$F,SMALL(PRENOTAZIONI!$Z:$Z,22)),"")</f>
        <v/>
      </c>
      <c r="F25" s="34" t="str">
        <f>IFERROR(INDEX(PRENOTAZIONI!$G:$G,SMALL(PRENOTAZIONI!$Z:$Z,22)),"")</f>
        <v/>
      </c>
      <c r="G25" s="35" t="str">
        <f>IFERROR(INDEX(PRENOTAZIONI!$H:$H,SMALL(PRENOTAZIONI!$Z:$Z,22)),"")</f>
        <v/>
      </c>
      <c r="H25" s="146" t="str">
        <f t="shared" si="1"/>
        <v/>
      </c>
      <c r="I25" s="35" t="str">
        <f t="shared" si="2"/>
        <v/>
      </c>
      <c r="J25" s="149" t="str">
        <f t="shared" si="3"/>
        <v/>
      </c>
      <c r="K25" s="34" t="str">
        <f>IFERROR(INDEX(PRENOTAZIONI!$K:$K,SMALL(PRENOTAZIONI!$Z:$Z,22)),"")</f>
        <v/>
      </c>
      <c r="L25" s="35" t="str">
        <f>IFERROR(INDEX(PRENOTAZIONI!$L:$L,SMALL(PRENOTAZIONI!$Z:$Z,22)),"")</f>
        <v/>
      </c>
      <c r="M25" s="150" t="str">
        <f t="shared" si="4"/>
        <v/>
      </c>
      <c r="N25" s="35" t="str">
        <f t="shared" si="5"/>
        <v/>
      </c>
      <c r="O25" s="35"/>
      <c r="P25" s="43"/>
      <c r="Q25" s="150" t="str">
        <f t="shared" si="6"/>
        <v/>
      </c>
      <c r="R25" s="47" t="str">
        <f>IFERROR(INDEX(PRENOTAZIONI!$R:$R,SMALL(PRENOTAZIONI!$Z:$Z,22)),"")</f>
        <v/>
      </c>
      <c r="S25" s="102"/>
      <c r="T25" s="99" t="str">
        <f>IFERROR(INDEX(PRENOTAZIONI!$A:$A,SMALL(PRENOTAZIONI!$AN:$AN,22)),"")</f>
        <v/>
      </c>
      <c r="U25" s="31" t="str">
        <f>IFERROR(INDEX(PRENOTAZIONI!$B:$B,SMALL(PRENOTAZIONI!$AN:$AN,22)),"")</f>
        <v/>
      </c>
      <c r="V25" s="32" t="str">
        <f t="shared" si="7"/>
        <v/>
      </c>
      <c r="W25" s="34" t="str">
        <f>IFERROR(INDEX(PRENOTAZIONI!$E:$E,SMALL(PRENOTAZIONI!$AN:$AN,22)),"")</f>
        <v/>
      </c>
      <c r="X25" s="34" t="str">
        <f>IFERROR(INDEX(PRENOTAZIONI!$F:$F,SMALL(PRENOTAZIONI!$AN:$AN,22)),"")</f>
        <v/>
      </c>
      <c r="Y25" s="35" t="str">
        <f>IFERROR(INDEX(PRENOTAZIONI!$H:$H,SMALL(PRENOTAZIONI!$AN:$AN,22)),"")</f>
        <v/>
      </c>
      <c r="Z25" s="34" t="str">
        <f>IFERROR(INDEX(PRENOTAZIONI!$K:$K,SMALL(PRENOTAZIONI!$AN:$AN,22)),"")</f>
        <v/>
      </c>
      <c r="AA25" s="34"/>
      <c r="AB25" s="34"/>
      <c r="AC25" s="40" t="str">
        <f t="shared" si="8"/>
        <v/>
      </c>
      <c r="AD25" s="41" t="str">
        <f t="shared" si="9"/>
        <v/>
      </c>
    </row>
    <row r="26" spans="1:42" ht="22" customHeight="1" x14ac:dyDescent="0.2">
      <c r="A26" s="31" t="str">
        <f>IFERROR(INDEX(PRENOTAZIONI!$A:$A,SMALL(PRENOTAZIONI!$Z:$Z,23)),"")</f>
        <v/>
      </c>
      <c r="B26" s="31" t="str">
        <f>IFERROR(INDEX(PRENOTAZIONI!$B:$B,SMALL(PRENOTAZIONI!$Z:$Z,23)),"")</f>
        <v/>
      </c>
      <c r="C26" s="32" t="str">
        <f t="shared" si="0"/>
        <v/>
      </c>
      <c r="D26" s="34" t="str">
        <f>IFERROR(INDEX(PRENOTAZIONI!$E:$E,SMALL(PRENOTAZIONI!$Z:$Z,23)),"")</f>
        <v/>
      </c>
      <c r="E26" s="34" t="str">
        <f>IFERROR(INDEX(PRENOTAZIONI!$F:$F,SMALL(PRENOTAZIONI!$Z:$Z,23)),"")</f>
        <v/>
      </c>
      <c r="F26" s="34" t="str">
        <f>IFERROR(INDEX(PRENOTAZIONI!$G:$G,SMALL(PRENOTAZIONI!$Z:$Z,23)),"")</f>
        <v/>
      </c>
      <c r="G26" s="35" t="str">
        <f>IFERROR(INDEX(PRENOTAZIONI!$H:$H,SMALL(PRENOTAZIONI!$Z:$Z,23)),"")</f>
        <v/>
      </c>
      <c r="H26" s="146" t="str">
        <f t="shared" si="1"/>
        <v/>
      </c>
      <c r="I26" s="35" t="str">
        <f t="shared" si="2"/>
        <v/>
      </c>
      <c r="J26" s="149" t="str">
        <f t="shared" si="3"/>
        <v/>
      </c>
      <c r="K26" s="34" t="str">
        <f>IFERROR(INDEX(PRENOTAZIONI!$K:$K,SMALL(PRENOTAZIONI!$Z:$Z,23)),"")</f>
        <v/>
      </c>
      <c r="L26" s="35" t="str">
        <f>IFERROR(INDEX(PRENOTAZIONI!$L:$L,SMALL(PRENOTAZIONI!$Z:$Z,23)),"")</f>
        <v/>
      </c>
      <c r="M26" s="150" t="str">
        <f t="shared" si="4"/>
        <v/>
      </c>
      <c r="N26" s="35" t="str">
        <f t="shared" si="5"/>
        <v/>
      </c>
      <c r="O26" s="35"/>
      <c r="P26" s="43"/>
      <c r="Q26" s="150" t="str">
        <f t="shared" si="6"/>
        <v/>
      </c>
      <c r="R26" s="47" t="str">
        <f>IFERROR(INDEX(PRENOTAZIONI!$R:$R,SMALL(PRENOTAZIONI!$Z:$Z,23)),"")</f>
        <v/>
      </c>
      <c r="S26" s="102"/>
      <c r="T26" s="99" t="str">
        <f>IFERROR(INDEX(PRENOTAZIONI!$A:$A,SMALL(PRENOTAZIONI!$AN:$AN,23)),"")</f>
        <v/>
      </c>
      <c r="U26" s="31" t="str">
        <f>IFERROR(INDEX(PRENOTAZIONI!$B:$B,SMALL(PRENOTAZIONI!$AN:$AN,23)),"")</f>
        <v/>
      </c>
      <c r="V26" s="32" t="str">
        <f t="shared" si="7"/>
        <v/>
      </c>
      <c r="W26" s="34" t="str">
        <f>IFERROR(INDEX(PRENOTAZIONI!$E:$E,SMALL(PRENOTAZIONI!$AN:$AN,23)),"")</f>
        <v/>
      </c>
      <c r="X26" s="34" t="str">
        <f>IFERROR(INDEX(PRENOTAZIONI!$F:$F,SMALL(PRENOTAZIONI!$AN:$AN,23)),"")</f>
        <v/>
      </c>
      <c r="Y26" s="35" t="str">
        <f>IFERROR(INDEX(PRENOTAZIONI!$H:$H,SMALL(PRENOTAZIONI!$AN:$AN,23)),"")</f>
        <v/>
      </c>
      <c r="Z26" s="34" t="str">
        <f>IFERROR(INDEX(PRENOTAZIONI!$K:$K,SMALL(PRENOTAZIONI!$AN:$AN,23)),"")</f>
        <v/>
      </c>
      <c r="AA26" s="34"/>
      <c r="AB26" s="34"/>
      <c r="AC26" s="40" t="str">
        <f t="shared" si="8"/>
        <v/>
      </c>
      <c r="AD26" s="41" t="str">
        <f t="shared" si="9"/>
        <v/>
      </c>
    </row>
    <row r="27" spans="1:42" ht="22" customHeight="1" x14ac:dyDescent="0.2">
      <c r="A27" s="31" t="str">
        <f>IFERROR(INDEX(PRENOTAZIONI!$A:$A,SMALL(PRENOTAZIONI!$Z:$Z,24)),"")</f>
        <v/>
      </c>
      <c r="B27" s="31" t="str">
        <f>IFERROR(INDEX(PRENOTAZIONI!$B:$B,SMALL(PRENOTAZIONI!$Z:$Z,24)),"")</f>
        <v/>
      </c>
      <c r="C27" s="32" t="str">
        <f t="shared" si="0"/>
        <v/>
      </c>
      <c r="D27" s="34" t="str">
        <f>IFERROR(INDEX(PRENOTAZIONI!$E:$E,SMALL(PRENOTAZIONI!$Z:$Z,24)),"")</f>
        <v/>
      </c>
      <c r="E27" s="34" t="str">
        <f>IFERROR(INDEX(PRENOTAZIONI!$F:$F,SMALL(PRENOTAZIONI!$Z:$Z,24)),"")</f>
        <v/>
      </c>
      <c r="F27" s="34" t="str">
        <f>IFERROR(INDEX(PRENOTAZIONI!$G:$G,SMALL(PRENOTAZIONI!$Z:$Z,24)),"")</f>
        <v/>
      </c>
      <c r="G27" s="35" t="str">
        <f>IFERROR(INDEX(PRENOTAZIONI!$H:$H,SMALL(PRENOTAZIONI!$Z:$Z,24)),"")</f>
        <v/>
      </c>
      <c r="H27" s="146" t="str">
        <f t="shared" si="1"/>
        <v/>
      </c>
      <c r="I27" s="35" t="str">
        <f t="shared" si="2"/>
        <v/>
      </c>
      <c r="J27" s="149" t="str">
        <f t="shared" si="3"/>
        <v/>
      </c>
      <c r="K27" s="34" t="str">
        <f>IFERROR(INDEX(PRENOTAZIONI!$K:$K,SMALL(PRENOTAZIONI!$Z:$Z,24)),"")</f>
        <v/>
      </c>
      <c r="L27" s="35" t="str">
        <f>IFERROR(INDEX(PRENOTAZIONI!$L:$L,SMALL(PRENOTAZIONI!$Z:$Z,24)),"")</f>
        <v/>
      </c>
      <c r="M27" s="150" t="str">
        <f t="shared" si="4"/>
        <v/>
      </c>
      <c r="N27" s="35" t="str">
        <f t="shared" si="5"/>
        <v/>
      </c>
      <c r="O27" s="35"/>
      <c r="P27" s="43"/>
      <c r="Q27" s="150" t="str">
        <f t="shared" si="6"/>
        <v/>
      </c>
      <c r="R27" s="47" t="str">
        <f>IFERROR(INDEX(PRENOTAZIONI!$R:$R,SMALL(PRENOTAZIONI!$Z:$Z,24)),"")</f>
        <v/>
      </c>
      <c r="S27" s="102"/>
      <c r="T27" s="99" t="str">
        <f>IFERROR(INDEX(PRENOTAZIONI!$A:$A,SMALL(PRENOTAZIONI!$AN:$AN,24)),"")</f>
        <v/>
      </c>
      <c r="U27" s="31" t="str">
        <f>IFERROR(INDEX(PRENOTAZIONI!$B:$B,SMALL(PRENOTAZIONI!$AN:$AN,24)),"")</f>
        <v/>
      </c>
      <c r="V27" s="32" t="str">
        <f t="shared" si="7"/>
        <v/>
      </c>
      <c r="W27" s="34" t="str">
        <f>IFERROR(INDEX(PRENOTAZIONI!$E:$E,SMALL(PRENOTAZIONI!$AN:$AN,24)),"")</f>
        <v/>
      </c>
      <c r="X27" s="34" t="str">
        <f>IFERROR(INDEX(PRENOTAZIONI!$F:$F,SMALL(PRENOTAZIONI!$AN:$AN,24)),"")</f>
        <v/>
      </c>
      <c r="Y27" s="35" t="str">
        <f>IFERROR(INDEX(PRENOTAZIONI!$H:$H,SMALL(PRENOTAZIONI!$AN:$AN,24)),"")</f>
        <v/>
      </c>
      <c r="Z27" s="34" t="str">
        <f>IFERROR(INDEX(PRENOTAZIONI!$K:$K,SMALL(PRENOTAZIONI!$AN:$AN,24)),"")</f>
        <v/>
      </c>
      <c r="AA27" s="34"/>
      <c r="AB27" s="34"/>
      <c r="AC27" s="40" t="str">
        <f t="shared" si="8"/>
        <v/>
      </c>
      <c r="AD27" s="41" t="str">
        <f t="shared" si="9"/>
        <v/>
      </c>
    </row>
    <row r="28" spans="1:42" ht="22" customHeight="1" x14ac:dyDescent="0.2">
      <c r="A28" s="31" t="str">
        <f>IFERROR(INDEX(PRENOTAZIONI!$A:$A,SMALL(PRENOTAZIONI!$Z:$Z,25)),"")</f>
        <v/>
      </c>
      <c r="B28" s="31" t="str">
        <f>IFERROR(INDEX(PRENOTAZIONI!$B:$B,SMALL(PRENOTAZIONI!$Z:$Z,25)),"")</f>
        <v/>
      </c>
      <c r="C28" s="32" t="str">
        <f t="shared" si="0"/>
        <v/>
      </c>
      <c r="D28" s="34" t="str">
        <f>IFERROR(INDEX(PRENOTAZIONI!$E:$E,SMALL(PRENOTAZIONI!$Z:$Z,25)),"")</f>
        <v/>
      </c>
      <c r="E28" s="34" t="str">
        <f>IFERROR(INDEX(PRENOTAZIONI!$F:$F,SMALL(PRENOTAZIONI!$Z:$Z,25)),"")</f>
        <v/>
      </c>
      <c r="F28" s="34" t="str">
        <f>IFERROR(INDEX(PRENOTAZIONI!$G:$G,SMALL(PRENOTAZIONI!$Z:$Z,25)),"")</f>
        <v/>
      </c>
      <c r="G28" s="35" t="str">
        <f>IFERROR(INDEX(PRENOTAZIONI!$H:$H,SMALL(PRENOTAZIONI!$Z:$Z,25)),"")</f>
        <v/>
      </c>
      <c r="H28" s="146" t="str">
        <f t="shared" si="1"/>
        <v/>
      </c>
      <c r="I28" s="35" t="str">
        <f t="shared" si="2"/>
        <v/>
      </c>
      <c r="J28" s="149" t="str">
        <f t="shared" si="3"/>
        <v/>
      </c>
      <c r="K28" s="34" t="str">
        <f>IFERROR(INDEX(PRENOTAZIONI!$K:$K,SMALL(PRENOTAZIONI!$Z:$Z,25)),"")</f>
        <v/>
      </c>
      <c r="L28" s="35" t="str">
        <f>IFERROR(INDEX(PRENOTAZIONI!$L:$L,SMALL(PRENOTAZIONI!$Z:$Z,25)),"")</f>
        <v/>
      </c>
      <c r="M28" s="150" t="str">
        <f t="shared" si="4"/>
        <v/>
      </c>
      <c r="N28" s="35" t="str">
        <f t="shared" si="5"/>
        <v/>
      </c>
      <c r="O28" s="35"/>
      <c r="P28" s="43"/>
      <c r="Q28" s="150" t="str">
        <f t="shared" si="6"/>
        <v/>
      </c>
      <c r="R28" s="47" t="str">
        <f>IFERROR(INDEX(PRENOTAZIONI!$R:$R,SMALL(PRENOTAZIONI!$Z:$Z,25)),"")</f>
        <v/>
      </c>
      <c r="S28" s="102"/>
      <c r="T28" s="99" t="str">
        <f>IFERROR(INDEX(PRENOTAZIONI!$A:$A,SMALL(PRENOTAZIONI!$AN:$AN,25)),"")</f>
        <v/>
      </c>
      <c r="U28" s="31" t="str">
        <f>IFERROR(INDEX(PRENOTAZIONI!$B:$B,SMALL(PRENOTAZIONI!$AN:$AN,25)),"")</f>
        <v/>
      </c>
      <c r="V28" s="32" t="str">
        <f t="shared" si="7"/>
        <v/>
      </c>
      <c r="W28" s="34" t="str">
        <f>IFERROR(INDEX(PRENOTAZIONI!$E:$E,SMALL(PRENOTAZIONI!$AN:$AN,25)),"")</f>
        <v/>
      </c>
      <c r="X28" s="34" t="str">
        <f>IFERROR(INDEX(PRENOTAZIONI!$F:$F,SMALL(PRENOTAZIONI!$AN:$AN,25)),"")</f>
        <v/>
      </c>
      <c r="Y28" s="35" t="str">
        <f>IFERROR(INDEX(PRENOTAZIONI!$H:$H,SMALL(PRENOTAZIONI!$AN:$AN,25)),"")</f>
        <v/>
      </c>
      <c r="Z28" s="34" t="str">
        <f>IFERROR(INDEX(PRENOTAZIONI!$K:$K,SMALL(PRENOTAZIONI!$AN:$AN,25)),"")</f>
        <v/>
      </c>
      <c r="AA28" s="34"/>
      <c r="AB28" s="34"/>
      <c r="AC28" s="40" t="str">
        <f t="shared" si="8"/>
        <v/>
      </c>
      <c r="AD28" s="41" t="str">
        <f t="shared" si="9"/>
        <v/>
      </c>
    </row>
    <row r="29" spans="1:42" ht="22" customHeight="1" x14ac:dyDescent="0.2">
      <c r="A29" s="31" t="str">
        <f>IFERROR(INDEX(PRENOTAZIONI!$A:$A,SMALL(PRENOTAZIONI!$Z:$Z,26)),"")</f>
        <v/>
      </c>
      <c r="B29" s="31" t="str">
        <f>IFERROR(INDEX(PRENOTAZIONI!$B:$B,SMALL(PRENOTAZIONI!$Z:$Z,26)),"")</f>
        <v/>
      </c>
      <c r="C29" s="32" t="str">
        <f t="shared" si="0"/>
        <v/>
      </c>
      <c r="D29" s="34" t="str">
        <f>IFERROR(INDEX(PRENOTAZIONI!$E:$E,SMALL(PRENOTAZIONI!$Z:$Z,26)),"")</f>
        <v/>
      </c>
      <c r="E29" s="34" t="str">
        <f>IFERROR(INDEX(PRENOTAZIONI!$F:$F,SMALL(PRENOTAZIONI!$Z:$Z,26)),"")</f>
        <v/>
      </c>
      <c r="F29" s="34" t="str">
        <f>IFERROR(INDEX(PRENOTAZIONI!$G:$G,SMALL(PRENOTAZIONI!$Z:$Z,26)),"")</f>
        <v/>
      </c>
      <c r="G29" s="35" t="str">
        <f>IFERROR(INDEX(PRENOTAZIONI!$H:$H,SMALL(PRENOTAZIONI!$Z:$Z,26)),"")</f>
        <v/>
      </c>
      <c r="H29" s="146" t="str">
        <f t="shared" si="1"/>
        <v/>
      </c>
      <c r="I29" s="35" t="str">
        <f t="shared" si="2"/>
        <v/>
      </c>
      <c r="J29" s="149" t="str">
        <f t="shared" ref="J29:J35" si="11">IF(H29&lt;&gt;"",H29*0.22,"")</f>
        <v/>
      </c>
      <c r="K29" s="34" t="str">
        <f>IFERROR(INDEX(PRENOTAZIONI!$K:$K,SMALL(PRENOTAZIONI!$Z:$Z,26)),"")</f>
        <v/>
      </c>
      <c r="L29" s="35" t="str">
        <f>IFERROR(INDEX(PRENOTAZIONI!$L:$L,SMALL(PRENOTAZIONI!$Z:$Z,26)),"")</f>
        <v/>
      </c>
      <c r="M29" s="150" t="str">
        <f t="shared" si="4"/>
        <v/>
      </c>
      <c r="N29" s="35" t="str">
        <f t="shared" si="5"/>
        <v/>
      </c>
      <c r="O29" s="35"/>
      <c r="P29" s="43"/>
      <c r="Q29" s="150" t="str">
        <f t="shared" si="6"/>
        <v/>
      </c>
      <c r="R29" s="47" t="str">
        <f>IFERROR(INDEX(PRENOTAZIONI!$R:$R,SMALL(PRENOTAZIONI!$Z:$Z,26)),"")</f>
        <v/>
      </c>
      <c r="S29" s="102"/>
      <c r="T29" s="99" t="str">
        <f>IFERROR(INDEX(PRENOTAZIONI!$A:$A,SMALL(PRENOTAZIONI!$AN:$AN,26)),"")</f>
        <v/>
      </c>
      <c r="U29" s="31" t="str">
        <f>IFERROR(INDEX(PRENOTAZIONI!$B:$B,SMALL(PRENOTAZIONI!$AN:$AN,26)),"")</f>
        <v/>
      </c>
      <c r="V29" s="32" t="str">
        <f t="shared" si="7"/>
        <v/>
      </c>
      <c r="W29" s="34" t="str">
        <f>IFERROR(INDEX(PRENOTAZIONI!$E:$E,SMALL(PRENOTAZIONI!$AN:$AN,26)),"")</f>
        <v/>
      </c>
      <c r="X29" s="34" t="str">
        <f>IFERROR(INDEX(PRENOTAZIONI!$F:$F,SMALL(PRENOTAZIONI!$AN:$AN,26)),"")</f>
        <v/>
      </c>
      <c r="Y29" s="35" t="str">
        <f>IFERROR(INDEX(PRENOTAZIONI!$H:$H,SMALL(PRENOTAZIONI!$AN:$AN,26)),"")</f>
        <v/>
      </c>
      <c r="Z29" s="34" t="str">
        <f>IFERROR(INDEX(PRENOTAZIONI!$K:$K,SMALL(PRENOTAZIONI!$AN:$AN,26)),"")</f>
        <v/>
      </c>
      <c r="AA29" s="34"/>
      <c r="AB29" s="34"/>
      <c r="AC29" s="40" t="str">
        <f t="shared" si="8"/>
        <v/>
      </c>
      <c r="AD29" s="41" t="str">
        <f t="shared" si="9"/>
        <v/>
      </c>
    </row>
    <row r="30" spans="1:42" ht="22" customHeight="1" x14ac:dyDescent="0.2">
      <c r="A30" s="31" t="str">
        <f>IFERROR(INDEX(PRENOTAZIONI!$A:$A,SMALL(PRENOTAZIONI!$Z:$Z,27)),"")</f>
        <v/>
      </c>
      <c r="B30" s="31" t="str">
        <f>IFERROR(INDEX(PRENOTAZIONI!$B:$B,SMALL(PRENOTAZIONI!$Z:$Z,27)),"")</f>
        <v/>
      </c>
      <c r="C30" s="32" t="str">
        <f t="shared" si="0"/>
        <v/>
      </c>
      <c r="D30" s="34" t="str">
        <f>IFERROR(INDEX(PRENOTAZIONI!$E:$E,SMALL(PRENOTAZIONI!$Z:$Z,27)),"")</f>
        <v/>
      </c>
      <c r="E30" s="34" t="str">
        <f>IFERROR(INDEX(PRENOTAZIONI!$F:$F,SMALL(PRENOTAZIONI!$Z:$Z,27)),"")</f>
        <v/>
      </c>
      <c r="F30" s="34" t="str">
        <f>IFERROR(INDEX(PRENOTAZIONI!$G:$G,SMALL(PRENOTAZIONI!$Z:$Z,27)),"")</f>
        <v/>
      </c>
      <c r="G30" s="35" t="str">
        <f>IFERROR(INDEX(PRENOTAZIONI!$H:$H,SMALL(PRENOTAZIONI!$Z:$Z,27)),"")</f>
        <v/>
      </c>
      <c r="H30" s="146" t="str">
        <f t="shared" si="1"/>
        <v/>
      </c>
      <c r="I30" s="35" t="str">
        <f t="shared" si="2"/>
        <v/>
      </c>
      <c r="J30" s="149" t="str">
        <f t="shared" si="11"/>
        <v/>
      </c>
      <c r="K30" s="34" t="str">
        <f>IFERROR(INDEX(PRENOTAZIONI!$K:$K,SMALL(PRENOTAZIONI!$Z:$Z,27)),"")</f>
        <v/>
      </c>
      <c r="L30" s="35" t="str">
        <f>IFERROR(INDEX(PRENOTAZIONI!$L:$L,SMALL(PRENOTAZIONI!$Z:$Z,27)),"")</f>
        <v/>
      </c>
      <c r="M30" s="150" t="str">
        <f t="shared" si="4"/>
        <v/>
      </c>
      <c r="N30" s="35" t="str">
        <f t="shared" si="5"/>
        <v/>
      </c>
      <c r="O30" s="35"/>
      <c r="P30" s="43"/>
      <c r="Q30" s="150" t="str">
        <f t="shared" si="6"/>
        <v/>
      </c>
      <c r="R30" s="47" t="str">
        <f>IFERROR(INDEX(PRENOTAZIONI!$R:$R,SMALL(PRENOTAZIONI!$Z:$Z,27)),"")</f>
        <v/>
      </c>
      <c r="S30" s="102"/>
      <c r="T30" s="99" t="str">
        <f>IFERROR(INDEX(PRENOTAZIONI!$A:$A,SMALL(PRENOTAZIONI!$AN:$AN,27)),"")</f>
        <v/>
      </c>
      <c r="U30" s="31" t="str">
        <f>IFERROR(INDEX(PRENOTAZIONI!$B:$B,SMALL(PRENOTAZIONI!$AN:$AN,27)),"")</f>
        <v/>
      </c>
      <c r="V30" s="32" t="str">
        <f t="shared" si="7"/>
        <v/>
      </c>
      <c r="W30" s="34" t="str">
        <f>IFERROR(INDEX(PRENOTAZIONI!$E:$E,SMALL(PRENOTAZIONI!$AN:$AN,27)),"")</f>
        <v/>
      </c>
      <c r="X30" s="34" t="str">
        <f>IFERROR(INDEX(PRENOTAZIONI!$F:$F,SMALL(PRENOTAZIONI!$AN:$AN,27)),"")</f>
        <v/>
      </c>
      <c r="Y30" s="35" t="str">
        <f>IFERROR(INDEX(PRENOTAZIONI!$H:$H,SMALL(PRENOTAZIONI!$AN:$AN,27)),"")</f>
        <v/>
      </c>
      <c r="Z30" s="34" t="str">
        <f>IFERROR(INDEX(PRENOTAZIONI!$K:$K,SMALL(PRENOTAZIONI!$AN:$AN,27)),"")</f>
        <v/>
      </c>
      <c r="AA30" s="34"/>
      <c r="AB30" s="34"/>
      <c r="AC30" s="40" t="str">
        <f t="shared" si="8"/>
        <v/>
      </c>
      <c r="AD30" s="41" t="str">
        <f t="shared" si="9"/>
        <v/>
      </c>
    </row>
    <row r="31" spans="1:42" ht="22" customHeight="1" x14ac:dyDescent="0.2">
      <c r="A31" s="31" t="str">
        <f>IFERROR(INDEX(PRENOTAZIONI!$A:$A,SMALL(PRENOTAZIONI!$Z:$Z,28)),"")</f>
        <v/>
      </c>
      <c r="B31" s="31" t="str">
        <f>IFERROR(INDEX(PRENOTAZIONI!$B:$B,SMALL(PRENOTAZIONI!$Z:$Z,28)),"")</f>
        <v/>
      </c>
      <c r="C31" s="32" t="str">
        <f t="shared" si="0"/>
        <v/>
      </c>
      <c r="D31" s="34" t="str">
        <f>IFERROR(INDEX(PRENOTAZIONI!$E:$E,SMALL(PRENOTAZIONI!$Z:$Z,28)),"")</f>
        <v/>
      </c>
      <c r="E31" s="34" t="str">
        <f>IFERROR(INDEX(PRENOTAZIONI!$F:$F,SMALL(PRENOTAZIONI!$Z:$Z,28)),"")</f>
        <v/>
      </c>
      <c r="F31" s="34" t="str">
        <f>IFERROR(INDEX(PRENOTAZIONI!$G:$G,SMALL(PRENOTAZIONI!$Z:$Z,28)),"")</f>
        <v/>
      </c>
      <c r="G31" s="35" t="str">
        <f>IFERROR(INDEX(PRENOTAZIONI!$H:$H,SMALL(PRENOTAZIONI!$Z:$Z,28)),"")</f>
        <v/>
      </c>
      <c r="H31" s="146" t="str">
        <f t="shared" si="1"/>
        <v/>
      </c>
      <c r="I31" s="35" t="str">
        <f t="shared" si="2"/>
        <v/>
      </c>
      <c r="J31" s="149" t="str">
        <f t="shared" si="11"/>
        <v/>
      </c>
      <c r="K31" s="34" t="str">
        <f>IFERROR(INDEX(PRENOTAZIONI!$K:$K,SMALL(PRENOTAZIONI!$Z:$Z,28)),"")</f>
        <v/>
      </c>
      <c r="L31" s="35" t="str">
        <f>IFERROR(INDEX(PRENOTAZIONI!$L:$L,SMALL(PRENOTAZIONI!$Z:$Z,28)),"")</f>
        <v/>
      </c>
      <c r="M31" s="150" t="str">
        <f t="shared" si="4"/>
        <v/>
      </c>
      <c r="N31" s="35" t="str">
        <f t="shared" si="5"/>
        <v/>
      </c>
      <c r="O31" s="35"/>
      <c r="P31" s="43"/>
      <c r="Q31" s="150" t="str">
        <f t="shared" si="6"/>
        <v/>
      </c>
      <c r="R31" s="47" t="str">
        <f>IFERROR(INDEX(PRENOTAZIONI!$R:$R,SMALL(PRENOTAZIONI!$Z:$Z,28)),"")</f>
        <v/>
      </c>
      <c r="S31" s="102"/>
      <c r="T31" s="99" t="str">
        <f>IFERROR(INDEX(PRENOTAZIONI!$A:$A,SMALL(PRENOTAZIONI!$AN:$AN,28)),"")</f>
        <v/>
      </c>
      <c r="U31" s="31" t="str">
        <f>IFERROR(INDEX(PRENOTAZIONI!$B:$B,SMALL(PRENOTAZIONI!$AN:$AN,28)),"")</f>
        <v/>
      </c>
      <c r="V31" s="32" t="str">
        <f t="shared" si="7"/>
        <v/>
      </c>
      <c r="W31" s="34" t="str">
        <f>IFERROR(INDEX(PRENOTAZIONI!$E:$E,SMALL(PRENOTAZIONI!$AN:$AN,28)),"")</f>
        <v/>
      </c>
      <c r="X31" s="34" t="str">
        <f>IFERROR(INDEX(PRENOTAZIONI!$F:$F,SMALL(PRENOTAZIONI!$AN:$AN,28)),"")</f>
        <v/>
      </c>
      <c r="Y31" s="35" t="str">
        <f>IFERROR(INDEX(PRENOTAZIONI!$H:$H,SMALL(PRENOTAZIONI!$AN:$AN,28)),"")</f>
        <v/>
      </c>
      <c r="Z31" s="34" t="str">
        <f>IFERROR(INDEX(PRENOTAZIONI!$K:$K,SMALL(PRENOTAZIONI!$AN:$AN,28)),"")</f>
        <v/>
      </c>
      <c r="AA31" s="34"/>
      <c r="AB31" s="34"/>
      <c r="AC31" s="40" t="str">
        <f t="shared" si="8"/>
        <v/>
      </c>
      <c r="AD31" s="41" t="str">
        <f t="shared" si="9"/>
        <v/>
      </c>
    </row>
    <row r="32" spans="1:42" ht="22" customHeight="1" x14ac:dyDescent="0.2">
      <c r="A32" s="31" t="str">
        <f>IFERROR(INDEX(PRENOTAZIONI!$A:$A,SMALL(PRENOTAZIONI!$Z:$Z,29)),"")</f>
        <v/>
      </c>
      <c r="B32" s="31" t="str">
        <f>IFERROR(INDEX(PRENOTAZIONI!$B:$B,SMALL(PRENOTAZIONI!$Z:$Z,29)),"")</f>
        <v/>
      </c>
      <c r="C32" s="32" t="str">
        <f t="shared" si="0"/>
        <v/>
      </c>
      <c r="D32" s="34" t="str">
        <f>IFERROR(INDEX(PRENOTAZIONI!$E:$E,SMALL(PRENOTAZIONI!$Z:$Z,29)),"")</f>
        <v/>
      </c>
      <c r="E32" s="34" t="str">
        <f>IFERROR(INDEX(PRENOTAZIONI!$F:$F,SMALL(PRENOTAZIONI!$Z:$Z,29)),"")</f>
        <v/>
      </c>
      <c r="F32" s="34" t="str">
        <f>IFERROR(INDEX(PRENOTAZIONI!$G:$G,SMALL(PRENOTAZIONI!$Z:$Z,29)),"")</f>
        <v/>
      </c>
      <c r="G32" s="35" t="str">
        <f>IFERROR(INDEX(PRENOTAZIONI!$H:$H,SMALL(PRENOTAZIONI!$Z:$Z,29)),"")</f>
        <v/>
      </c>
      <c r="H32" s="146" t="str">
        <f t="shared" si="1"/>
        <v/>
      </c>
      <c r="I32" s="35" t="str">
        <f t="shared" si="2"/>
        <v/>
      </c>
      <c r="J32" s="149" t="str">
        <f t="shared" si="11"/>
        <v/>
      </c>
      <c r="K32" s="34" t="str">
        <f>IFERROR(INDEX(PRENOTAZIONI!$K:$K,SMALL(PRENOTAZIONI!$Z:$Z,29)),"")</f>
        <v/>
      </c>
      <c r="L32" s="35" t="str">
        <f>IFERROR(INDEX(PRENOTAZIONI!$L:$L,SMALL(PRENOTAZIONI!$Z:$Z,29)),"")</f>
        <v/>
      </c>
      <c r="M32" s="150" t="str">
        <f t="shared" si="4"/>
        <v/>
      </c>
      <c r="N32" s="35" t="str">
        <f t="shared" si="5"/>
        <v/>
      </c>
      <c r="O32" s="35"/>
      <c r="P32" s="43"/>
      <c r="Q32" s="150" t="str">
        <f t="shared" si="6"/>
        <v/>
      </c>
      <c r="R32" s="47" t="str">
        <f>IFERROR(INDEX(PRENOTAZIONI!$R:$R,SMALL(PRENOTAZIONI!$Z:$Z,29)),"")</f>
        <v/>
      </c>
      <c r="S32" s="102"/>
      <c r="T32" s="99" t="str">
        <f>IFERROR(INDEX(PRENOTAZIONI!$A:$A,SMALL(PRENOTAZIONI!$AN:$AN,29)),"")</f>
        <v/>
      </c>
      <c r="U32" s="31" t="str">
        <f>IFERROR(INDEX(PRENOTAZIONI!$B:$B,SMALL(PRENOTAZIONI!$AN:$AN,29)),"")</f>
        <v/>
      </c>
      <c r="V32" s="32" t="str">
        <f t="shared" si="7"/>
        <v/>
      </c>
      <c r="W32" s="34" t="str">
        <f>IFERROR(INDEX(PRENOTAZIONI!$E:$E,SMALL(PRENOTAZIONI!$AN:$AN,29)),"")</f>
        <v/>
      </c>
      <c r="X32" s="34" t="str">
        <f>IFERROR(INDEX(PRENOTAZIONI!$F:$F,SMALL(PRENOTAZIONI!$AN:$AN,29)),"")</f>
        <v/>
      </c>
      <c r="Y32" s="35" t="str">
        <f>IFERROR(INDEX(PRENOTAZIONI!$H:$H,SMALL(PRENOTAZIONI!$AN:$AN,29)),"")</f>
        <v/>
      </c>
      <c r="Z32" s="34" t="str">
        <f>IFERROR(INDEX(PRENOTAZIONI!$K:$K,SMALL(PRENOTAZIONI!$AN:$AN,29)),"")</f>
        <v/>
      </c>
      <c r="AA32" s="34"/>
      <c r="AB32" s="34"/>
      <c r="AC32" s="40" t="str">
        <f t="shared" si="8"/>
        <v/>
      </c>
      <c r="AD32" s="41" t="str">
        <f t="shared" si="9"/>
        <v/>
      </c>
    </row>
    <row r="33" spans="1:30" ht="22" customHeight="1" x14ac:dyDescent="0.2">
      <c r="A33" s="31" t="str">
        <f>IFERROR(INDEX(PRENOTAZIONI!$A:$A,SMALL(PRENOTAZIONI!$Z:$Z,30)),"")</f>
        <v/>
      </c>
      <c r="B33" s="31" t="str">
        <f>IFERROR(INDEX(PRENOTAZIONI!$B:$B,SMALL(PRENOTAZIONI!$Z:$Z,30)),"")</f>
        <v/>
      </c>
      <c r="C33" s="32" t="str">
        <f t="shared" si="0"/>
        <v/>
      </c>
      <c r="D33" s="34" t="str">
        <f>IFERROR(INDEX(PRENOTAZIONI!$E:$E,SMALL(PRENOTAZIONI!$Z:$Z,30)),"")</f>
        <v/>
      </c>
      <c r="E33" s="34" t="str">
        <f>IFERROR(INDEX(PRENOTAZIONI!$F:$F,SMALL(PRENOTAZIONI!$Z:$Z,30)),"")</f>
        <v/>
      </c>
      <c r="F33" s="34" t="str">
        <f>IFERROR(INDEX(PRENOTAZIONI!$G:$G,SMALL(PRENOTAZIONI!$Z:$Z,30)),"")</f>
        <v/>
      </c>
      <c r="G33" s="35" t="str">
        <f>IFERROR(INDEX(PRENOTAZIONI!$H:$H,SMALL(PRENOTAZIONI!$Z:$Z,30)),"")</f>
        <v/>
      </c>
      <c r="H33" s="146" t="str">
        <f t="shared" si="1"/>
        <v/>
      </c>
      <c r="I33" s="35" t="str">
        <f t="shared" si="2"/>
        <v/>
      </c>
      <c r="J33" s="149" t="str">
        <f t="shared" si="11"/>
        <v/>
      </c>
      <c r="K33" s="34" t="str">
        <f>IFERROR(INDEX(PRENOTAZIONI!$K:$K,SMALL(PRENOTAZIONI!$Z:$Z,30)),"")</f>
        <v/>
      </c>
      <c r="L33" s="35" t="str">
        <f>IFERROR(INDEX(PRENOTAZIONI!$L:$L,SMALL(PRENOTAZIONI!$Z:$Z,30)),"")</f>
        <v/>
      </c>
      <c r="M33" s="150" t="str">
        <f t="shared" si="4"/>
        <v/>
      </c>
      <c r="N33" s="35" t="str">
        <f t="shared" si="5"/>
        <v/>
      </c>
      <c r="O33" s="35"/>
      <c r="P33" s="43"/>
      <c r="Q33" s="150" t="str">
        <f t="shared" si="6"/>
        <v/>
      </c>
      <c r="R33" s="47" t="str">
        <f>IFERROR(INDEX(PRENOTAZIONI!$R:$R,SMALL(PRENOTAZIONI!$Z:$Z,30)),"")</f>
        <v/>
      </c>
      <c r="S33" s="102"/>
      <c r="T33" s="99" t="str">
        <f>IFERROR(INDEX(PRENOTAZIONI!$A:$A,SMALL(PRENOTAZIONI!$AN:$AN,30)),"")</f>
        <v/>
      </c>
      <c r="U33" s="31" t="str">
        <f>IFERROR(INDEX(PRENOTAZIONI!$B:$B,SMALL(PRENOTAZIONI!$AN:$AN,30)),"")</f>
        <v/>
      </c>
      <c r="V33" s="32" t="str">
        <f t="shared" si="7"/>
        <v/>
      </c>
      <c r="W33" s="34" t="str">
        <f>IFERROR(INDEX(PRENOTAZIONI!$E:$E,SMALL(PRENOTAZIONI!$AN:$AN,30)),"")</f>
        <v/>
      </c>
      <c r="X33" s="34" t="str">
        <f>IFERROR(INDEX(PRENOTAZIONI!$F:$F,SMALL(PRENOTAZIONI!$AN:$AN,30)),"")</f>
        <v/>
      </c>
      <c r="Y33" s="35" t="str">
        <f>IFERROR(INDEX(PRENOTAZIONI!$H:$H,SMALL(PRENOTAZIONI!$AN:$AN,30)),"")</f>
        <v/>
      </c>
      <c r="Z33" s="34" t="str">
        <f>IFERROR(INDEX(PRENOTAZIONI!$K:$K,SMALL(PRENOTAZIONI!$AN:$AN,30)),"")</f>
        <v/>
      </c>
      <c r="AA33" s="34"/>
      <c r="AB33" s="34"/>
      <c r="AC33" s="40" t="str">
        <f t="shared" si="8"/>
        <v/>
      </c>
      <c r="AD33" s="41" t="str">
        <f t="shared" si="9"/>
        <v/>
      </c>
    </row>
    <row r="34" spans="1:30" ht="24" customHeight="1" thickBot="1" x14ac:dyDescent="0.25">
      <c r="A34" s="31" t="str">
        <f>IFERROR(INDEX(PRENOTAZIONI!$A:$A,SMALL(PRENOTAZIONI!$Z:$Z,31)),"")</f>
        <v/>
      </c>
      <c r="B34" s="31" t="str">
        <f>IFERROR(INDEX(PRENOTAZIONI!$B:$B,SMALL(PRENOTAZIONI!$Z:$Z,31)),"")</f>
        <v/>
      </c>
      <c r="C34" s="32" t="str">
        <f t="shared" si="0"/>
        <v/>
      </c>
      <c r="D34" s="34" t="str">
        <f>IFERROR(INDEX(PRENOTAZIONI!$E:$E,SMALL(PRENOTAZIONI!$Z:$Z,31)),"")</f>
        <v/>
      </c>
      <c r="E34" s="34" t="str">
        <f>IFERROR(INDEX(PRENOTAZIONI!$F:$F,SMALL(PRENOTAZIONI!$Z:$Z,31)),"")</f>
        <v/>
      </c>
      <c r="F34" s="34" t="str">
        <f>IFERROR(INDEX(PRENOTAZIONI!$G:$G,SMALL(PRENOTAZIONI!$Z:$Z,31)),"")</f>
        <v/>
      </c>
      <c r="G34" s="35" t="str">
        <f>IFERROR(INDEX(PRENOTAZIONI!$H:$H,SMALL(PRENOTAZIONI!$Z:$Z,31)),"")</f>
        <v/>
      </c>
      <c r="H34" s="146" t="str">
        <f t="shared" si="1"/>
        <v/>
      </c>
      <c r="I34" s="35" t="str">
        <f t="shared" si="2"/>
        <v/>
      </c>
      <c r="J34" s="149" t="str">
        <f t="shared" si="11"/>
        <v/>
      </c>
      <c r="K34" s="34" t="str">
        <f>IFERROR(INDEX(PRENOTAZIONI!$K:$K,SMALL(PRENOTAZIONI!$Z:$Z,31)),"")</f>
        <v/>
      </c>
      <c r="L34" s="35" t="str">
        <f>IFERROR(INDEX(PRENOTAZIONI!$L:$L,SMALL(PRENOTAZIONI!$Z:$Z,31)),"")</f>
        <v/>
      </c>
      <c r="M34" s="150" t="str">
        <f t="shared" si="4"/>
        <v/>
      </c>
      <c r="N34" s="35" t="str">
        <f t="shared" si="5"/>
        <v/>
      </c>
      <c r="O34" s="35"/>
      <c r="P34" s="43"/>
      <c r="Q34" s="150" t="str">
        <f t="shared" si="6"/>
        <v/>
      </c>
      <c r="R34" s="47" t="str">
        <f>IFERROR(INDEX(PRENOTAZIONI!$R:$R,SMALL(PRENOTAZIONI!$Z:$Z,31)),"")</f>
        <v/>
      </c>
      <c r="S34" s="49"/>
      <c r="T34" s="84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IFERROR(INDEX(PRENOTAZIONI!$A:$A,SMALL(PRENOTAZIONI!$Z:$Z,32)),"")</f>
        <v/>
      </c>
      <c r="B35" s="31" t="str">
        <f>IFERROR(INDEX(PRENOTAZIONI!$B:$B,SMALL(PRENOTAZIONI!$Z:$Z,32)),"")</f>
        <v/>
      </c>
      <c r="C35" s="32" t="str">
        <f t="shared" si="0"/>
        <v/>
      </c>
      <c r="D35" s="34" t="str">
        <f>IFERROR(INDEX(PRENOTAZIONI!$E:$E,SMALL(PRENOTAZIONI!$Z:$Z,32)),"")</f>
        <v/>
      </c>
      <c r="E35" s="34" t="str">
        <f>IFERROR(INDEX(PRENOTAZIONI!$F:$F,SMALL(PRENOTAZIONI!$Z:$Z,32)),"")</f>
        <v/>
      </c>
      <c r="F35" s="34" t="str">
        <f>IFERROR(INDEX(PRENOTAZIONI!$G:$G,SMALL(PRENOTAZIONI!$Z:$Z,32)),"")</f>
        <v/>
      </c>
      <c r="G35" s="35" t="str">
        <f>IFERROR(INDEX(PRENOTAZIONI!$H:$H,SMALL(PRENOTAZIONI!$Z:$Z,32)),"")</f>
        <v/>
      </c>
      <c r="H35" s="146" t="str">
        <f t="shared" si="1"/>
        <v/>
      </c>
      <c r="I35" s="35" t="str">
        <f t="shared" si="2"/>
        <v/>
      </c>
      <c r="J35" s="149" t="str">
        <f t="shared" si="11"/>
        <v/>
      </c>
      <c r="K35" s="34" t="str">
        <f>IFERROR(INDEX(PRENOTAZIONI!$K:$K,SMALL(PRENOTAZIONI!$Z:$Z,32)),"")</f>
        <v/>
      </c>
      <c r="L35" s="35" t="str">
        <f>IFERROR(INDEX(PRENOTAZIONI!$L:$L,SMALL(PRENOTAZIONI!$Z:$Z,32)),"")</f>
        <v/>
      </c>
      <c r="M35" s="150" t="str">
        <f t="shared" si="4"/>
        <v/>
      </c>
      <c r="N35" s="35" t="str">
        <f t="shared" si="5"/>
        <v/>
      </c>
      <c r="O35" s="35"/>
      <c r="P35" s="43"/>
      <c r="Q35" s="150" t="str">
        <f t="shared" si="6"/>
        <v/>
      </c>
      <c r="R35" s="47" t="str">
        <f>IFERROR(INDEX(PRENOTAZIONI!$R:$R,SMALL(PRENOTAZIONI!$Z:$Z,32)),"")</f>
        <v/>
      </c>
      <c r="T35" s="78"/>
    </row>
    <row r="36" spans="1:30" ht="22" customHeight="1" x14ac:dyDescent="0.25">
      <c r="A36" s="31" t="str">
        <f>IFERROR(INDEX(PRENOTAZIONI!$A:$A,SMALL(PRENOTAZIONI!$Z:$Z,33)),"")</f>
        <v/>
      </c>
      <c r="B36" s="31" t="str">
        <f>IFERROR(INDEX(PRENOTAZIONI!$B:$B,SMALL(PRENOTAZIONI!$Z:$Z,33)),"")</f>
        <v/>
      </c>
      <c r="C36" s="32" t="str">
        <f t="shared" ref="C36:C63" si="12">IF(A36&lt;&gt;"",B36-A36,"")</f>
        <v/>
      </c>
      <c r="D36" s="34" t="str">
        <f>IFERROR(INDEX(PRENOTAZIONI!$E:$E,SMALL(PRENOTAZIONI!$Z:$Z,33)),"")</f>
        <v/>
      </c>
      <c r="E36" s="34" t="str">
        <f>IFERROR(INDEX(PRENOTAZIONI!$F:$F,SMALL(PRENOTAZIONI!$Z:$Z,33)),"")</f>
        <v/>
      </c>
      <c r="F36" s="34" t="str">
        <f>IFERROR(INDEX(PRENOTAZIONI!$G:$G,SMALL(PRENOTAZIONI!$Z:$Z,33)),"")</f>
        <v/>
      </c>
      <c r="G36" s="35" t="str">
        <f>IFERROR(INDEX(PRENOTAZIONI!$H:$H,SMALL(PRENOTAZIONI!$Z:$Z,33)),"")</f>
        <v/>
      </c>
      <c r="H36" s="146" t="str">
        <f t="shared" ref="H36:H63" si="13">IF(AND(G36&lt;&gt;"",C36&lt;&gt;"",C36&lt;&gt;0),G36/C36,"")</f>
        <v/>
      </c>
      <c r="I36" s="35" t="str">
        <f t="shared" ref="I36:I63" si="14">IF(G36="","",IF(NOT(ISERROR(SEARCH("diretta",F36))),0,IF(NOT(ISERROR(SEARCH("booking",F36))),G36*0.15,IF(NOT(ISERROR(SEARCH("airbnb",F36))),G36*0.155,""))))</f>
        <v/>
      </c>
      <c r="J36" s="149" t="str">
        <f t="shared" ref="J36:J63" si="15">IF(H36&lt;&gt;"",H36*0.22,"")</f>
        <v/>
      </c>
      <c r="K36" s="34" t="str">
        <f>IFERROR(INDEX(PRENOTAZIONI!$K:$K,SMALL(PRENOTAZIONI!$Z:$Z,33)),"")</f>
        <v/>
      </c>
      <c r="L36" s="35" t="str">
        <f>IFERROR(INDEX(PRENOTAZIONI!$L:$L,SMALL(PRENOTAZIONI!$Z:$Z,33)),"")</f>
        <v/>
      </c>
      <c r="M36" s="150" t="str">
        <f t="shared" ref="M36:M63" si="16">IF(G36&lt;&gt;"",G36*0.21,"")</f>
        <v/>
      </c>
      <c r="N36" s="35" t="str">
        <f t="shared" ref="N36:N63" si="17">IF(G36&lt;&gt;"",G36*0.25,"")</f>
        <v/>
      </c>
      <c r="O36" s="35"/>
      <c r="P36" s="43"/>
      <c r="Q36" s="150" t="str">
        <f t="shared" ref="Q36:Q63" si="18">IF(G36&lt;&gt;"",G36-I36-J36-M36-N36-O36,"")</f>
        <v/>
      </c>
      <c r="R36" s="47" t="str">
        <f>IFERROR(INDEX(PRENOTAZIONI!$R:$R,SMALL(PRENOTAZIONI!$Z:$Z,33)),"")</f>
        <v/>
      </c>
      <c r="T36" s="78"/>
    </row>
    <row r="37" spans="1:30" ht="22" customHeight="1" x14ac:dyDescent="0.25">
      <c r="A37" s="31" t="str">
        <f>IFERROR(INDEX(PRENOTAZIONI!$A:$A,SMALL(PRENOTAZIONI!$Z:$Z,34)),"")</f>
        <v/>
      </c>
      <c r="B37" s="31" t="str">
        <f>IFERROR(INDEX(PRENOTAZIONI!$B:$B,SMALL(PRENOTAZIONI!$Z:$Z,34)),"")</f>
        <v/>
      </c>
      <c r="C37" s="32" t="str">
        <f t="shared" si="12"/>
        <v/>
      </c>
      <c r="D37" s="34" t="str">
        <f>IFERROR(INDEX(PRENOTAZIONI!$E:$E,SMALL(PRENOTAZIONI!$Z:$Z,34)),"")</f>
        <v/>
      </c>
      <c r="E37" s="34" t="str">
        <f>IFERROR(INDEX(PRENOTAZIONI!$F:$F,SMALL(PRENOTAZIONI!$Z:$Z,34)),"")</f>
        <v/>
      </c>
      <c r="F37" s="34" t="str">
        <f>IFERROR(INDEX(PRENOTAZIONI!$G:$G,SMALL(PRENOTAZIONI!$Z:$Z,34)),"")</f>
        <v/>
      </c>
      <c r="G37" s="35" t="str">
        <f>IFERROR(INDEX(PRENOTAZIONI!$H:$H,SMALL(PRENOTAZIONI!$Z:$Z,34)),"")</f>
        <v/>
      </c>
      <c r="H37" s="146" t="str">
        <f t="shared" si="13"/>
        <v/>
      </c>
      <c r="I37" s="35" t="str">
        <f t="shared" si="14"/>
        <v/>
      </c>
      <c r="J37" s="149" t="str">
        <f t="shared" si="15"/>
        <v/>
      </c>
      <c r="K37" s="34" t="str">
        <f>IFERROR(INDEX(PRENOTAZIONI!$K:$K,SMALL(PRENOTAZIONI!$Z:$Z,34)),"")</f>
        <v/>
      </c>
      <c r="L37" s="35" t="str">
        <f>IFERROR(INDEX(PRENOTAZIONI!$L:$L,SMALL(PRENOTAZIONI!$Z:$Z,34)),"")</f>
        <v/>
      </c>
      <c r="M37" s="150" t="str">
        <f t="shared" si="16"/>
        <v/>
      </c>
      <c r="N37" s="35" t="str">
        <f t="shared" si="17"/>
        <v/>
      </c>
      <c r="O37" s="35"/>
      <c r="P37" s="43"/>
      <c r="Q37" s="150" t="str">
        <f t="shared" si="18"/>
        <v/>
      </c>
      <c r="R37" s="47" t="str">
        <f>IFERROR(INDEX(PRENOTAZIONI!$R:$R,SMALL(PRENOTAZIONI!$Z:$Z,34)),"")</f>
        <v/>
      </c>
      <c r="T37" s="78"/>
    </row>
    <row r="38" spans="1:30" ht="22" customHeight="1" x14ac:dyDescent="0.25">
      <c r="A38" s="31" t="str">
        <f>IFERROR(INDEX(PRENOTAZIONI!$A:$A,SMALL(PRENOTAZIONI!$Z:$Z,35)),"")</f>
        <v/>
      </c>
      <c r="B38" s="31" t="str">
        <f>IFERROR(INDEX(PRENOTAZIONI!$B:$B,SMALL(PRENOTAZIONI!$Z:$Z,35)),"")</f>
        <v/>
      </c>
      <c r="C38" s="32" t="str">
        <f t="shared" si="12"/>
        <v/>
      </c>
      <c r="D38" s="34" t="str">
        <f>IFERROR(INDEX(PRENOTAZIONI!$E:$E,SMALL(PRENOTAZIONI!$Z:$Z,35)),"")</f>
        <v/>
      </c>
      <c r="E38" s="34" t="str">
        <f>IFERROR(INDEX(PRENOTAZIONI!$F:$F,SMALL(PRENOTAZIONI!$Z:$Z,35)),"")</f>
        <v/>
      </c>
      <c r="F38" s="34" t="str">
        <f>IFERROR(INDEX(PRENOTAZIONI!$G:$G,SMALL(PRENOTAZIONI!$Z:$Z,35)),"")</f>
        <v/>
      </c>
      <c r="G38" s="35" t="str">
        <f>IFERROR(INDEX(PRENOTAZIONI!$H:$H,SMALL(PRENOTAZIONI!$Z:$Z,35)),"")</f>
        <v/>
      </c>
      <c r="H38" s="146" t="str">
        <f t="shared" si="13"/>
        <v/>
      </c>
      <c r="I38" s="35" t="str">
        <f t="shared" si="14"/>
        <v/>
      </c>
      <c r="J38" s="149" t="str">
        <f t="shared" si="15"/>
        <v/>
      </c>
      <c r="K38" s="34" t="str">
        <f>IFERROR(INDEX(PRENOTAZIONI!$K:$K,SMALL(PRENOTAZIONI!$Z:$Z,35)),"")</f>
        <v/>
      </c>
      <c r="L38" s="35" t="str">
        <f>IFERROR(INDEX(PRENOTAZIONI!$L:$L,SMALL(PRENOTAZIONI!$Z:$Z,35)),"")</f>
        <v/>
      </c>
      <c r="M38" s="150" t="str">
        <f t="shared" si="16"/>
        <v/>
      </c>
      <c r="N38" s="35" t="str">
        <f t="shared" si="17"/>
        <v/>
      </c>
      <c r="O38" s="35"/>
      <c r="P38" s="43"/>
      <c r="Q38" s="150" t="str">
        <f t="shared" si="18"/>
        <v/>
      </c>
      <c r="R38" s="47" t="str">
        <f>IFERROR(INDEX(PRENOTAZIONI!$R:$R,SMALL(PRENOTAZIONI!$Z:$Z,35)),"")</f>
        <v/>
      </c>
      <c r="T38" s="78"/>
    </row>
    <row r="39" spans="1:30" ht="22" customHeight="1" x14ac:dyDescent="0.25">
      <c r="A39" s="31" t="str">
        <f>IFERROR(INDEX(PRENOTAZIONI!$A:$A,SMALL(PRENOTAZIONI!$Z:$Z,36)),"")</f>
        <v/>
      </c>
      <c r="B39" s="31" t="str">
        <f>IFERROR(INDEX(PRENOTAZIONI!$B:$B,SMALL(PRENOTAZIONI!$Z:$Z,36)),"")</f>
        <v/>
      </c>
      <c r="C39" s="32" t="str">
        <f t="shared" si="12"/>
        <v/>
      </c>
      <c r="D39" s="34" t="str">
        <f>IFERROR(INDEX(PRENOTAZIONI!$E:$E,SMALL(PRENOTAZIONI!$Z:$Z,36)),"")</f>
        <v/>
      </c>
      <c r="E39" s="34" t="str">
        <f>IFERROR(INDEX(PRENOTAZIONI!$F:$F,SMALL(PRENOTAZIONI!$Z:$Z,36)),"")</f>
        <v/>
      </c>
      <c r="F39" s="34" t="str">
        <f>IFERROR(INDEX(PRENOTAZIONI!$G:$G,SMALL(PRENOTAZIONI!$Z:$Z,36)),"")</f>
        <v/>
      </c>
      <c r="G39" s="35" t="str">
        <f>IFERROR(INDEX(PRENOTAZIONI!$H:$H,SMALL(PRENOTAZIONI!$Z:$Z,36)),"")</f>
        <v/>
      </c>
      <c r="H39" s="146" t="str">
        <f t="shared" si="13"/>
        <v/>
      </c>
      <c r="I39" s="35" t="str">
        <f t="shared" si="14"/>
        <v/>
      </c>
      <c r="J39" s="149" t="str">
        <f t="shared" si="15"/>
        <v/>
      </c>
      <c r="K39" s="34" t="str">
        <f>IFERROR(INDEX(PRENOTAZIONI!$K:$K,SMALL(PRENOTAZIONI!$Z:$Z,36)),"")</f>
        <v/>
      </c>
      <c r="L39" s="35" t="str">
        <f>IFERROR(INDEX(PRENOTAZIONI!$L:$L,SMALL(PRENOTAZIONI!$Z:$Z,36)),"")</f>
        <v/>
      </c>
      <c r="M39" s="150" t="str">
        <f t="shared" si="16"/>
        <v/>
      </c>
      <c r="N39" s="35" t="str">
        <f t="shared" si="17"/>
        <v/>
      </c>
      <c r="O39" s="35"/>
      <c r="P39" s="43"/>
      <c r="Q39" s="150" t="str">
        <f t="shared" si="18"/>
        <v/>
      </c>
      <c r="R39" s="47" t="str">
        <f>IFERROR(INDEX(PRENOTAZIONI!$R:$R,SMALL(PRENOTAZIONI!$Z:$Z,36)),"")</f>
        <v/>
      </c>
      <c r="T39" s="78"/>
    </row>
    <row r="40" spans="1:30" ht="22" customHeight="1" x14ac:dyDescent="0.25">
      <c r="A40" s="31" t="str">
        <f>IFERROR(INDEX(PRENOTAZIONI!$A:$A,SMALL(PRENOTAZIONI!$Z:$Z,37)),"")</f>
        <v/>
      </c>
      <c r="B40" s="31" t="str">
        <f>IFERROR(INDEX(PRENOTAZIONI!$B:$B,SMALL(PRENOTAZIONI!$Z:$Z,37)),"")</f>
        <v/>
      </c>
      <c r="C40" s="32" t="str">
        <f t="shared" si="12"/>
        <v/>
      </c>
      <c r="D40" s="34" t="str">
        <f>IFERROR(INDEX(PRENOTAZIONI!$E:$E,SMALL(PRENOTAZIONI!$Z:$Z,37)),"")</f>
        <v/>
      </c>
      <c r="E40" s="34" t="str">
        <f>IFERROR(INDEX(PRENOTAZIONI!$F:$F,SMALL(PRENOTAZIONI!$Z:$Z,37)),"")</f>
        <v/>
      </c>
      <c r="F40" s="34" t="str">
        <f>IFERROR(INDEX(PRENOTAZIONI!$G:$G,SMALL(PRENOTAZIONI!$Z:$Z,37)),"")</f>
        <v/>
      </c>
      <c r="G40" s="35" t="str">
        <f>IFERROR(INDEX(PRENOTAZIONI!$H:$H,SMALL(PRENOTAZIONI!$Z:$Z,37)),"")</f>
        <v/>
      </c>
      <c r="H40" s="146" t="str">
        <f t="shared" si="13"/>
        <v/>
      </c>
      <c r="I40" s="35" t="str">
        <f t="shared" si="14"/>
        <v/>
      </c>
      <c r="J40" s="149" t="str">
        <f t="shared" si="15"/>
        <v/>
      </c>
      <c r="K40" s="34" t="str">
        <f>IFERROR(INDEX(PRENOTAZIONI!$K:$K,SMALL(PRENOTAZIONI!$Z:$Z,37)),"")</f>
        <v/>
      </c>
      <c r="L40" s="35" t="str">
        <f>IFERROR(INDEX(PRENOTAZIONI!$L:$L,SMALL(PRENOTAZIONI!$Z:$Z,37)),"")</f>
        <v/>
      </c>
      <c r="M40" s="150" t="str">
        <f t="shared" si="16"/>
        <v/>
      </c>
      <c r="N40" s="35" t="str">
        <f t="shared" si="17"/>
        <v/>
      </c>
      <c r="O40" s="35"/>
      <c r="P40" s="43"/>
      <c r="Q40" s="150" t="str">
        <f t="shared" si="18"/>
        <v/>
      </c>
      <c r="R40" s="47" t="str">
        <f>IFERROR(INDEX(PRENOTAZIONI!$R:$R,SMALL(PRENOTAZIONI!$Z:$Z,37)),"")</f>
        <v/>
      </c>
      <c r="T40" s="78"/>
    </row>
    <row r="41" spans="1:30" ht="22" customHeight="1" x14ac:dyDescent="0.25">
      <c r="A41" s="31" t="str">
        <f>IFERROR(INDEX(PRENOTAZIONI!$A:$A,SMALL(PRENOTAZIONI!$Z:$Z,38)),"")</f>
        <v/>
      </c>
      <c r="B41" s="31" t="str">
        <f>IFERROR(INDEX(PRENOTAZIONI!$B:$B,SMALL(PRENOTAZIONI!$Z:$Z,38)),"")</f>
        <v/>
      </c>
      <c r="C41" s="32" t="str">
        <f t="shared" si="12"/>
        <v/>
      </c>
      <c r="D41" s="34" t="str">
        <f>IFERROR(INDEX(PRENOTAZIONI!$E:$E,SMALL(PRENOTAZIONI!$Z:$Z,38)),"")</f>
        <v/>
      </c>
      <c r="E41" s="34" t="str">
        <f>IFERROR(INDEX(PRENOTAZIONI!$F:$F,SMALL(PRENOTAZIONI!$Z:$Z,38)),"")</f>
        <v/>
      </c>
      <c r="F41" s="34" t="str">
        <f>IFERROR(INDEX(PRENOTAZIONI!$G:$G,SMALL(PRENOTAZIONI!$Z:$Z,38)),"")</f>
        <v/>
      </c>
      <c r="G41" s="35" t="str">
        <f>IFERROR(INDEX(PRENOTAZIONI!$H:$H,SMALL(PRENOTAZIONI!$Z:$Z,38)),"")</f>
        <v/>
      </c>
      <c r="H41" s="146" t="str">
        <f t="shared" si="13"/>
        <v/>
      </c>
      <c r="I41" s="35" t="str">
        <f t="shared" si="14"/>
        <v/>
      </c>
      <c r="J41" s="149" t="str">
        <f t="shared" si="15"/>
        <v/>
      </c>
      <c r="K41" s="34" t="str">
        <f>IFERROR(INDEX(PRENOTAZIONI!$K:$K,SMALL(PRENOTAZIONI!$Z:$Z,38)),"")</f>
        <v/>
      </c>
      <c r="L41" s="35" t="str">
        <f>IFERROR(INDEX(PRENOTAZIONI!$L:$L,SMALL(PRENOTAZIONI!$Z:$Z,38)),"")</f>
        <v/>
      </c>
      <c r="M41" s="150" t="str">
        <f t="shared" si="16"/>
        <v/>
      </c>
      <c r="N41" s="35" t="str">
        <f t="shared" si="17"/>
        <v/>
      </c>
      <c r="O41" s="35"/>
      <c r="P41" s="43"/>
      <c r="Q41" s="150" t="str">
        <f t="shared" si="18"/>
        <v/>
      </c>
      <c r="R41" s="47" t="str">
        <f>IFERROR(INDEX(PRENOTAZIONI!$R:$R,SMALL(PRENOTAZIONI!$Z:$Z,38)),"")</f>
        <v/>
      </c>
      <c r="T41" s="78"/>
    </row>
    <row r="42" spans="1:30" ht="22" customHeight="1" x14ac:dyDescent="0.25">
      <c r="A42" s="31" t="str">
        <f>IFERROR(INDEX(PRENOTAZIONI!$A:$A,SMALL(PRENOTAZIONI!$Z:$Z,39)),"")</f>
        <v/>
      </c>
      <c r="B42" s="31" t="str">
        <f>IFERROR(INDEX(PRENOTAZIONI!$B:$B,SMALL(PRENOTAZIONI!$Z:$Z,39)),"")</f>
        <v/>
      </c>
      <c r="C42" s="32" t="str">
        <f t="shared" si="12"/>
        <v/>
      </c>
      <c r="D42" s="34" t="str">
        <f>IFERROR(INDEX(PRENOTAZIONI!$E:$E,SMALL(PRENOTAZIONI!$Z:$Z,39)),"")</f>
        <v/>
      </c>
      <c r="E42" s="34" t="str">
        <f>IFERROR(INDEX(PRENOTAZIONI!$F:$F,SMALL(PRENOTAZIONI!$Z:$Z,39)),"")</f>
        <v/>
      </c>
      <c r="F42" s="34" t="str">
        <f>IFERROR(INDEX(PRENOTAZIONI!$G:$G,SMALL(PRENOTAZIONI!$Z:$Z,39)),"")</f>
        <v/>
      </c>
      <c r="G42" s="35" t="str">
        <f>IFERROR(INDEX(PRENOTAZIONI!$H:$H,SMALL(PRENOTAZIONI!$Z:$Z,39)),"")</f>
        <v/>
      </c>
      <c r="H42" s="146" t="str">
        <f t="shared" si="13"/>
        <v/>
      </c>
      <c r="I42" s="35" t="str">
        <f t="shared" si="14"/>
        <v/>
      </c>
      <c r="J42" s="149" t="str">
        <f t="shared" si="15"/>
        <v/>
      </c>
      <c r="K42" s="34" t="str">
        <f>IFERROR(INDEX(PRENOTAZIONI!$K:$K,SMALL(PRENOTAZIONI!$Z:$Z,39)),"")</f>
        <v/>
      </c>
      <c r="L42" s="35" t="str">
        <f>IFERROR(INDEX(PRENOTAZIONI!$L:$L,SMALL(PRENOTAZIONI!$Z:$Z,39)),"")</f>
        <v/>
      </c>
      <c r="M42" s="150" t="str">
        <f t="shared" si="16"/>
        <v/>
      </c>
      <c r="N42" s="35" t="str">
        <f t="shared" si="17"/>
        <v/>
      </c>
      <c r="O42" s="35"/>
      <c r="P42" s="43"/>
      <c r="Q42" s="150" t="str">
        <f t="shared" si="18"/>
        <v/>
      </c>
      <c r="R42" s="47" t="str">
        <f>IFERROR(INDEX(PRENOTAZIONI!$R:$R,SMALL(PRENOTAZIONI!$Z:$Z,39)),"")</f>
        <v/>
      </c>
      <c r="T42" s="78"/>
    </row>
    <row r="43" spans="1:30" ht="22" customHeight="1" x14ac:dyDescent="0.25">
      <c r="A43" s="31" t="str">
        <f>IFERROR(INDEX(PRENOTAZIONI!$A:$A,SMALL(PRENOTAZIONI!$Z:$Z,40)),"")</f>
        <v/>
      </c>
      <c r="B43" s="31" t="str">
        <f>IFERROR(INDEX(PRENOTAZIONI!$B:$B,SMALL(PRENOTAZIONI!$Z:$Z,40)),"")</f>
        <v/>
      </c>
      <c r="C43" s="32" t="str">
        <f t="shared" si="12"/>
        <v/>
      </c>
      <c r="D43" s="34" t="str">
        <f>IFERROR(INDEX(PRENOTAZIONI!$E:$E,SMALL(PRENOTAZIONI!$Z:$Z,40)),"")</f>
        <v/>
      </c>
      <c r="E43" s="34" t="str">
        <f>IFERROR(INDEX(PRENOTAZIONI!$F:$F,SMALL(PRENOTAZIONI!$Z:$Z,40)),"")</f>
        <v/>
      </c>
      <c r="F43" s="34" t="str">
        <f>IFERROR(INDEX(PRENOTAZIONI!$G:$G,SMALL(PRENOTAZIONI!$Z:$Z,40)),"")</f>
        <v/>
      </c>
      <c r="G43" s="35" t="str">
        <f>IFERROR(INDEX(PRENOTAZIONI!$H:$H,SMALL(PRENOTAZIONI!$Z:$Z,40)),"")</f>
        <v/>
      </c>
      <c r="H43" s="146" t="str">
        <f t="shared" si="13"/>
        <v/>
      </c>
      <c r="I43" s="35" t="str">
        <f t="shared" si="14"/>
        <v/>
      </c>
      <c r="J43" s="149" t="str">
        <f t="shared" si="15"/>
        <v/>
      </c>
      <c r="K43" s="34" t="str">
        <f>IFERROR(INDEX(PRENOTAZIONI!$K:$K,SMALL(PRENOTAZIONI!$Z:$Z,40)),"")</f>
        <v/>
      </c>
      <c r="L43" s="35" t="str">
        <f>IFERROR(INDEX(PRENOTAZIONI!$L:$L,SMALL(PRENOTAZIONI!$Z:$Z,40)),"")</f>
        <v/>
      </c>
      <c r="M43" s="150" t="str">
        <f t="shared" si="16"/>
        <v/>
      </c>
      <c r="N43" s="35" t="str">
        <f t="shared" si="17"/>
        <v/>
      </c>
      <c r="O43" s="35"/>
      <c r="P43" s="43"/>
      <c r="Q43" s="150" t="str">
        <f t="shared" si="18"/>
        <v/>
      </c>
      <c r="R43" s="47" t="str">
        <f>IFERROR(INDEX(PRENOTAZIONI!$R:$R,SMALL(PRENOTAZIONI!$Z:$Z,40)),"")</f>
        <v/>
      </c>
      <c r="T43" s="78"/>
    </row>
    <row r="44" spans="1:30" ht="22" customHeight="1" x14ac:dyDescent="0.25">
      <c r="A44" s="31" t="str">
        <f>IFERROR(INDEX(PRENOTAZIONI!$A:$A,SMALL(PRENOTAZIONI!$Z:$Z,41)),"")</f>
        <v/>
      </c>
      <c r="B44" s="31" t="str">
        <f>IFERROR(INDEX(PRENOTAZIONI!$B:$B,SMALL(PRENOTAZIONI!$Z:$Z,41)),"")</f>
        <v/>
      </c>
      <c r="C44" s="32" t="str">
        <f t="shared" si="12"/>
        <v/>
      </c>
      <c r="D44" s="34" t="str">
        <f>IFERROR(INDEX(PRENOTAZIONI!$E:$E,SMALL(PRENOTAZIONI!$Z:$Z,41)),"")</f>
        <v/>
      </c>
      <c r="E44" s="34" t="str">
        <f>IFERROR(INDEX(PRENOTAZIONI!$F:$F,SMALL(PRENOTAZIONI!$Z:$Z,41)),"")</f>
        <v/>
      </c>
      <c r="F44" s="34" t="str">
        <f>IFERROR(INDEX(PRENOTAZIONI!$G:$G,SMALL(PRENOTAZIONI!$Z:$Z,41)),"")</f>
        <v/>
      </c>
      <c r="G44" s="35" t="str">
        <f>IFERROR(INDEX(PRENOTAZIONI!$H:$H,SMALL(PRENOTAZIONI!$Z:$Z,41)),"")</f>
        <v/>
      </c>
      <c r="H44" s="146" t="str">
        <f t="shared" si="13"/>
        <v/>
      </c>
      <c r="I44" s="35" t="str">
        <f t="shared" si="14"/>
        <v/>
      </c>
      <c r="J44" s="149" t="str">
        <f t="shared" si="15"/>
        <v/>
      </c>
      <c r="K44" s="34" t="str">
        <f>IFERROR(INDEX(PRENOTAZIONI!$K:$K,SMALL(PRENOTAZIONI!$Z:$Z,41)),"")</f>
        <v/>
      </c>
      <c r="L44" s="35" t="str">
        <f>IFERROR(INDEX(PRENOTAZIONI!$L:$L,SMALL(PRENOTAZIONI!$Z:$Z,41)),"")</f>
        <v/>
      </c>
      <c r="M44" s="150" t="str">
        <f t="shared" si="16"/>
        <v/>
      </c>
      <c r="N44" s="35" t="str">
        <f t="shared" si="17"/>
        <v/>
      </c>
      <c r="O44" s="35"/>
      <c r="P44" s="43"/>
      <c r="Q44" s="150" t="str">
        <f t="shared" si="18"/>
        <v/>
      </c>
      <c r="R44" s="47" t="str">
        <f>IFERROR(INDEX(PRENOTAZIONI!$R:$R,SMALL(PRENOTAZIONI!$Z:$Z,41)),"")</f>
        <v/>
      </c>
      <c r="T44" s="78"/>
    </row>
    <row r="45" spans="1:30" ht="22" customHeight="1" x14ac:dyDescent="0.25">
      <c r="A45" s="31" t="str">
        <f>IFERROR(INDEX(PRENOTAZIONI!$A:$A,SMALL(PRENOTAZIONI!$Z:$Z,42)),"")</f>
        <v/>
      </c>
      <c r="B45" s="31" t="str">
        <f>IFERROR(INDEX(PRENOTAZIONI!$B:$B,SMALL(PRENOTAZIONI!$Z:$Z,42)),"")</f>
        <v/>
      </c>
      <c r="C45" s="32" t="str">
        <f t="shared" si="12"/>
        <v/>
      </c>
      <c r="D45" s="34" t="str">
        <f>IFERROR(INDEX(PRENOTAZIONI!$E:$E,SMALL(PRENOTAZIONI!$Z:$Z,42)),"")</f>
        <v/>
      </c>
      <c r="E45" s="34" t="str">
        <f>IFERROR(INDEX(PRENOTAZIONI!$F:$F,SMALL(PRENOTAZIONI!$Z:$Z,42)),"")</f>
        <v/>
      </c>
      <c r="F45" s="34" t="str">
        <f>IFERROR(INDEX(PRENOTAZIONI!$G:$G,SMALL(PRENOTAZIONI!$Z:$Z,42)),"")</f>
        <v/>
      </c>
      <c r="G45" s="35" t="str">
        <f>IFERROR(INDEX(PRENOTAZIONI!$H:$H,SMALL(PRENOTAZIONI!$Z:$Z,42)),"")</f>
        <v/>
      </c>
      <c r="H45" s="146" t="str">
        <f t="shared" si="13"/>
        <v/>
      </c>
      <c r="I45" s="35" t="str">
        <f t="shared" si="14"/>
        <v/>
      </c>
      <c r="J45" s="149" t="str">
        <f t="shared" si="15"/>
        <v/>
      </c>
      <c r="K45" s="34" t="str">
        <f>IFERROR(INDEX(PRENOTAZIONI!$K:$K,SMALL(PRENOTAZIONI!$Z:$Z,42)),"")</f>
        <v/>
      </c>
      <c r="L45" s="35" t="str">
        <f>IFERROR(INDEX(PRENOTAZIONI!$L:$L,SMALL(PRENOTAZIONI!$Z:$Z,42)),"")</f>
        <v/>
      </c>
      <c r="M45" s="150" t="str">
        <f t="shared" si="16"/>
        <v/>
      </c>
      <c r="N45" s="35" t="str">
        <f t="shared" si="17"/>
        <v/>
      </c>
      <c r="O45" s="35"/>
      <c r="P45" s="43"/>
      <c r="Q45" s="150" t="str">
        <f t="shared" si="18"/>
        <v/>
      </c>
      <c r="R45" s="47" t="str">
        <f>IFERROR(INDEX(PRENOTAZIONI!$R:$R,SMALL(PRENOTAZIONI!$Z:$Z,42)),"")</f>
        <v/>
      </c>
      <c r="T45" s="78"/>
    </row>
    <row r="46" spans="1:30" ht="22" customHeight="1" x14ac:dyDescent="0.25">
      <c r="A46" s="31" t="str">
        <f>IFERROR(INDEX(PRENOTAZIONI!$A:$A,SMALL(PRENOTAZIONI!$Z:$Z,43)),"")</f>
        <v/>
      </c>
      <c r="B46" s="31" t="str">
        <f>IFERROR(INDEX(PRENOTAZIONI!$B:$B,SMALL(PRENOTAZIONI!$Z:$Z,43)),"")</f>
        <v/>
      </c>
      <c r="C46" s="32" t="str">
        <f t="shared" si="12"/>
        <v/>
      </c>
      <c r="D46" s="34" t="str">
        <f>IFERROR(INDEX(PRENOTAZIONI!$E:$E,SMALL(PRENOTAZIONI!$Z:$Z,43)),"")</f>
        <v/>
      </c>
      <c r="E46" s="34" t="str">
        <f>IFERROR(INDEX(PRENOTAZIONI!$F:$F,SMALL(PRENOTAZIONI!$Z:$Z,43)),"")</f>
        <v/>
      </c>
      <c r="F46" s="34" t="str">
        <f>IFERROR(INDEX(PRENOTAZIONI!$G:$G,SMALL(PRENOTAZIONI!$Z:$Z,43)),"")</f>
        <v/>
      </c>
      <c r="G46" s="35" t="str">
        <f>IFERROR(INDEX(PRENOTAZIONI!$H:$H,SMALL(PRENOTAZIONI!$Z:$Z,43)),"")</f>
        <v/>
      </c>
      <c r="H46" s="146" t="str">
        <f t="shared" si="13"/>
        <v/>
      </c>
      <c r="I46" s="35" t="str">
        <f t="shared" si="14"/>
        <v/>
      </c>
      <c r="J46" s="149" t="str">
        <f t="shared" si="15"/>
        <v/>
      </c>
      <c r="K46" s="34" t="str">
        <f>IFERROR(INDEX(PRENOTAZIONI!$K:$K,SMALL(PRENOTAZIONI!$Z:$Z,43)),"")</f>
        <v/>
      </c>
      <c r="L46" s="35" t="str">
        <f>IFERROR(INDEX(PRENOTAZIONI!$L:$L,SMALL(PRENOTAZIONI!$Z:$Z,43)),"")</f>
        <v/>
      </c>
      <c r="M46" s="150" t="str">
        <f t="shared" si="16"/>
        <v/>
      </c>
      <c r="N46" s="35" t="str">
        <f t="shared" si="17"/>
        <v/>
      </c>
      <c r="O46" s="35"/>
      <c r="P46" s="43"/>
      <c r="Q46" s="150" t="str">
        <f t="shared" si="18"/>
        <v/>
      </c>
      <c r="R46" s="47" t="str">
        <f>IFERROR(INDEX(PRENOTAZIONI!$R:$R,SMALL(PRENOTAZIONI!$Z:$Z,43)),"")</f>
        <v/>
      </c>
      <c r="T46" s="78"/>
    </row>
    <row r="47" spans="1:30" ht="22" customHeight="1" x14ac:dyDescent="0.25">
      <c r="A47" s="31" t="str">
        <f>IFERROR(INDEX(PRENOTAZIONI!$A:$A,SMALL(PRENOTAZIONI!$Z:$Z,44)),"")</f>
        <v/>
      </c>
      <c r="B47" s="31" t="str">
        <f>IFERROR(INDEX(PRENOTAZIONI!$B:$B,SMALL(PRENOTAZIONI!$Z:$Z,44)),"")</f>
        <v/>
      </c>
      <c r="C47" s="32" t="str">
        <f t="shared" si="12"/>
        <v/>
      </c>
      <c r="D47" s="34" t="str">
        <f>IFERROR(INDEX(PRENOTAZIONI!$E:$E,SMALL(PRENOTAZIONI!$Z:$Z,44)),"")</f>
        <v/>
      </c>
      <c r="E47" s="34" t="str">
        <f>IFERROR(INDEX(PRENOTAZIONI!$F:$F,SMALL(PRENOTAZIONI!$Z:$Z,44)),"")</f>
        <v/>
      </c>
      <c r="F47" s="34" t="str">
        <f>IFERROR(INDEX(PRENOTAZIONI!$G:$G,SMALL(PRENOTAZIONI!$Z:$Z,44)),"")</f>
        <v/>
      </c>
      <c r="G47" s="35" t="str">
        <f>IFERROR(INDEX(PRENOTAZIONI!$H:$H,SMALL(PRENOTAZIONI!$Z:$Z,44)),"")</f>
        <v/>
      </c>
      <c r="H47" s="146" t="str">
        <f t="shared" si="13"/>
        <v/>
      </c>
      <c r="I47" s="35" t="str">
        <f t="shared" si="14"/>
        <v/>
      </c>
      <c r="J47" s="149" t="str">
        <f t="shared" si="15"/>
        <v/>
      </c>
      <c r="K47" s="34" t="str">
        <f>IFERROR(INDEX(PRENOTAZIONI!$K:$K,SMALL(PRENOTAZIONI!$Z:$Z,44)),"")</f>
        <v/>
      </c>
      <c r="L47" s="35" t="str">
        <f>IFERROR(INDEX(PRENOTAZIONI!$L:$L,SMALL(PRENOTAZIONI!$Z:$Z,44)),"")</f>
        <v/>
      </c>
      <c r="M47" s="150" t="str">
        <f t="shared" si="16"/>
        <v/>
      </c>
      <c r="N47" s="35" t="str">
        <f t="shared" si="17"/>
        <v/>
      </c>
      <c r="O47" s="35"/>
      <c r="P47" s="43"/>
      <c r="Q47" s="150" t="str">
        <f t="shared" si="18"/>
        <v/>
      </c>
      <c r="R47" s="47" t="str">
        <f>IFERROR(INDEX(PRENOTAZIONI!$R:$R,SMALL(PRENOTAZIONI!$Z:$Z,44)),"")</f>
        <v/>
      </c>
      <c r="T47" s="78"/>
    </row>
    <row r="48" spans="1:30" ht="22" customHeight="1" x14ac:dyDescent="0.25">
      <c r="A48" s="31" t="str">
        <f>IFERROR(INDEX(PRENOTAZIONI!$A:$A,SMALL(PRENOTAZIONI!$Z:$Z,45)),"")</f>
        <v/>
      </c>
      <c r="B48" s="31" t="str">
        <f>IFERROR(INDEX(PRENOTAZIONI!$B:$B,SMALL(PRENOTAZIONI!$Z:$Z,45)),"")</f>
        <v/>
      </c>
      <c r="C48" s="32" t="str">
        <f t="shared" si="12"/>
        <v/>
      </c>
      <c r="D48" s="34" t="str">
        <f>IFERROR(INDEX(PRENOTAZIONI!$E:$E,SMALL(PRENOTAZIONI!$Z:$Z,45)),"")</f>
        <v/>
      </c>
      <c r="E48" s="34" t="str">
        <f>IFERROR(INDEX(PRENOTAZIONI!$F:$F,SMALL(PRENOTAZIONI!$Z:$Z,45)),"")</f>
        <v/>
      </c>
      <c r="F48" s="34" t="str">
        <f>IFERROR(INDEX(PRENOTAZIONI!$G:$G,SMALL(PRENOTAZIONI!$Z:$Z,45)),"")</f>
        <v/>
      </c>
      <c r="G48" s="35" t="str">
        <f>IFERROR(INDEX(PRENOTAZIONI!$H:$H,SMALL(PRENOTAZIONI!$Z:$Z,45)),"")</f>
        <v/>
      </c>
      <c r="H48" s="146" t="str">
        <f t="shared" si="13"/>
        <v/>
      </c>
      <c r="I48" s="35" t="str">
        <f t="shared" si="14"/>
        <v/>
      </c>
      <c r="J48" s="149" t="str">
        <f t="shared" si="15"/>
        <v/>
      </c>
      <c r="K48" s="34" t="str">
        <f>IFERROR(INDEX(PRENOTAZIONI!$K:$K,SMALL(PRENOTAZIONI!$Z:$Z,45)),"")</f>
        <v/>
      </c>
      <c r="L48" s="35" t="str">
        <f>IFERROR(INDEX(PRENOTAZIONI!$L:$L,SMALL(PRENOTAZIONI!$Z:$Z,45)),"")</f>
        <v/>
      </c>
      <c r="M48" s="150" t="str">
        <f t="shared" si="16"/>
        <v/>
      </c>
      <c r="N48" s="35" t="str">
        <f t="shared" si="17"/>
        <v/>
      </c>
      <c r="O48" s="35"/>
      <c r="P48" s="43"/>
      <c r="Q48" s="150" t="str">
        <f t="shared" si="18"/>
        <v/>
      </c>
      <c r="R48" s="47" t="str">
        <f>IFERROR(INDEX(PRENOTAZIONI!$R:$R,SMALL(PRENOTAZIONI!$Z:$Z,45)),"")</f>
        <v/>
      </c>
      <c r="T48" s="78"/>
    </row>
    <row r="49" spans="1:20" ht="22" customHeight="1" x14ac:dyDescent="0.25">
      <c r="A49" s="31" t="str">
        <f>IFERROR(INDEX(PRENOTAZIONI!$A:$A,SMALL(PRENOTAZIONI!$Z:$Z,46)),"")</f>
        <v/>
      </c>
      <c r="B49" s="31" t="str">
        <f>IFERROR(INDEX(PRENOTAZIONI!$B:$B,SMALL(PRENOTAZIONI!$Z:$Z,46)),"")</f>
        <v/>
      </c>
      <c r="C49" s="32" t="str">
        <f t="shared" si="12"/>
        <v/>
      </c>
      <c r="D49" s="34" t="str">
        <f>IFERROR(INDEX(PRENOTAZIONI!$E:$E,SMALL(PRENOTAZIONI!$Z:$Z,46)),"")</f>
        <v/>
      </c>
      <c r="E49" s="34" t="str">
        <f>IFERROR(INDEX(PRENOTAZIONI!$F:$F,SMALL(PRENOTAZIONI!$Z:$Z,46)),"")</f>
        <v/>
      </c>
      <c r="F49" s="34" t="str">
        <f>IFERROR(INDEX(PRENOTAZIONI!$G:$G,SMALL(PRENOTAZIONI!$Z:$Z,46)),"")</f>
        <v/>
      </c>
      <c r="G49" s="35" t="str">
        <f>IFERROR(INDEX(PRENOTAZIONI!$H:$H,SMALL(PRENOTAZIONI!$Z:$Z,46)),"")</f>
        <v/>
      </c>
      <c r="H49" s="146" t="str">
        <f t="shared" si="13"/>
        <v/>
      </c>
      <c r="I49" s="35" t="str">
        <f t="shared" si="14"/>
        <v/>
      </c>
      <c r="J49" s="149" t="str">
        <f t="shared" si="15"/>
        <v/>
      </c>
      <c r="K49" s="34" t="str">
        <f>IFERROR(INDEX(PRENOTAZIONI!$K:$K,SMALL(PRENOTAZIONI!$Z:$Z,46)),"")</f>
        <v/>
      </c>
      <c r="L49" s="35" t="str">
        <f>IFERROR(INDEX(PRENOTAZIONI!$L:$L,SMALL(PRENOTAZIONI!$Z:$Z,46)),"")</f>
        <v/>
      </c>
      <c r="M49" s="150" t="str">
        <f t="shared" si="16"/>
        <v/>
      </c>
      <c r="N49" s="35" t="str">
        <f t="shared" si="17"/>
        <v/>
      </c>
      <c r="O49" s="35"/>
      <c r="P49" s="43"/>
      <c r="Q49" s="150" t="str">
        <f t="shared" si="18"/>
        <v/>
      </c>
      <c r="R49" s="47" t="str">
        <f>IFERROR(INDEX(PRENOTAZIONI!$R:$R,SMALL(PRENOTAZIONI!$Z:$Z,46)),"")</f>
        <v/>
      </c>
      <c r="T49" s="78"/>
    </row>
    <row r="50" spans="1:20" ht="22" customHeight="1" x14ac:dyDescent="0.25">
      <c r="A50" s="31" t="str">
        <f>IFERROR(INDEX(PRENOTAZIONI!$A:$A,SMALL(PRENOTAZIONI!$Z:$Z,47)),"")</f>
        <v/>
      </c>
      <c r="B50" s="31" t="str">
        <f>IFERROR(INDEX(PRENOTAZIONI!$B:$B,SMALL(PRENOTAZIONI!$Z:$Z,47)),"")</f>
        <v/>
      </c>
      <c r="C50" s="32" t="str">
        <f t="shared" si="12"/>
        <v/>
      </c>
      <c r="D50" s="34" t="str">
        <f>IFERROR(INDEX(PRENOTAZIONI!$E:$E,SMALL(PRENOTAZIONI!$Z:$Z,47)),"")</f>
        <v/>
      </c>
      <c r="E50" s="34" t="str">
        <f>IFERROR(INDEX(PRENOTAZIONI!$F:$F,SMALL(PRENOTAZIONI!$Z:$Z,47)),"")</f>
        <v/>
      </c>
      <c r="F50" s="34" t="str">
        <f>IFERROR(INDEX(PRENOTAZIONI!$G:$G,SMALL(PRENOTAZIONI!$Z:$Z,47)),"")</f>
        <v/>
      </c>
      <c r="G50" s="35" t="str">
        <f>IFERROR(INDEX(PRENOTAZIONI!$H:$H,SMALL(PRENOTAZIONI!$Z:$Z,47)),"")</f>
        <v/>
      </c>
      <c r="H50" s="146" t="str">
        <f t="shared" si="13"/>
        <v/>
      </c>
      <c r="I50" s="35" t="str">
        <f t="shared" si="14"/>
        <v/>
      </c>
      <c r="J50" s="149" t="str">
        <f t="shared" si="15"/>
        <v/>
      </c>
      <c r="K50" s="34" t="str">
        <f>IFERROR(INDEX(PRENOTAZIONI!$K:$K,SMALL(PRENOTAZIONI!$Z:$Z,47)),"")</f>
        <v/>
      </c>
      <c r="L50" s="35" t="str">
        <f>IFERROR(INDEX(PRENOTAZIONI!$L:$L,SMALL(PRENOTAZIONI!$Z:$Z,47)),"")</f>
        <v/>
      </c>
      <c r="M50" s="150" t="str">
        <f t="shared" si="16"/>
        <v/>
      </c>
      <c r="N50" s="35" t="str">
        <f t="shared" si="17"/>
        <v/>
      </c>
      <c r="O50" s="35"/>
      <c r="P50" s="43"/>
      <c r="Q50" s="150" t="str">
        <f t="shared" si="18"/>
        <v/>
      </c>
      <c r="R50" s="47" t="str">
        <f>IFERROR(INDEX(PRENOTAZIONI!$R:$R,SMALL(PRENOTAZIONI!$Z:$Z,47)),"")</f>
        <v/>
      </c>
      <c r="T50" s="78"/>
    </row>
    <row r="51" spans="1:20" ht="22" customHeight="1" x14ac:dyDescent="0.25">
      <c r="A51" s="31" t="str">
        <f>IFERROR(INDEX(PRENOTAZIONI!$A:$A,SMALL(PRENOTAZIONI!$Z:$Z,48)),"")</f>
        <v/>
      </c>
      <c r="B51" s="31" t="str">
        <f>IFERROR(INDEX(PRENOTAZIONI!$B:$B,SMALL(PRENOTAZIONI!$Z:$Z,48)),"")</f>
        <v/>
      </c>
      <c r="C51" s="32" t="str">
        <f t="shared" si="12"/>
        <v/>
      </c>
      <c r="D51" s="34" t="str">
        <f>IFERROR(INDEX(PRENOTAZIONI!$E:$E,SMALL(PRENOTAZIONI!$Z:$Z,48)),"")</f>
        <v/>
      </c>
      <c r="E51" s="34" t="str">
        <f>IFERROR(INDEX(PRENOTAZIONI!$F:$F,SMALL(PRENOTAZIONI!$Z:$Z,48)),"")</f>
        <v/>
      </c>
      <c r="F51" s="34" t="str">
        <f>IFERROR(INDEX(PRENOTAZIONI!$G:$G,SMALL(PRENOTAZIONI!$Z:$Z,48)),"")</f>
        <v/>
      </c>
      <c r="G51" s="35" t="str">
        <f>IFERROR(INDEX(PRENOTAZIONI!$H:$H,SMALL(PRENOTAZIONI!$Z:$Z,48)),"")</f>
        <v/>
      </c>
      <c r="H51" s="146" t="str">
        <f t="shared" si="13"/>
        <v/>
      </c>
      <c r="I51" s="35" t="str">
        <f t="shared" si="14"/>
        <v/>
      </c>
      <c r="J51" s="149" t="str">
        <f t="shared" si="15"/>
        <v/>
      </c>
      <c r="K51" s="34" t="str">
        <f>IFERROR(INDEX(PRENOTAZIONI!$K:$K,SMALL(PRENOTAZIONI!$Z:$Z,48)),"")</f>
        <v/>
      </c>
      <c r="L51" s="35" t="str">
        <f>IFERROR(INDEX(PRENOTAZIONI!$L:$L,SMALL(PRENOTAZIONI!$Z:$Z,48)),"")</f>
        <v/>
      </c>
      <c r="M51" s="150" t="str">
        <f t="shared" si="16"/>
        <v/>
      </c>
      <c r="N51" s="35" t="str">
        <f t="shared" si="17"/>
        <v/>
      </c>
      <c r="O51" s="35"/>
      <c r="P51" s="43"/>
      <c r="Q51" s="150" t="str">
        <f t="shared" si="18"/>
        <v/>
      </c>
      <c r="R51" s="47" t="str">
        <f>IFERROR(INDEX(PRENOTAZIONI!$R:$R,SMALL(PRENOTAZIONI!$Z:$Z,48)),"")</f>
        <v/>
      </c>
      <c r="T51" s="78"/>
    </row>
    <row r="52" spans="1:20" ht="22" customHeight="1" x14ac:dyDescent="0.25">
      <c r="A52" s="31" t="str">
        <f>IFERROR(INDEX(PRENOTAZIONI!$A:$A,SMALL(PRENOTAZIONI!$Z:$Z,49)),"")</f>
        <v/>
      </c>
      <c r="B52" s="31" t="str">
        <f>IFERROR(INDEX(PRENOTAZIONI!$B:$B,SMALL(PRENOTAZIONI!$Z:$Z,49)),"")</f>
        <v/>
      </c>
      <c r="C52" s="32" t="str">
        <f t="shared" si="12"/>
        <v/>
      </c>
      <c r="D52" s="34" t="str">
        <f>IFERROR(INDEX(PRENOTAZIONI!$E:$E,SMALL(PRENOTAZIONI!$Z:$Z,49)),"")</f>
        <v/>
      </c>
      <c r="E52" s="34" t="str">
        <f>IFERROR(INDEX(PRENOTAZIONI!$F:$F,SMALL(PRENOTAZIONI!$Z:$Z,49)),"")</f>
        <v/>
      </c>
      <c r="F52" s="34" t="str">
        <f>IFERROR(INDEX(PRENOTAZIONI!$G:$G,SMALL(PRENOTAZIONI!$Z:$Z,49)),"")</f>
        <v/>
      </c>
      <c r="G52" s="35" t="str">
        <f>IFERROR(INDEX(PRENOTAZIONI!$H:$H,SMALL(PRENOTAZIONI!$Z:$Z,49)),"")</f>
        <v/>
      </c>
      <c r="H52" s="146" t="str">
        <f t="shared" si="13"/>
        <v/>
      </c>
      <c r="I52" s="35" t="str">
        <f t="shared" si="14"/>
        <v/>
      </c>
      <c r="J52" s="149" t="str">
        <f t="shared" si="15"/>
        <v/>
      </c>
      <c r="K52" s="34" t="str">
        <f>IFERROR(INDEX(PRENOTAZIONI!$K:$K,SMALL(PRENOTAZIONI!$Z:$Z,49)),"")</f>
        <v/>
      </c>
      <c r="L52" s="35" t="str">
        <f>IFERROR(INDEX(PRENOTAZIONI!$L:$L,SMALL(PRENOTAZIONI!$Z:$Z,49)),"")</f>
        <v/>
      </c>
      <c r="M52" s="150" t="str">
        <f t="shared" si="16"/>
        <v/>
      </c>
      <c r="N52" s="35" t="str">
        <f t="shared" si="17"/>
        <v/>
      </c>
      <c r="O52" s="35"/>
      <c r="P52" s="43"/>
      <c r="Q52" s="150" t="str">
        <f t="shared" si="18"/>
        <v/>
      </c>
      <c r="R52" s="47" t="str">
        <f>IFERROR(INDEX(PRENOTAZIONI!$R:$R,SMALL(PRENOTAZIONI!$Z:$Z,49)),"")</f>
        <v/>
      </c>
      <c r="T52" s="78"/>
    </row>
    <row r="53" spans="1:20" ht="22" customHeight="1" x14ac:dyDescent="0.25">
      <c r="A53" s="31" t="str">
        <f>IFERROR(INDEX(PRENOTAZIONI!$A:$A,SMALL(PRENOTAZIONI!$Z:$Z,50)),"")</f>
        <v/>
      </c>
      <c r="B53" s="31" t="str">
        <f>IFERROR(INDEX(PRENOTAZIONI!$B:$B,SMALL(PRENOTAZIONI!$Z:$Z,50)),"")</f>
        <v/>
      </c>
      <c r="C53" s="32" t="str">
        <f t="shared" si="12"/>
        <v/>
      </c>
      <c r="D53" s="34" t="str">
        <f>IFERROR(INDEX(PRENOTAZIONI!$E:$E,SMALL(PRENOTAZIONI!$Z:$Z,50)),"")</f>
        <v/>
      </c>
      <c r="E53" s="34" t="str">
        <f>IFERROR(INDEX(PRENOTAZIONI!$F:$F,SMALL(PRENOTAZIONI!$Z:$Z,50)),"")</f>
        <v/>
      </c>
      <c r="F53" s="34" t="str">
        <f>IFERROR(INDEX(PRENOTAZIONI!$G:$G,SMALL(PRENOTAZIONI!$Z:$Z,50)),"")</f>
        <v/>
      </c>
      <c r="G53" s="35" t="str">
        <f>IFERROR(INDEX(PRENOTAZIONI!$H:$H,SMALL(PRENOTAZIONI!$Z:$Z,50)),"")</f>
        <v/>
      </c>
      <c r="H53" s="146" t="str">
        <f t="shared" si="13"/>
        <v/>
      </c>
      <c r="I53" s="35" t="str">
        <f t="shared" si="14"/>
        <v/>
      </c>
      <c r="J53" s="149" t="str">
        <f t="shared" si="15"/>
        <v/>
      </c>
      <c r="K53" s="34" t="str">
        <f>IFERROR(INDEX(PRENOTAZIONI!$K:$K,SMALL(PRENOTAZIONI!$Z:$Z,50)),"")</f>
        <v/>
      </c>
      <c r="L53" s="35" t="str">
        <f>IFERROR(INDEX(PRENOTAZIONI!$L:$L,SMALL(PRENOTAZIONI!$Z:$Z,50)),"")</f>
        <v/>
      </c>
      <c r="M53" s="150" t="str">
        <f t="shared" si="16"/>
        <v/>
      </c>
      <c r="N53" s="35" t="str">
        <f t="shared" si="17"/>
        <v/>
      </c>
      <c r="O53" s="35"/>
      <c r="P53" s="43"/>
      <c r="Q53" s="150" t="str">
        <f t="shared" si="18"/>
        <v/>
      </c>
      <c r="R53" s="47" t="str">
        <f>IFERROR(INDEX(PRENOTAZIONI!$R:$R,SMALL(PRENOTAZIONI!$Z:$Z,50)),"")</f>
        <v/>
      </c>
      <c r="T53" s="78"/>
    </row>
    <row r="54" spans="1:20" ht="22" customHeight="1" x14ac:dyDescent="0.25">
      <c r="A54" s="31" t="str">
        <f>IFERROR(INDEX(PRENOTAZIONI!$A:$A,SMALL(PRENOTAZIONI!$Z:$Z,51)),"")</f>
        <v/>
      </c>
      <c r="B54" s="31" t="str">
        <f>IFERROR(INDEX(PRENOTAZIONI!$B:$B,SMALL(PRENOTAZIONI!$Z:$Z,51)),"")</f>
        <v/>
      </c>
      <c r="C54" s="32" t="str">
        <f t="shared" si="12"/>
        <v/>
      </c>
      <c r="D54" s="34" t="str">
        <f>IFERROR(INDEX(PRENOTAZIONI!$E:$E,SMALL(PRENOTAZIONI!$Z:$Z,51)),"")</f>
        <v/>
      </c>
      <c r="E54" s="34" t="str">
        <f>IFERROR(INDEX(PRENOTAZIONI!$F:$F,SMALL(PRENOTAZIONI!$Z:$Z,51)),"")</f>
        <v/>
      </c>
      <c r="F54" s="34" t="str">
        <f>IFERROR(INDEX(PRENOTAZIONI!$G:$G,SMALL(PRENOTAZIONI!$Z:$Z,51)),"")</f>
        <v/>
      </c>
      <c r="G54" s="35" t="str">
        <f>IFERROR(INDEX(PRENOTAZIONI!$H:$H,SMALL(PRENOTAZIONI!$Z:$Z,51)),"")</f>
        <v/>
      </c>
      <c r="H54" s="146" t="str">
        <f t="shared" si="13"/>
        <v/>
      </c>
      <c r="I54" s="35" t="str">
        <f t="shared" si="14"/>
        <v/>
      </c>
      <c r="J54" s="149" t="str">
        <f t="shared" si="15"/>
        <v/>
      </c>
      <c r="K54" s="34" t="str">
        <f>IFERROR(INDEX(PRENOTAZIONI!$K:$K,SMALL(PRENOTAZIONI!$Z:$Z,51)),"")</f>
        <v/>
      </c>
      <c r="L54" s="35" t="str">
        <f>IFERROR(INDEX(PRENOTAZIONI!$L:$L,SMALL(PRENOTAZIONI!$Z:$Z,51)),"")</f>
        <v/>
      </c>
      <c r="M54" s="150" t="str">
        <f t="shared" si="16"/>
        <v/>
      </c>
      <c r="N54" s="35" t="str">
        <f t="shared" si="17"/>
        <v/>
      </c>
      <c r="O54" s="35"/>
      <c r="P54" s="43"/>
      <c r="Q54" s="150" t="str">
        <f t="shared" si="18"/>
        <v/>
      </c>
      <c r="R54" s="47" t="str">
        <f>IFERROR(INDEX(PRENOTAZIONI!$R:$R,SMALL(PRENOTAZIONI!$Z:$Z,51)),"")</f>
        <v/>
      </c>
      <c r="T54" s="78"/>
    </row>
    <row r="55" spans="1:20" ht="22" customHeight="1" x14ac:dyDescent="0.25">
      <c r="A55" s="31" t="str">
        <f>IFERROR(INDEX(PRENOTAZIONI!$A:$A,SMALL(PRENOTAZIONI!$Z:$Z,52)),"")</f>
        <v/>
      </c>
      <c r="B55" s="31" t="str">
        <f>IFERROR(INDEX(PRENOTAZIONI!$B:$B,SMALL(PRENOTAZIONI!$Z:$Z,52)),"")</f>
        <v/>
      </c>
      <c r="C55" s="32" t="str">
        <f t="shared" si="12"/>
        <v/>
      </c>
      <c r="D55" s="34" t="str">
        <f>IFERROR(INDEX(PRENOTAZIONI!$E:$E,SMALL(PRENOTAZIONI!$Z:$Z,52)),"")</f>
        <v/>
      </c>
      <c r="E55" s="34" t="str">
        <f>IFERROR(INDEX(PRENOTAZIONI!$F:$F,SMALL(PRENOTAZIONI!$Z:$Z,52)),"")</f>
        <v/>
      </c>
      <c r="F55" s="34" t="str">
        <f>IFERROR(INDEX(PRENOTAZIONI!$G:$G,SMALL(PRENOTAZIONI!$Z:$Z,52)),"")</f>
        <v/>
      </c>
      <c r="G55" s="35" t="str">
        <f>IFERROR(INDEX(PRENOTAZIONI!$H:$H,SMALL(PRENOTAZIONI!$Z:$Z,52)),"")</f>
        <v/>
      </c>
      <c r="H55" s="146" t="str">
        <f t="shared" si="13"/>
        <v/>
      </c>
      <c r="I55" s="35" t="str">
        <f t="shared" si="14"/>
        <v/>
      </c>
      <c r="J55" s="149" t="str">
        <f t="shared" si="15"/>
        <v/>
      </c>
      <c r="K55" s="34" t="str">
        <f>IFERROR(INDEX(PRENOTAZIONI!$K:$K,SMALL(PRENOTAZIONI!$Z:$Z,52)),"")</f>
        <v/>
      </c>
      <c r="L55" s="35" t="str">
        <f>IFERROR(INDEX(PRENOTAZIONI!$L:$L,SMALL(PRENOTAZIONI!$Z:$Z,52)),"")</f>
        <v/>
      </c>
      <c r="M55" s="150" t="str">
        <f t="shared" si="16"/>
        <v/>
      </c>
      <c r="N55" s="35" t="str">
        <f t="shared" si="17"/>
        <v/>
      </c>
      <c r="O55" s="35"/>
      <c r="P55" s="43"/>
      <c r="Q55" s="150" t="str">
        <f t="shared" si="18"/>
        <v/>
      </c>
      <c r="R55" s="47" t="str">
        <f>IFERROR(INDEX(PRENOTAZIONI!$R:$R,SMALL(PRENOTAZIONI!$Z:$Z,52)),"")</f>
        <v/>
      </c>
      <c r="T55" s="78"/>
    </row>
    <row r="56" spans="1:20" ht="22" customHeight="1" x14ac:dyDescent="0.25">
      <c r="A56" s="31" t="str">
        <f>IFERROR(INDEX(PRENOTAZIONI!$A:$A,SMALL(PRENOTAZIONI!$Z:$Z,53)),"")</f>
        <v/>
      </c>
      <c r="B56" s="31" t="str">
        <f>IFERROR(INDEX(PRENOTAZIONI!$B:$B,SMALL(PRENOTAZIONI!$Z:$Z,53)),"")</f>
        <v/>
      </c>
      <c r="C56" s="32" t="str">
        <f t="shared" si="12"/>
        <v/>
      </c>
      <c r="D56" s="34" t="str">
        <f>IFERROR(INDEX(PRENOTAZIONI!$E:$E,SMALL(PRENOTAZIONI!$Z:$Z,53)),"")</f>
        <v/>
      </c>
      <c r="E56" s="34" t="str">
        <f>IFERROR(INDEX(PRENOTAZIONI!$F:$F,SMALL(PRENOTAZIONI!$Z:$Z,53)),"")</f>
        <v/>
      </c>
      <c r="F56" s="34" t="str">
        <f>IFERROR(INDEX(PRENOTAZIONI!$G:$G,SMALL(PRENOTAZIONI!$Z:$Z,53)),"")</f>
        <v/>
      </c>
      <c r="G56" s="35" t="str">
        <f>IFERROR(INDEX(PRENOTAZIONI!$H:$H,SMALL(PRENOTAZIONI!$Z:$Z,53)),"")</f>
        <v/>
      </c>
      <c r="H56" s="146" t="str">
        <f t="shared" si="13"/>
        <v/>
      </c>
      <c r="I56" s="35" t="str">
        <f t="shared" si="14"/>
        <v/>
      </c>
      <c r="J56" s="149" t="str">
        <f t="shared" si="15"/>
        <v/>
      </c>
      <c r="K56" s="34" t="str">
        <f>IFERROR(INDEX(PRENOTAZIONI!$K:$K,SMALL(PRENOTAZIONI!$Z:$Z,53)),"")</f>
        <v/>
      </c>
      <c r="L56" s="35" t="str">
        <f>IFERROR(INDEX(PRENOTAZIONI!$L:$L,SMALL(PRENOTAZIONI!$Z:$Z,53)),"")</f>
        <v/>
      </c>
      <c r="M56" s="150" t="str">
        <f t="shared" si="16"/>
        <v/>
      </c>
      <c r="N56" s="35" t="str">
        <f t="shared" si="17"/>
        <v/>
      </c>
      <c r="O56" s="35"/>
      <c r="P56" s="43"/>
      <c r="Q56" s="150" t="str">
        <f t="shared" si="18"/>
        <v/>
      </c>
      <c r="R56" s="47" t="str">
        <f>IFERROR(INDEX(PRENOTAZIONI!$R:$R,SMALL(PRENOTAZIONI!$Z:$Z,53)),"")</f>
        <v/>
      </c>
      <c r="T56" s="78"/>
    </row>
    <row r="57" spans="1:20" ht="22" customHeight="1" x14ac:dyDescent="0.25">
      <c r="A57" s="31" t="str">
        <f>IFERROR(INDEX(PRENOTAZIONI!$A:$A,SMALL(PRENOTAZIONI!$Z:$Z,54)),"")</f>
        <v/>
      </c>
      <c r="B57" s="31" t="str">
        <f>IFERROR(INDEX(PRENOTAZIONI!$B:$B,SMALL(PRENOTAZIONI!$Z:$Z,54)),"")</f>
        <v/>
      </c>
      <c r="C57" s="32" t="str">
        <f t="shared" si="12"/>
        <v/>
      </c>
      <c r="D57" s="34" t="str">
        <f>IFERROR(INDEX(PRENOTAZIONI!$E:$E,SMALL(PRENOTAZIONI!$Z:$Z,54)),"")</f>
        <v/>
      </c>
      <c r="E57" s="34" t="str">
        <f>IFERROR(INDEX(PRENOTAZIONI!$F:$F,SMALL(PRENOTAZIONI!$Z:$Z,54)),"")</f>
        <v/>
      </c>
      <c r="F57" s="34" t="str">
        <f>IFERROR(INDEX(PRENOTAZIONI!$G:$G,SMALL(PRENOTAZIONI!$Z:$Z,54)),"")</f>
        <v/>
      </c>
      <c r="G57" s="35" t="str">
        <f>IFERROR(INDEX(PRENOTAZIONI!$H:$H,SMALL(PRENOTAZIONI!$Z:$Z,54)),"")</f>
        <v/>
      </c>
      <c r="H57" s="146" t="str">
        <f t="shared" si="13"/>
        <v/>
      </c>
      <c r="I57" s="35" t="str">
        <f t="shared" si="14"/>
        <v/>
      </c>
      <c r="J57" s="149" t="str">
        <f t="shared" si="15"/>
        <v/>
      </c>
      <c r="K57" s="34" t="str">
        <f>IFERROR(INDEX(PRENOTAZIONI!$K:$K,SMALL(PRENOTAZIONI!$Z:$Z,54)),"")</f>
        <v/>
      </c>
      <c r="L57" s="35" t="str">
        <f>IFERROR(INDEX(PRENOTAZIONI!$L:$L,SMALL(PRENOTAZIONI!$Z:$Z,54)),"")</f>
        <v/>
      </c>
      <c r="M57" s="150" t="str">
        <f t="shared" si="16"/>
        <v/>
      </c>
      <c r="N57" s="35" t="str">
        <f t="shared" si="17"/>
        <v/>
      </c>
      <c r="O57" s="35"/>
      <c r="P57" s="43"/>
      <c r="Q57" s="150" t="str">
        <f t="shared" si="18"/>
        <v/>
      </c>
      <c r="R57" s="47" t="str">
        <f>IFERROR(INDEX(PRENOTAZIONI!$R:$R,SMALL(PRENOTAZIONI!$Z:$Z,54)),"")</f>
        <v/>
      </c>
      <c r="T57" s="78"/>
    </row>
    <row r="58" spans="1:20" ht="22" customHeight="1" x14ac:dyDescent="0.25">
      <c r="A58" s="31" t="str">
        <f>IFERROR(INDEX(PRENOTAZIONI!$A:$A,SMALL(PRENOTAZIONI!$Z:$Z,55)),"")</f>
        <v/>
      </c>
      <c r="B58" s="31" t="str">
        <f>IFERROR(INDEX(PRENOTAZIONI!$B:$B,SMALL(PRENOTAZIONI!$Z:$Z,55)),"")</f>
        <v/>
      </c>
      <c r="C58" s="32" t="str">
        <f t="shared" si="12"/>
        <v/>
      </c>
      <c r="D58" s="34" t="str">
        <f>IFERROR(INDEX(PRENOTAZIONI!$E:$E,SMALL(PRENOTAZIONI!$Z:$Z,55)),"")</f>
        <v/>
      </c>
      <c r="E58" s="34" t="str">
        <f>IFERROR(INDEX(PRENOTAZIONI!$F:$F,SMALL(PRENOTAZIONI!$Z:$Z,55)),"")</f>
        <v/>
      </c>
      <c r="F58" s="34" t="str">
        <f>IFERROR(INDEX(PRENOTAZIONI!$G:$G,SMALL(PRENOTAZIONI!$Z:$Z,55)),"")</f>
        <v/>
      </c>
      <c r="G58" s="35" t="str">
        <f>IFERROR(INDEX(PRENOTAZIONI!$H:$H,SMALL(PRENOTAZIONI!$Z:$Z,55)),"")</f>
        <v/>
      </c>
      <c r="H58" s="146" t="str">
        <f t="shared" si="13"/>
        <v/>
      </c>
      <c r="I58" s="35" t="str">
        <f t="shared" si="14"/>
        <v/>
      </c>
      <c r="J58" s="149" t="str">
        <f t="shared" si="15"/>
        <v/>
      </c>
      <c r="K58" s="34" t="str">
        <f>IFERROR(INDEX(PRENOTAZIONI!$K:$K,SMALL(PRENOTAZIONI!$Z:$Z,55)),"")</f>
        <v/>
      </c>
      <c r="L58" s="35" t="str">
        <f>IFERROR(INDEX(PRENOTAZIONI!$L:$L,SMALL(PRENOTAZIONI!$Z:$Z,55)),"")</f>
        <v/>
      </c>
      <c r="M58" s="150" t="str">
        <f t="shared" si="16"/>
        <v/>
      </c>
      <c r="N58" s="35" t="str">
        <f t="shared" si="17"/>
        <v/>
      </c>
      <c r="O58" s="35"/>
      <c r="P58" s="43"/>
      <c r="Q58" s="150" t="str">
        <f t="shared" si="18"/>
        <v/>
      </c>
      <c r="R58" s="47" t="str">
        <f>IFERROR(INDEX(PRENOTAZIONI!$R:$R,SMALL(PRENOTAZIONI!$Z:$Z,55)),"")</f>
        <v/>
      </c>
      <c r="T58" s="78"/>
    </row>
    <row r="59" spans="1:20" ht="22" customHeight="1" x14ac:dyDescent="0.25">
      <c r="A59" s="31" t="str">
        <f>IFERROR(INDEX(PRENOTAZIONI!$A:$A,SMALL(PRENOTAZIONI!$Z:$Z,56)),"")</f>
        <v/>
      </c>
      <c r="B59" s="31" t="str">
        <f>IFERROR(INDEX(PRENOTAZIONI!$B:$B,SMALL(PRENOTAZIONI!$Z:$Z,56)),"")</f>
        <v/>
      </c>
      <c r="C59" s="32" t="str">
        <f t="shared" si="12"/>
        <v/>
      </c>
      <c r="D59" s="34" t="str">
        <f>IFERROR(INDEX(PRENOTAZIONI!$E:$E,SMALL(PRENOTAZIONI!$Z:$Z,56)),"")</f>
        <v/>
      </c>
      <c r="E59" s="34" t="str">
        <f>IFERROR(INDEX(PRENOTAZIONI!$F:$F,SMALL(PRENOTAZIONI!$Z:$Z,56)),"")</f>
        <v/>
      </c>
      <c r="F59" s="34" t="str">
        <f>IFERROR(INDEX(PRENOTAZIONI!$G:$G,SMALL(PRENOTAZIONI!$Z:$Z,56)),"")</f>
        <v/>
      </c>
      <c r="G59" s="35" t="str">
        <f>IFERROR(INDEX(PRENOTAZIONI!$H:$H,SMALL(PRENOTAZIONI!$Z:$Z,56)),"")</f>
        <v/>
      </c>
      <c r="H59" s="146" t="str">
        <f t="shared" si="13"/>
        <v/>
      </c>
      <c r="I59" s="35" t="str">
        <f t="shared" si="14"/>
        <v/>
      </c>
      <c r="J59" s="149" t="str">
        <f t="shared" si="15"/>
        <v/>
      </c>
      <c r="K59" s="34" t="str">
        <f>IFERROR(INDEX(PRENOTAZIONI!$K:$K,SMALL(PRENOTAZIONI!$Z:$Z,56)),"")</f>
        <v/>
      </c>
      <c r="L59" s="35" t="str">
        <f>IFERROR(INDEX(PRENOTAZIONI!$L:$L,SMALL(PRENOTAZIONI!$Z:$Z,56)),"")</f>
        <v/>
      </c>
      <c r="M59" s="150" t="str">
        <f t="shared" si="16"/>
        <v/>
      </c>
      <c r="N59" s="35" t="str">
        <f t="shared" si="17"/>
        <v/>
      </c>
      <c r="O59" s="35"/>
      <c r="P59" s="35"/>
      <c r="Q59" s="150" t="str">
        <f t="shared" si="18"/>
        <v/>
      </c>
      <c r="R59" s="47" t="str">
        <f>IFERROR(INDEX(PRENOTAZIONI!$R:$R,SMALL(PRENOTAZIONI!$Z:$Z,56)),"")</f>
        <v/>
      </c>
      <c r="T59" s="78"/>
    </row>
    <row r="60" spans="1:20" ht="22" customHeight="1" x14ac:dyDescent="0.25">
      <c r="A60" s="31" t="str">
        <f>IFERROR(INDEX(PRENOTAZIONI!$A:$A,SMALL(PRENOTAZIONI!$Z:$Z,57)),"")</f>
        <v/>
      </c>
      <c r="B60" s="31" t="str">
        <f>IFERROR(INDEX(PRENOTAZIONI!$B:$B,SMALL(PRENOTAZIONI!$Z:$Z,57)),"")</f>
        <v/>
      </c>
      <c r="C60" s="32" t="str">
        <f t="shared" si="12"/>
        <v/>
      </c>
      <c r="D60" s="34" t="str">
        <f>IFERROR(INDEX(PRENOTAZIONI!$E:$E,SMALL(PRENOTAZIONI!$Z:$Z,57)),"")</f>
        <v/>
      </c>
      <c r="E60" s="34" t="str">
        <f>IFERROR(INDEX(PRENOTAZIONI!$F:$F,SMALL(PRENOTAZIONI!$Z:$Z,57)),"")</f>
        <v/>
      </c>
      <c r="F60" s="34" t="str">
        <f>IFERROR(INDEX(PRENOTAZIONI!$G:$G,SMALL(PRENOTAZIONI!$Z:$Z,57)),"")</f>
        <v/>
      </c>
      <c r="G60" s="35" t="str">
        <f>IFERROR(INDEX(PRENOTAZIONI!$H:$H,SMALL(PRENOTAZIONI!$Z:$Z,57)),"")</f>
        <v/>
      </c>
      <c r="H60" s="146" t="str">
        <f t="shared" si="13"/>
        <v/>
      </c>
      <c r="I60" s="35" t="str">
        <f t="shared" si="14"/>
        <v/>
      </c>
      <c r="J60" s="149" t="str">
        <f t="shared" si="15"/>
        <v/>
      </c>
      <c r="K60" s="34" t="str">
        <f>IFERROR(INDEX(PRENOTAZIONI!$K:$K,SMALL(PRENOTAZIONI!$Z:$Z,57)),"")</f>
        <v/>
      </c>
      <c r="L60" s="35" t="str">
        <f>IFERROR(INDEX(PRENOTAZIONI!$L:$L,SMALL(PRENOTAZIONI!$Z:$Z,57)),"")</f>
        <v/>
      </c>
      <c r="M60" s="150" t="str">
        <f t="shared" si="16"/>
        <v/>
      </c>
      <c r="N60" s="35" t="str">
        <f t="shared" si="17"/>
        <v/>
      </c>
      <c r="O60" s="35"/>
      <c r="P60" s="35"/>
      <c r="Q60" s="150" t="str">
        <f t="shared" si="18"/>
        <v/>
      </c>
      <c r="R60" s="47" t="str">
        <f>IFERROR(INDEX(PRENOTAZIONI!$R:$R,SMALL(PRENOTAZIONI!$Z:$Z,57)),"")</f>
        <v/>
      </c>
      <c r="T60" s="78"/>
    </row>
    <row r="61" spans="1:20" ht="22" customHeight="1" x14ac:dyDescent="0.25">
      <c r="A61" s="31" t="str">
        <f>IFERROR(INDEX(PRENOTAZIONI!$A:$A,SMALL(PRENOTAZIONI!$Z:$Z,58)),"")</f>
        <v/>
      </c>
      <c r="B61" s="31" t="str">
        <f>IFERROR(INDEX(PRENOTAZIONI!$B:$B,SMALL(PRENOTAZIONI!$Z:$Z,58)),"")</f>
        <v/>
      </c>
      <c r="C61" s="32" t="str">
        <f t="shared" si="12"/>
        <v/>
      </c>
      <c r="D61" s="34" t="str">
        <f>IFERROR(INDEX(PRENOTAZIONI!$E:$E,SMALL(PRENOTAZIONI!$Z:$Z,58)),"")</f>
        <v/>
      </c>
      <c r="E61" s="34" t="str">
        <f>IFERROR(INDEX(PRENOTAZIONI!$F:$F,SMALL(PRENOTAZIONI!$Z:$Z,58)),"")</f>
        <v/>
      </c>
      <c r="F61" s="34" t="str">
        <f>IFERROR(INDEX(PRENOTAZIONI!$G:$G,SMALL(PRENOTAZIONI!$Z:$Z,58)),"")</f>
        <v/>
      </c>
      <c r="G61" s="35" t="str">
        <f>IFERROR(INDEX(PRENOTAZIONI!$H:$H,SMALL(PRENOTAZIONI!$Z:$Z,58)),"")</f>
        <v/>
      </c>
      <c r="H61" s="146" t="str">
        <f t="shared" si="13"/>
        <v/>
      </c>
      <c r="I61" s="35" t="str">
        <f t="shared" si="14"/>
        <v/>
      </c>
      <c r="J61" s="149" t="str">
        <f t="shared" si="15"/>
        <v/>
      </c>
      <c r="K61" s="34" t="str">
        <f>IFERROR(INDEX(PRENOTAZIONI!$K:$K,SMALL(PRENOTAZIONI!$Z:$Z,58)),"")</f>
        <v/>
      </c>
      <c r="L61" s="35" t="str">
        <f>IFERROR(INDEX(PRENOTAZIONI!$L:$L,SMALL(PRENOTAZIONI!$Z:$Z,58)),"")</f>
        <v/>
      </c>
      <c r="M61" s="150" t="str">
        <f t="shared" si="16"/>
        <v/>
      </c>
      <c r="N61" s="35" t="str">
        <f t="shared" si="17"/>
        <v/>
      </c>
      <c r="O61" s="35"/>
      <c r="P61" s="35"/>
      <c r="Q61" s="150" t="str">
        <f t="shared" si="18"/>
        <v/>
      </c>
      <c r="R61" s="47" t="str">
        <f>IFERROR(INDEX(PRENOTAZIONI!$R:$R,SMALL(PRENOTAZIONI!$Z:$Z,58)),"")</f>
        <v/>
      </c>
      <c r="T61" s="78"/>
    </row>
    <row r="62" spans="1:20" ht="22" customHeight="1" x14ac:dyDescent="0.25">
      <c r="A62" s="31" t="str">
        <f>IFERROR(INDEX(PRENOTAZIONI!$A:$A,SMALL(PRENOTAZIONI!$Z:$Z,59)),"")</f>
        <v/>
      </c>
      <c r="B62" s="31" t="str">
        <f>IFERROR(INDEX(PRENOTAZIONI!$B:$B,SMALL(PRENOTAZIONI!$Z:$Z,59)),"")</f>
        <v/>
      </c>
      <c r="C62" s="32" t="str">
        <f t="shared" si="12"/>
        <v/>
      </c>
      <c r="D62" s="34" t="str">
        <f>IFERROR(INDEX(PRENOTAZIONI!$E:$E,SMALL(PRENOTAZIONI!$Z:$Z,59)),"")</f>
        <v/>
      </c>
      <c r="E62" s="34" t="str">
        <f>IFERROR(INDEX(PRENOTAZIONI!$F:$F,SMALL(PRENOTAZIONI!$Z:$Z,59)),"")</f>
        <v/>
      </c>
      <c r="F62" s="34" t="str">
        <f>IFERROR(INDEX(PRENOTAZIONI!$G:$G,SMALL(PRENOTAZIONI!$Z:$Z,59)),"")</f>
        <v/>
      </c>
      <c r="G62" s="35" t="str">
        <f>IFERROR(INDEX(PRENOTAZIONI!$H:$H,SMALL(PRENOTAZIONI!$Z:$Z,59)),"")</f>
        <v/>
      </c>
      <c r="H62" s="146" t="str">
        <f t="shared" si="13"/>
        <v/>
      </c>
      <c r="I62" s="35" t="str">
        <f t="shared" si="14"/>
        <v/>
      </c>
      <c r="J62" s="149" t="str">
        <f t="shared" si="15"/>
        <v/>
      </c>
      <c r="K62" s="34" t="str">
        <f>IFERROR(INDEX(PRENOTAZIONI!$K:$K,SMALL(PRENOTAZIONI!$Z:$Z,59)),"")</f>
        <v/>
      </c>
      <c r="L62" s="35" t="str">
        <f>IFERROR(INDEX(PRENOTAZIONI!$L:$L,SMALL(PRENOTAZIONI!$Z:$Z,59)),"")</f>
        <v/>
      </c>
      <c r="M62" s="150" t="str">
        <f t="shared" si="16"/>
        <v/>
      </c>
      <c r="N62" s="35" t="str">
        <f t="shared" si="17"/>
        <v/>
      </c>
      <c r="O62" s="35"/>
      <c r="P62" s="35"/>
      <c r="Q62" s="150" t="str">
        <f t="shared" si="18"/>
        <v/>
      </c>
      <c r="R62" s="47" t="str">
        <f>IFERROR(INDEX(PRENOTAZIONI!$R:$R,SMALL(PRENOTAZIONI!$Z:$Z,59)),"")</f>
        <v/>
      </c>
      <c r="T62" s="78"/>
    </row>
    <row r="63" spans="1:20" ht="22" customHeight="1" x14ac:dyDescent="0.25">
      <c r="A63" s="31" t="str">
        <f>IFERROR(INDEX(PRENOTAZIONI!$A:$A,SMALL(PRENOTAZIONI!$Z:$Z,60)),"")</f>
        <v/>
      </c>
      <c r="B63" s="31" t="str">
        <f>IFERROR(INDEX(PRENOTAZIONI!$B:$B,SMALL(PRENOTAZIONI!$Z:$Z,60)),"")</f>
        <v/>
      </c>
      <c r="C63" s="32" t="str">
        <f t="shared" si="12"/>
        <v/>
      </c>
      <c r="D63" s="34" t="str">
        <f>IFERROR(INDEX(PRENOTAZIONI!$E:$E,SMALL(PRENOTAZIONI!$Z:$Z,60)),"")</f>
        <v/>
      </c>
      <c r="E63" s="34" t="str">
        <f>IFERROR(INDEX(PRENOTAZIONI!$F:$F,SMALL(PRENOTAZIONI!$Z:$Z,60)),"")</f>
        <v/>
      </c>
      <c r="F63" s="34" t="str">
        <f>IFERROR(INDEX(PRENOTAZIONI!$G:$G,SMALL(PRENOTAZIONI!$Z:$Z,60)),"")</f>
        <v/>
      </c>
      <c r="G63" s="35" t="str">
        <f>IFERROR(INDEX(PRENOTAZIONI!$H:$H,SMALL(PRENOTAZIONI!$Z:$Z,60)),"")</f>
        <v/>
      </c>
      <c r="H63" s="146" t="str">
        <f t="shared" si="13"/>
        <v/>
      </c>
      <c r="I63" s="35" t="str">
        <f t="shared" si="14"/>
        <v/>
      </c>
      <c r="J63" s="149" t="str">
        <f t="shared" si="15"/>
        <v/>
      </c>
      <c r="K63" s="34" t="str">
        <f>IFERROR(INDEX(PRENOTAZIONI!$K:$K,SMALL(PRENOTAZIONI!$Z:$Z,60)),"")</f>
        <v/>
      </c>
      <c r="L63" s="35" t="str">
        <f>IFERROR(INDEX(PRENOTAZIONI!$L:$L,SMALL(PRENOTAZIONI!$Z:$Z,60)),"")</f>
        <v/>
      </c>
      <c r="M63" s="150" t="str">
        <f t="shared" si="16"/>
        <v/>
      </c>
      <c r="N63" s="35" t="str">
        <f t="shared" si="17"/>
        <v/>
      </c>
      <c r="O63" s="35"/>
      <c r="P63" s="35"/>
      <c r="Q63" s="150" t="str">
        <f t="shared" si="18"/>
        <v/>
      </c>
      <c r="R63" s="47" t="str">
        <f>IFERROR(INDEX(PRENOTAZIONI!$R:$R,SMALL(PRENOTAZIONI!$Z:$Z,60)),"")</f>
        <v/>
      </c>
      <c r="T63" s="78"/>
    </row>
    <row r="64" spans="1:20" ht="19" customHeight="1" x14ac:dyDescent="0.25">
      <c r="T64" s="78"/>
    </row>
    <row r="65" spans="20:20" ht="19" customHeight="1" x14ac:dyDescent="0.25">
      <c r="T65" s="78"/>
    </row>
  </sheetData>
  <autoFilter ref="A3:Q63" xr:uid="{00000000-0009-0000-0000-000008000000}"/>
  <pageMargins left="0.25" right="0.25" top="0.75" bottom="0.75" header="0.3" footer="0.3"/>
  <pageSetup paperSize="9" scale="17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75623"/>
  </sheetPr>
  <dimension ref="A1:BH65"/>
  <sheetViews>
    <sheetView workbookViewId="0">
      <pane ySplit="3" topLeftCell="A4" activePane="bottomLeft" state="frozen"/>
      <selection pane="bottomLeft" activeCell="S14" sqref="S14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" customWidth="1"/>
    <col min="7" max="8" width="11" customWidth="1"/>
    <col min="9" max="9" width="12" bestFit="1" customWidth="1"/>
    <col min="10" max="10" width="13" customWidth="1"/>
    <col min="11" max="11" width="9.6640625" bestFit="1" customWidth="1"/>
    <col min="12" max="12" width="10" customWidth="1"/>
    <col min="13" max="13" width="13" customWidth="1"/>
    <col min="14" max="14" width="10" customWidth="1"/>
    <col min="15" max="15" width="20" customWidth="1"/>
    <col min="16" max="16" width="20.33203125" bestFit="1" customWidth="1"/>
    <col min="17" max="17" width="18" customWidth="1"/>
    <col min="18" max="18" width="28" customWidth="1"/>
    <col min="19" max="19" width="33" bestFit="1" customWidth="1"/>
    <col min="20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4" width="8" customWidth="1"/>
    <col min="35" max="35" width="13" customWidth="1"/>
    <col min="36" max="36" width="11" customWidth="1"/>
    <col min="37" max="37" width="10" customWidth="1"/>
    <col min="38" max="38" width="12" customWidth="1"/>
    <col min="39" max="41" width="11" customWidth="1"/>
    <col min="42" max="42" width="14.5" bestFit="1" customWidth="1"/>
  </cols>
  <sheetData>
    <row r="1" spans="1:60" ht="28" customHeight="1" x14ac:dyDescent="0.25">
      <c r="A1" s="1" t="s">
        <v>295</v>
      </c>
      <c r="B1" s="2"/>
      <c r="C1" s="2"/>
      <c r="D1" s="2"/>
      <c r="E1" s="2"/>
      <c r="F1" s="2"/>
      <c r="G1" s="2"/>
      <c r="I1" s="2"/>
      <c r="J1" s="148"/>
      <c r="K1" s="2"/>
      <c r="L1" s="2"/>
      <c r="M1" s="2"/>
      <c r="N1" s="2"/>
      <c r="O1" s="2"/>
      <c r="P1" s="2"/>
      <c r="Q1" s="2"/>
      <c r="R1" s="2"/>
      <c r="T1" s="77"/>
      <c r="AF1" s="38"/>
      <c r="AG1" s="110" t="s">
        <v>296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39" t="s">
        <v>18</v>
      </c>
      <c r="S3" s="201"/>
      <c r="T3" s="83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x14ac:dyDescent="0.2">
      <c r="A4" s="174">
        <f>IFERROR(INDEX(PRENOTAZIONI!$A:$A,SMALL(PRENOTAZIONI!$AB:$AB,1)),"")</f>
        <v>46218</v>
      </c>
      <c r="B4" s="175">
        <f>IFERROR(INDEX(PRENOTAZIONI!$B:$B,SMALL(PRENOTAZIONI!$AB:$AB,1)),"")</f>
        <v>46225</v>
      </c>
      <c r="C4" s="176">
        <f t="shared" ref="C4:C35" si="0">IF(A4&lt;&gt;"",B4-A4,"")</f>
        <v>7</v>
      </c>
      <c r="D4" s="177" t="str">
        <f>IFERROR(INDEX(PRENOTAZIONI!$E:$E,SMALL(PRENOTAZIONI!$AB:$AB,1)),"")</f>
        <v>Mariano Sambucari</v>
      </c>
      <c r="E4" s="177" t="str">
        <f>IFERROR(INDEX(PRENOTAZIONI!$F:$F,SMALL(PRENOTAZIONI!$AB:$AB,1)),"")</f>
        <v>3 ad + 1 b</v>
      </c>
      <c r="F4" s="177" t="str">
        <f>IFERROR(INDEX(PRENOTAZIONI!$G:$G,SMALL(PRENOTAZIONI!$AB:$AB,1)),"")</f>
        <v>booking.com</v>
      </c>
      <c r="G4" s="178">
        <f>IFERROR(INDEX(PRENOTAZIONI!$H:$H,SMALL(PRENOTAZIONI!$AB:$AB,1)),"")</f>
        <v>1060.6300000000001</v>
      </c>
      <c r="H4" s="215">
        <f t="shared" ref="H4:H35" si="1">IF(AND(G4&lt;&gt;"",C4&lt;&gt;"",C4&lt;&gt;0),G4/C4,"")</f>
        <v>151.51857142857145</v>
      </c>
      <c r="I4" s="178">
        <f t="shared" ref="I4:I35" si="2">IF(G4="","",IF(NOT(ISERROR(SEARCH("diretta",F4))),0,IF(NOT(ISERROR(SEARCH("booking",F4))),G4*0.15,IF(NOT(ISERROR(SEARCH("airbnb",F4))),G4*0.155,""))))</f>
        <v>159.09450000000001</v>
      </c>
      <c r="J4" s="179">
        <f>IF(I4&lt;&gt;"",I4*0.22,"")</f>
        <v>35.000790000000002</v>
      </c>
      <c r="K4" s="177" t="str">
        <f>IFERROR(INDEX(PRENOTAZIONI!$K:$K,SMALL(PRENOTAZIONI!$AB:$AB,1)),"")</f>
        <v>MASTER</v>
      </c>
      <c r="L4" s="178">
        <f>IFERROR(INDEX(PRENOTAZIONI!$L:$L,SMALL(PRENOTAZIONI!$AB:$AB,1)),"")</f>
        <v>20</v>
      </c>
      <c r="M4" s="180">
        <f t="shared" ref="M4:M35" si="3">IF(G4&lt;&gt;"",G4*0.21,"")</f>
        <v>222.73230000000001</v>
      </c>
      <c r="N4" s="178">
        <f t="shared" ref="N4:N35" si="4">IF(G4&lt;&gt;"",G4*0.25,"")</f>
        <v>265.15750000000003</v>
      </c>
      <c r="O4" s="178">
        <v>110</v>
      </c>
      <c r="P4" s="181" t="s">
        <v>324</v>
      </c>
      <c r="Q4" s="180">
        <f t="shared" ref="Q4:Q35" si="5">IF(G4&lt;&gt;"",G4-I4-J4-M4-N4-O4,"")</f>
        <v>268.64490999999998</v>
      </c>
      <c r="R4" s="177">
        <f>IFERROR(INDEX(PRENOTAZIONI!$R:$R,SMALL(PRENOTAZIONI!$AB:$AB,1)),"")</f>
        <v>0</v>
      </c>
      <c r="S4" s="277" t="s">
        <v>381</v>
      </c>
      <c r="T4" s="99" t="str">
        <f>IFERROR(INDEX(PRENOTAZIONI!$A:$A,SMALL(PRENOTAZIONI!$AP:$AP,1)),"")</f>
        <v/>
      </c>
      <c r="U4" s="31" t="str">
        <f>IFERROR(INDEX(PRENOTAZIONI!$B:$B,SMALL(PRENOTAZIONI!$AP:$AP,1)),"")</f>
        <v/>
      </c>
      <c r="V4" s="32" t="str">
        <f t="shared" ref="V4:V33" si="6">IF(T4&lt;&gt;"",U4-T4,"")</f>
        <v/>
      </c>
      <c r="W4" s="34" t="str">
        <f>IFERROR(INDEX(PRENOTAZIONI!$E:$E,SMALL(PRENOTAZIONI!$AP:$AP,1)),"")</f>
        <v/>
      </c>
      <c r="X4" s="34" t="str">
        <f>IFERROR(INDEX(PRENOTAZIONI!$F:$F,SMALL(PRENOTAZIONI!$AP:$AP,1)),"")</f>
        <v/>
      </c>
      <c r="Y4" s="35" t="str">
        <f>IFERROR(INDEX(PRENOTAZIONI!$H:$H,SMALL(PRENOTAZIONI!$AP:$AP,1)),"")</f>
        <v/>
      </c>
      <c r="Z4" s="34" t="str">
        <f>IFERROR(INDEX(PRENOTAZIONI!$K:$K,SMALL(PRENOTAZIONI!$AP:$AP,1)),"")</f>
        <v/>
      </c>
      <c r="AA4" s="34"/>
      <c r="AB4" s="34"/>
      <c r="AC4" s="40" t="str">
        <f t="shared" ref="AC4:AC33" si="7">IF(X4&lt;&gt;"",X4*0.25,"")</f>
        <v/>
      </c>
      <c r="AD4" s="41" t="str">
        <f t="shared" ref="AD4:AD33" si="8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SUMPRODUCT((MONTH(PRENOTAZIONI!$A$3:$A$262)=1)*(YEAR(PRENOTAZIONI!$A$3:$A$262)=2026)*(PRENOTAZIONI!$D$3:$D$262="Casa Verde Oliva"))</f>
        <v>0</v>
      </c>
      <c r="AI4" s="114">
        <f>SUMPRODUCT((PRENOTAZIONI!$A$3:$A$262&lt;DATE(2026,2,1))*(PRENOTAZIONI!$B$3:$B$262&gt;DATE(2026,1,1))*(YEAR(PRENOTAZIONI!$A$3:$A$262)=2026)*(PRENOTAZIONI!$D$3:$D$262="Casa Verde Oliva")*((PRENOTAZIONI!$B$3:$B$262*(PRENOTAZIONI!$B$3:$B$262&lt;DATE(2026,2,1))+DATE(2026,2,1)*(PRENOTAZIONI!$B$3:$B$262&gt;=DATE(2026,2,1)))-(PRENOTAZIONI!$A$3:$A$262*(PRENOTAZIONI!$A$3:$A$262&gt;DATE(2026,1,1))+DATE(2026,1,1)*(PRENOTAZIONI!$A$3:$A$262&lt;=DATE(2026,1,1)))))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thickBot="1" x14ac:dyDescent="0.25">
      <c r="A5" s="191">
        <f>IFERROR(INDEX(PRENOTAZIONI!$A:$A,SMALL(PRENOTAZIONI!$AB:$AB,2)),"")</f>
        <v>46229</v>
      </c>
      <c r="B5" s="192">
        <f>IFERROR(INDEX(PRENOTAZIONI!$B:$B,SMALL(PRENOTAZIONI!$AB:$AB,2)),"")</f>
        <v>46234</v>
      </c>
      <c r="C5" s="193">
        <f t="shared" si="0"/>
        <v>5</v>
      </c>
      <c r="D5" s="194" t="str">
        <f>IFERROR(INDEX(PRENOTAZIONI!$E:$E,SMALL(PRENOTAZIONI!$AB:$AB,2)),"")</f>
        <v>Erika Sciuttini</v>
      </c>
      <c r="E5" s="194" t="str">
        <f>IFERROR(INDEX(PRENOTAZIONI!$F:$F,SMALL(PRENOTAZIONI!$AB:$AB,2)),"")</f>
        <v>2 ad</v>
      </c>
      <c r="F5" s="194" t="str">
        <f>IFERROR(INDEX(PRENOTAZIONI!$G:$G,SMALL(PRENOTAZIONI!$AB:$AB,2)),"")</f>
        <v>booking.com</v>
      </c>
      <c r="G5" s="195">
        <f>IFERROR(INDEX(PRENOTAZIONI!$H:$H,SMALL(PRENOTAZIONI!$AB:$AB,2)),"")</f>
        <v>807.3</v>
      </c>
      <c r="H5" s="218">
        <f t="shared" si="1"/>
        <v>161.45999999999998</v>
      </c>
      <c r="I5" s="195">
        <f t="shared" si="2"/>
        <v>121.09499999999998</v>
      </c>
      <c r="J5" s="196">
        <f>IF(I5&lt;&gt;"",I5*0.22,"")</f>
        <v>26.640899999999998</v>
      </c>
      <c r="K5" s="194">
        <f>IFERROR(INDEX(PRENOTAZIONI!$K:$K,SMALL(PRENOTAZIONI!$AB:$AB,2)),"")</f>
        <v>0</v>
      </c>
      <c r="L5" s="195">
        <f>IFERROR(INDEX(PRENOTAZIONI!$L:$L,SMALL(PRENOTAZIONI!$AB:$AB,2)),"")</f>
        <v>10</v>
      </c>
      <c r="M5" s="197">
        <f t="shared" si="3"/>
        <v>169.53299999999999</v>
      </c>
      <c r="N5" s="195">
        <f t="shared" si="4"/>
        <v>201.82499999999999</v>
      </c>
      <c r="O5" s="195">
        <v>14</v>
      </c>
      <c r="P5" s="198" t="s">
        <v>372</v>
      </c>
      <c r="Q5" s="197">
        <f t="shared" si="5"/>
        <v>274.20609999999994</v>
      </c>
      <c r="R5" s="194">
        <f>IFERROR(INDEX(PRENOTAZIONI!$R:$R,SMALL(PRENOTAZIONI!$AB:$AB,2)),"")</f>
        <v>0</v>
      </c>
      <c r="S5" s="246"/>
      <c r="T5" s="99" t="str">
        <f>IFERROR(INDEX(PRENOTAZIONI!$A:$A,SMALL(PRENOTAZIONI!$AP:$AP,2)),"")</f>
        <v/>
      </c>
      <c r="U5" s="31" t="str">
        <f>IFERROR(INDEX(PRENOTAZIONI!$B:$B,SMALL(PRENOTAZIONI!$AP:$AP,2)),"")</f>
        <v/>
      </c>
      <c r="V5" s="32" t="str">
        <f t="shared" si="6"/>
        <v/>
      </c>
      <c r="W5" s="34" t="str">
        <f>IFERROR(INDEX(PRENOTAZIONI!$E:$E,SMALL(PRENOTAZIONI!$AP:$AP,2)),"")</f>
        <v/>
      </c>
      <c r="X5" s="34" t="str">
        <f>IFERROR(INDEX(PRENOTAZIONI!$F:$F,SMALL(PRENOTAZIONI!$AP:$AP,2)),"")</f>
        <v/>
      </c>
      <c r="Y5" s="35" t="str">
        <f>IFERROR(INDEX(PRENOTAZIONI!$H:$H,SMALL(PRENOTAZIONI!$AP:$AP,2)),"")</f>
        <v/>
      </c>
      <c r="Z5" s="34" t="str">
        <f>IFERROR(INDEX(PRENOTAZIONI!$K:$K,SMALL(PRENOTAZIONI!$AP:$AP,2)),"")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SUMPRODUCT((MONTH(PRENOTAZIONI!$A$3:$A$262)=2)*(YEAR(PRENOTAZIONI!$A$3:$A$262)=2026)*(PRENOTAZIONI!$D$3:$D$262="Casa Verde Oliva"))</f>
        <v>0</v>
      </c>
      <c r="AI5" s="114">
        <f>SUMPRODUCT((PRENOTAZIONI!$A$3:$A$262&lt;DATE(2026,3,1))*(PRENOTAZIONI!$B$3:$B$262&gt;DATE(2026,2,1))*(YEAR(PRENOTAZIONI!$A$3:$A$262)=2026)*(PRENOTAZIONI!$D$3:$D$262="Casa Verde Oliva")*((PRENOTAZIONI!$B$3:$B$262*(PRENOTAZIONI!$B$3:$B$262&lt;DATE(2026,3,1))+DATE(2026,3,1)*(PRENOTAZIONI!$B$3:$B$262&gt;=DATE(2026,3,1)))-(PRENOTAZIONI!$A$3:$A$262*(PRENOTAZIONI!$A$3:$A$262&gt;DATE(2026,2,1))+DATE(2026,2,1)*(PRENOTAZIONI!$A$3:$A$262&lt;=DATE(2026,2,1)))))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157">
        <f>IFERROR(INDEX(PRENOTAZIONI!$A:$A,SMALL(PRENOTAZIONI!$AB:$AB,3)),"")</f>
        <v>46235</v>
      </c>
      <c r="B6" s="157">
        <f>IFERROR(INDEX(PRENOTAZIONI!$B:$B,SMALL(PRENOTAZIONI!$AB:$AB,3)),"")</f>
        <v>46241</v>
      </c>
      <c r="C6" s="158">
        <f t="shared" si="0"/>
        <v>6</v>
      </c>
      <c r="D6" s="159" t="str">
        <f>IFERROR(INDEX(PRENOTAZIONI!$E:$E,SMALL(PRENOTAZIONI!$AB:$AB,3)),"")</f>
        <v>Angelo Città</v>
      </c>
      <c r="E6" s="159" t="str">
        <f>IFERROR(INDEX(PRENOTAZIONI!$F:$F,SMALL(PRENOTAZIONI!$AB:$AB,3)),"")</f>
        <v>3 ad</v>
      </c>
      <c r="F6" s="159" t="str">
        <f>IFERROR(INDEX(PRENOTAZIONI!$G:$G,SMALL(PRENOTAZIONI!$AB:$AB,3)),"")</f>
        <v>booking.com</v>
      </c>
      <c r="G6" s="160">
        <f>IFERROR(INDEX(PRENOTAZIONI!$H:$H,SMALL(PRENOTAZIONI!$AB:$AB,3)),"")</f>
        <v>458</v>
      </c>
      <c r="H6" s="212">
        <f t="shared" si="1"/>
        <v>76.333333333333329</v>
      </c>
      <c r="I6" s="160">
        <f t="shared" si="2"/>
        <v>68.7</v>
      </c>
      <c r="J6" s="161">
        <f>IF(I6&lt;&gt;"",I6*0.22,"")</f>
        <v>15.114000000000001</v>
      </c>
      <c r="K6" s="159" t="str">
        <f>IFERROR(INDEX(PRENOTAZIONI!$K:$K,SMALL(PRENOTAZIONI!$AB:$AB,3)),"")</f>
        <v>MASTER</v>
      </c>
      <c r="L6" s="160">
        <f>IFERROR(INDEX(PRENOTAZIONI!$L:$L,SMALL(PRENOTAZIONI!$AB:$AB,3)),"")</f>
        <v>15</v>
      </c>
      <c r="M6" s="154">
        <f t="shared" si="3"/>
        <v>96.179999999999993</v>
      </c>
      <c r="N6" s="160">
        <f t="shared" si="4"/>
        <v>114.5</v>
      </c>
      <c r="O6" s="160"/>
      <c r="P6" s="162"/>
      <c r="Q6" s="154">
        <f t="shared" si="5"/>
        <v>163.50600000000003</v>
      </c>
      <c r="R6" s="159">
        <f>IFERROR(INDEX(PRENOTAZIONI!$R:$R,SMALL(PRENOTAZIONI!$AB:$AB,3)),"")</f>
        <v>0</v>
      </c>
      <c r="S6" s="157"/>
      <c r="T6" s="80" t="str">
        <f>IFERROR(INDEX(PRENOTAZIONI!$A:$A,SMALL(PRENOTAZIONI!$AP:$AP,3)),"")</f>
        <v/>
      </c>
      <c r="U6" s="31" t="str">
        <f>IFERROR(INDEX(PRENOTAZIONI!$B:$B,SMALL(PRENOTAZIONI!$AP:$AP,3)),"")</f>
        <v/>
      </c>
      <c r="V6" s="32" t="str">
        <f t="shared" si="6"/>
        <v/>
      </c>
      <c r="W6" s="34" t="str">
        <f>IFERROR(INDEX(PRENOTAZIONI!$E:$E,SMALL(PRENOTAZIONI!$AP:$AP,3)),"")</f>
        <v/>
      </c>
      <c r="X6" s="34" t="str">
        <f>IFERROR(INDEX(PRENOTAZIONI!$F:$F,SMALL(PRENOTAZIONI!$AP:$AP,3)),"")</f>
        <v/>
      </c>
      <c r="Y6" s="35" t="str">
        <f>IFERROR(INDEX(PRENOTAZIONI!$H:$H,SMALL(PRENOTAZIONI!$AP:$AP,3)),"")</f>
        <v/>
      </c>
      <c r="Z6" s="34" t="str">
        <f>IFERROR(INDEX(PRENOTAZIONI!$K:$K,SMALL(PRENOTAZIONI!$AP:$AP,3)),"")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SUMPRODUCT((MONTH(PRENOTAZIONI!$A$3:$A$262)=3)*(YEAR(PRENOTAZIONI!$A$3:$A$262)=2026)*(PRENOTAZIONI!$D$3:$D$262="Casa Verde Oliva"))</f>
        <v>0</v>
      </c>
      <c r="AI6" s="114">
        <f>SUMPRODUCT((PRENOTAZIONI!$A$3:$A$262&lt;DATE(2026,4,1))*(PRENOTAZIONI!$B$3:$B$262&gt;DATE(2026,3,1))*(YEAR(PRENOTAZIONI!$A$3:$A$262)=2026)*(PRENOTAZIONI!$D$3:$D$262="Casa Verde Oliva")*((PRENOTAZIONI!$B$3:$B$262*(PRENOTAZIONI!$B$3:$B$262&lt;DATE(2026,4,1))+DATE(2026,4,1)*(PRENOTAZIONI!$B$3:$B$262&gt;=DATE(2026,4,1)))-(PRENOTAZIONI!$A$3:$A$262*(PRENOTAZIONI!$A$3:$A$262&gt;DATE(2026,3,1))+DATE(2026,3,1)*(PRENOTAZIONI!$A$3:$A$262&lt;=DATE(2026,3,1)))))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31">
        <f>IFERROR(INDEX(PRENOTAZIONI!$A:$A,SMALL(PRENOTAZIONI!$AB:$AB,4)),"")</f>
        <v>46246</v>
      </c>
      <c r="B7" s="31">
        <f>IFERROR(INDEX(PRENOTAZIONI!$B:$B,SMALL(PRENOTAZIONI!$AB:$AB,4)),"")</f>
        <v>46251</v>
      </c>
      <c r="C7" s="32">
        <f t="shared" si="0"/>
        <v>5</v>
      </c>
      <c r="D7" s="34" t="str">
        <f>IFERROR(INDEX(PRENOTAZIONI!$E:$E,SMALL(PRENOTAZIONI!$AB:$AB,4)),"")</f>
        <v>Luca. Maccarelli</v>
      </c>
      <c r="E7" s="34" t="str">
        <f>IFERROR(INDEX(PRENOTAZIONI!$F:$F,SMALL(PRENOTAZIONI!$AB:$AB,4)),"")</f>
        <v>2 ad</v>
      </c>
      <c r="F7" s="34" t="str">
        <f>IFERROR(INDEX(PRENOTAZIONI!$G:$G,SMALL(PRENOTAZIONI!$AB:$AB,4)),"")</f>
        <v>booking.com</v>
      </c>
      <c r="G7" s="35">
        <f>IFERROR(INDEX(PRENOTAZIONI!$H:$H,SMALL(PRENOTAZIONI!$AB:$AB,4)),"")</f>
        <v>775.02</v>
      </c>
      <c r="H7" s="146">
        <f t="shared" si="1"/>
        <v>155.00399999999999</v>
      </c>
      <c r="I7" s="35">
        <f t="shared" si="2"/>
        <v>116.25299999999999</v>
      </c>
      <c r="J7" s="149">
        <f t="shared" ref="J7:J35" si="9">IF(H7&lt;&gt;"",H7*0.22,"")</f>
        <v>34.100879999999997</v>
      </c>
      <c r="K7" s="34">
        <f>IFERROR(INDEX(PRENOTAZIONI!$K:$K,SMALL(PRENOTAZIONI!$AB:$AB,4)),"")</f>
        <v>0</v>
      </c>
      <c r="L7" s="35">
        <f>IFERROR(INDEX(PRENOTAZIONI!$L:$L,SMALL(PRENOTAZIONI!$AB:$AB,4)),"")</f>
        <v>0</v>
      </c>
      <c r="M7" s="150">
        <f t="shared" si="3"/>
        <v>162.7542</v>
      </c>
      <c r="N7" s="35">
        <f t="shared" si="4"/>
        <v>193.755</v>
      </c>
      <c r="O7" s="35"/>
      <c r="P7" s="43"/>
      <c r="Q7" s="150">
        <f t="shared" si="5"/>
        <v>268.15692000000013</v>
      </c>
      <c r="R7" s="34">
        <f>IFERROR(INDEX(PRENOTAZIONI!$R:$R,SMALL(PRENOTAZIONI!$AB:$AB,4)),"")</f>
        <v>0</v>
      </c>
      <c r="S7" s="31"/>
      <c r="T7" s="80" t="str">
        <f>IFERROR(INDEX(PRENOTAZIONI!$A:$A,SMALL(PRENOTAZIONI!$AP:$AP,4)),"")</f>
        <v/>
      </c>
      <c r="U7" s="31" t="str">
        <f>IFERROR(INDEX(PRENOTAZIONI!$B:$B,SMALL(PRENOTAZIONI!$AP:$AP,4)),"")</f>
        <v/>
      </c>
      <c r="V7" s="32" t="str">
        <f t="shared" si="6"/>
        <v/>
      </c>
      <c r="W7" s="34" t="str">
        <f>IFERROR(INDEX(PRENOTAZIONI!$E:$E,SMALL(PRENOTAZIONI!$AP:$AP,4)),"")</f>
        <v/>
      </c>
      <c r="X7" s="34" t="str">
        <f>IFERROR(INDEX(PRENOTAZIONI!$F:$F,SMALL(PRENOTAZIONI!$AP:$AP,4)),"")</f>
        <v/>
      </c>
      <c r="Y7" s="35" t="str">
        <f>IFERROR(INDEX(PRENOTAZIONI!$H:$H,SMALL(PRENOTAZIONI!$AP:$AP,4)),"")</f>
        <v/>
      </c>
      <c r="Z7" s="34" t="str">
        <f>IFERROR(INDEX(PRENOTAZIONI!$K:$K,SMALL(PRENOTAZIONI!$AP:$AP,4)),"")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SUMPRODUCT((MONTH(PRENOTAZIONI!$A$3:$A$262)=4)*(YEAR(PRENOTAZIONI!$A$3:$A$262)=2026)*(PRENOTAZIONI!$D$3:$D$262="Casa Verde Oliva"))</f>
        <v>0</v>
      </c>
      <c r="AI7" s="114">
        <f>SUMPRODUCT((PRENOTAZIONI!$A$3:$A$262&lt;DATE(2026,5,1))*(PRENOTAZIONI!$B$3:$B$262&gt;DATE(2026,4,1))*(YEAR(PRENOTAZIONI!$A$3:$A$262)=2026)*(PRENOTAZIONI!$D$3:$D$262="Casa Verde Oliva")*((PRENOTAZIONI!$B$3:$B$262*(PRENOTAZIONI!$B$3:$B$262&lt;DATE(2026,5,1))+DATE(2026,5,1)*(PRENOTAZIONI!$B$3:$B$262&gt;=DATE(2026,5,1)))-(PRENOTAZIONI!$A$3:$A$262*(PRENOTAZIONI!$A$3:$A$262&gt;DATE(2026,4,1))+DATE(2026,4,1)*(PRENOTAZIONI!$A$3:$A$262&lt;=DATE(2026,4,1)))))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>
        <f>IFERROR(INDEX(PRENOTAZIONI!$A:$A,SMALL(PRENOTAZIONI!$AB:$AB,5)),"")</f>
        <v>46257</v>
      </c>
      <c r="B8" s="31">
        <f>IFERROR(INDEX(PRENOTAZIONI!$B:$B,SMALL(PRENOTAZIONI!$AB:$AB,5)),"")</f>
        <v>46262</v>
      </c>
      <c r="C8" s="32">
        <f t="shared" si="0"/>
        <v>5</v>
      </c>
      <c r="D8" s="34" t="str">
        <f>IFERROR(INDEX(PRENOTAZIONI!$E:$E,SMALL(PRENOTAZIONI!$AB:$AB,5)),"")</f>
        <v>Bruno Chiosi</v>
      </c>
      <c r="E8" s="34" t="str">
        <f>IFERROR(INDEX(PRENOTAZIONI!$F:$F,SMALL(PRENOTAZIONI!$AB:$AB,5)),"")</f>
        <v>2 ad</v>
      </c>
      <c r="F8" s="34" t="str">
        <f>IFERROR(INDEX(PRENOTAZIONI!$G:$G,SMALL(PRENOTAZIONI!$AB:$AB,5)),"")</f>
        <v>booking.com</v>
      </c>
      <c r="G8" s="35">
        <f>IFERROR(INDEX(PRENOTAZIONI!$H:$H,SMALL(PRENOTAZIONI!$AB:$AB,5)),"")</f>
        <v>590.94000000000005</v>
      </c>
      <c r="H8" s="146">
        <f t="shared" si="1"/>
        <v>118.18800000000002</v>
      </c>
      <c r="I8" s="35">
        <f t="shared" si="2"/>
        <v>88.641000000000005</v>
      </c>
      <c r="J8" s="149">
        <f t="shared" si="9"/>
        <v>26.001360000000005</v>
      </c>
      <c r="K8" s="34">
        <f>IFERROR(INDEX(PRENOTAZIONI!$K:$K,SMALL(PRENOTAZIONI!$AB:$AB,5)),"")</f>
        <v>0</v>
      </c>
      <c r="L8" s="35">
        <f>IFERROR(INDEX(PRENOTAZIONI!$L:$L,SMALL(PRENOTAZIONI!$AB:$AB,5)),"")</f>
        <v>0</v>
      </c>
      <c r="M8" s="150">
        <f t="shared" si="3"/>
        <v>124.09740000000001</v>
      </c>
      <c r="N8" s="35">
        <f t="shared" si="4"/>
        <v>147.73500000000001</v>
      </c>
      <c r="O8" s="35"/>
      <c r="P8" s="43"/>
      <c r="Q8" s="150">
        <f t="shared" si="5"/>
        <v>204.46523999999999</v>
      </c>
      <c r="R8" s="34">
        <f>IFERROR(INDEX(PRENOTAZIONI!$R:$R,SMALL(PRENOTAZIONI!$AB:$AB,5)),"")</f>
        <v>0</v>
      </c>
      <c r="S8" s="31"/>
      <c r="T8" s="80" t="str">
        <f>IFERROR(INDEX(PRENOTAZIONI!$A:$A,SMALL(PRENOTAZIONI!$AP:$AP,5)),"")</f>
        <v/>
      </c>
      <c r="U8" s="31" t="str">
        <f>IFERROR(INDEX(PRENOTAZIONI!$B:$B,SMALL(PRENOTAZIONI!$AP:$AP,5)),"")</f>
        <v/>
      </c>
      <c r="V8" s="32" t="str">
        <f t="shared" si="6"/>
        <v/>
      </c>
      <c r="W8" s="34" t="str">
        <f>IFERROR(INDEX(PRENOTAZIONI!$E:$E,SMALL(PRENOTAZIONI!$AP:$AP,5)),"")</f>
        <v/>
      </c>
      <c r="X8" s="34" t="str">
        <f>IFERROR(INDEX(PRENOTAZIONI!$F:$F,SMALL(PRENOTAZIONI!$AP:$AP,5)),"")</f>
        <v/>
      </c>
      <c r="Y8" s="35" t="str">
        <f>IFERROR(INDEX(PRENOTAZIONI!$H:$H,SMALL(PRENOTAZIONI!$AP:$AP,5)),"")</f>
        <v/>
      </c>
      <c r="Z8" s="34" t="str">
        <f>IFERROR(INDEX(PRENOTAZIONI!$K:$K,SMALL(PRENOTAZIONI!$AP:$AP,5)),"")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SUMPRODUCT((MONTH(PRENOTAZIONI!$A$3:$A$262)=5)*(YEAR(PRENOTAZIONI!$A$3:$A$262)=2026)*(PRENOTAZIONI!$D$3:$D$262="Casa Verde Oliva"))</f>
        <v>0</v>
      </c>
      <c r="AI8" s="114">
        <f>SUMPRODUCT((PRENOTAZIONI!$A$3:$A$262&lt;DATE(2026,6,1))*(PRENOTAZIONI!$B$3:$B$262&gt;DATE(2026,5,1))*(YEAR(PRENOTAZIONI!$A$3:$A$262)=2026)*(PRENOTAZIONI!$D$3:$D$262="Casa Verde Oliva")*((PRENOTAZIONI!$B$3:$B$262*(PRENOTAZIONI!$B$3:$B$262&lt;DATE(2026,6,1))+DATE(2026,6,1)*(PRENOTAZIONI!$B$3:$B$262&gt;=DATE(2026,6,1)))-(PRENOTAZIONI!$A$3:$A$262*(PRENOTAZIONI!$A$3:$A$262&gt;DATE(2026,5,1))+DATE(2026,5,1)*(PRENOTAZIONI!$A$3:$A$262&lt;=DATE(2026,5,1)))))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IFERROR(INDEX(PRENOTAZIONI!$A:$A,SMALL(PRENOTAZIONI!$AB:$AB,6)),"")</f>
        <v/>
      </c>
      <c r="B9" s="31" t="str">
        <f>IFERROR(INDEX(PRENOTAZIONI!$B:$B,SMALL(PRENOTAZIONI!$AB:$AB,6)),"")</f>
        <v/>
      </c>
      <c r="C9" s="32" t="str">
        <f t="shared" si="0"/>
        <v/>
      </c>
      <c r="D9" s="34" t="str">
        <f>IFERROR(INDEX(PRENOTAZIONI!$E:$E,SMALL(PRENOTAZIONI!$AB:$AB,6)),"")</f>
        <v/>
      </c>
      <c r="E9" s="34" t="str">
        <f>IFERROR(INDEX(PRENOTAZIONI!$F:$F,SMALL(PRENOTAZIONI!$AB:$AB,6)),"")</f>
        <v/>
      </c>
      <c r="F9" s="34" t="str">
        <f>IFERROR(INDEX(PRENOTAZIONI!$G:$G,SMALL(PRENOTAZIONI!$AB:$AB,6)),"")</f>
        <v/>
      </c>
      <c r="G9" s="35" t="str">
        <f>IFERROR(INDEX(PRENOTAZIONI!$H:$H,SMALL(PRENOTAZIONI!$AB:$AB,6)),"")</f>
        <v/>
      </c>
      <c r="H9" s="146" t="str">
        <f t="shared" si="1"/>
        <v/>
      </c>
      <c r="I9" s="35" t="str">
        <f t="shared" si="2"/>
        <v/>
      </c>
      <c r="J9" s="149" t="str">
        <f t="shared" si="9"/>
        <v/>
      </c>
      <c r="K9" s="34" t="str">
        <f>IFERROR(INDEX(PRENOTAZIONI!$K:$K,SMALL(PRENOTAZIONI!$AB:$AB,6)),"")</f>
        <v/>
      </c>
      <c r="L9" s="35" t="str">
        <f>IFERROR(INDEX(PRENOTAZIONI!$L:$L,SMALL(PRENOTAZIONI!$AB:$AB,6)),"")</f>
        <v/>
      </c>
      <c r="M9" s="150" t="str">
        <f t="shared" si="3"/>
        <v/>
      </c>
      <c r="N9" s="35" t="str">
        <f t="shared" si="4"/>
        <v/>
      </c>
      <c r="O9" s="35"/>
      <c r="P9" s="43"/>
      <c r="Q9" s="150" t="str">
        <f t="shared" si="5"/>
        <v/>
      </c>
      <c r="R9" s="34" t="str">
        <f>IFERROR(INDEX(PRENOTAZIONI!$R:$R,SMALL(PRENOTAZIONI!$AB:$AB,6)),"")</f>
        <v/>
      </c>
      <c r="S9" s="31"/>
      <c r="T9" s="80" t="str">
        <f>IFERROR(INDEX(PRENOTAZIONI!$A:$A,SMALL(PRENOTAZIONI!$AP:$AP,6)),"")</f>
        <v/>
      </c>
      <c r="U9" s="31" t="str">
        <f>IFERROR(INDEX(PRENOTAZIONI!$B:$B,SMALL(PRENOTAZIONI!$AP:$AP,6)),"")</f>
        <v/>
      </c>
      <c r="V9" s="32" t="str">
        <f t="shared" si="6"/>
        <v/>
      </c>
      <c r="W9" s="34" t="str">
        <f>IFERROR(INDEX(PRENOTAZIONI!$E:$E,SMALL(PRENOTAZIONI!$AP:$AP,6)),"")</f>
        <v/>
      </c>
      <c r="X9" s="34" t="str">
        <f>IFERROR(INDEX(PRENOTAZIONI!$F:$F,SMALL(PRENOTAZIONI!$AP:$AP,6)),"")</f>
        <v/>
      </c>
      <c r="Y9" s="35" t="str">
        <f>IFERROR(INDEX(PRENOTAZIONI!$H:$H,SMALL(PRENOTAZIONI!$AP:$AP,6)),"")</f>
        <v/>
      </c>
      <c r="Z9" s="34" t="str">
        <f>IFERROR(INDEX(PRENOTAZIONI!$K:$K,SMALL(PRENOTAZIONI!$AP:$AP,6)),"")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SUMPRODUCT((MONTH(PRENOTAZIONI!$A$3:$A$262)=6)*(YEAR(PRENOTAZIONI!$A$3:$A$262)=2026)*(PRENOTAZIONI!$D$3:$D$262="Casa Verde Oliva"))</f>
        <v>0</v>
      </c>
      <c r="AI9" s="114">
        <f>SUMPRODUCT((PRENOTAZIONI!$A$3:$A$262&lt;DATE(2026,7,1))*(PRENOTAZIONI!$B$3:$B$262&gt;DATE(2026,6,1))*(YEAR(PRENOTAZIONI!$A$3:$A$262)=2026)*(PRENOTAZIONI!$D$3:$D$262="Casa Verde Oliva")*((PRENOTAZIONI!$B$3:$B$262*(PRENOTAZIONI!$B$3:$B$262&lt;DATE(2026,7,1))+DATE(2026,7,1)*(PRENOTAZIONI!$B$3:$B$262&gt;=DATE(2026,7,1)))-(PRENOTAZIONI!$A$3:$A$262*(PRENOTAZIONI!$A$3:$A$262&gt;DATE(2026,6,1))+DATE(2026,6,1)*(PRENOTAZIONI!$A$3:$A$262&lt;=DATE(2026,6,1)))))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60" ht="20" customHeight="1" x14ac:dyDescent="0.2">
      <c r="A10" s="31" t="str">
        <f>IFERROR(INDEX(PRENOTAZIONI!$A:$A,SMALL(PRENOTAZIONI!$AB:$AB,7)),"")</f>
        <v/>
      </c>
      <c r="B10" s="31" t="str">
        <f>IFERROR(INDEX(PRENOTAZIONI!$B:$B,SMALL(PRENOTAZIONI!$AB:$AB,7)),"")</f>
        <v/>
      </c>
      <c r="C10" s="32" t="str">
        <f t="shared" si="0"/>
        <v/>
      </c>
      <c r="D10" s="34" t="str">
        <f>IFERROR(INDEX(PRENOTAZIONI!$E:$E,SMALL(PRENOTAZIONI!$AB:$AB,7)),"")</f>
        <v/>
      </c>
      <c r="E10" s="34" t="str">
        <f>IFERROR(INDEX(PRENOTAZIONI!$F:$F,SMALL(PRENOTAZIONI!$AB:$AB,7)),"")</f>
        <v/>
      </c>
      <c r="F10" s="34" t="str">
        <f>IFERROR(INDEX(PRENOTAZIONI!$G:$G,SMALL(PRENOTAZIONI!$AB:$AB,7)),"")</f>
        <v/>
      </c>
      <c r="G10" s="35" t="str">
        <f>IFERROR(INDEX(PRENOTAZIONI!$H:$H,SMALL(PRENOTAZIONI!$AB:$AB,7)),"")</f>
        <v/>
      </c>
      <c r="H10" s="146" t="str">
        <f t="shared" si="1"/>
        <v/>
      </c>
      <c r="I10" s="35" t="str">
        <f t="shared" si="2"/>
        <v/>
      </c>
      <c r="J10" s="149" t="str">
        <f t="shared" si="9"/>
        <v/>
      </c>
      <c r="K10" s="34" t="str">
        <f>IFERROR(INDEX(PRENOTAZIONI!$K:$K,SMALL(PRENOTAZIONI!$AB:$AB,7)),"")</f>
        <v/>
      </c>
      <c r="L10" s="35" t="str">
        <f>IFERROR(INDEX(PRENOTAZIONI!$L:$L,SMALL(PRENOTAZIONI!$AB:$AB,7)),"")</f>
        <v/>
      </c>
      <c r="M10" s="150" t="str">
        <f t="shared" si="3"/>
        <v/>
      </c>
      <c r="N10" s="35" t="str">
        <f t="shared" si="4"/>
        <v/>
      </c>
      <c r="O10" s="35"/>
      <c r="P10" s="43"/>
      <c r="Q10" s="150" t="str">
        <f t="shared" si="5"/>
        <v/>
      </c>
      <c r="R10" s="34" t="str">
        <f>IFERROR(INDEX(PRENOTAZIONI!$R:$R,SMALL(PRENOTAZIONI!$AB:$AB,7)),"")</f>
        <v/>
      </c>
      <c r="S10" s="31"/>
      <c r="T10" s="80" t="str">
        <f>IFERROR(INDEX(PRENOTAZIONI!$A:$A,SMALL(PRENOTAZIONI!$AP:$AP,7)),"")</f>
        <v/>
      </c>
      <c r="U10" s="31" t="str">
        <f>IFERROR(INDEX(PRENOTAZIONI!$B:$B,SMALL(PRENOTAZIONI!$AP:$AP,7)),"")</f>
        <v/>
      </c>
      <c r="V10" s="32" t="str">
        <f t="shared" si="6"/>
        <v/>
      </c>
      <c r="W10" s="34" t="str">
        <f>IFERROR(INDEX(PRENOTAZIONI!$E:$E,SMALL(PRENOTAZIONI!$AP:$AP,7)),"")</f>
        <v/>
      </c>
      <c r="X10" s="34" t="str">
        <f>IFERROR(INDEX(PRENOTAZIONI!$F:$F,SMALL(PRENOTAZIONI!$AP:$AP,7)),"")</f>
        <v/>
      </c>
      <c r="Y10" s="35" t="str">
        <f>IFERROR(INDEX(PRENOTAZIONI!$H:$H,SMALL(PRENOTAZIONI!$AP:$AP,7)),"")</f>
        <v/>
      </c>
      <c r="Z10" s="34" t="str">
        <f>IFERROR(INDEX(PRENOTAZIONI!$K:$K,SMALL(PRENOTAZIONI!$AP:$AP,7)),"")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SUMPRODUCT((MONTH(PRENOTAZIONI!$A$3:$A$262)=7)*(YEAR(PRENOTAZIONI!$A$3:$A$262)=2026)*(PRENOTAZIONI!$D$3:$D$262="Casa Verde Oliva"))</f>
        <v>2</v>
      </c>
      <c r="AI10" s="114">
        <f>SUMPRODUCT((PRENOTAZIONI!$A$3:$A$262&lt;DATE(2026,8,1))*(PRENOTAZIONI!$B$3:$B$262&gt;DATE(2026,7,1))*(YEAR(PRENOTAZIONI!$A$3:$A$262)=2026)*(PRENOTAZIONI!$D$3:$D$262="Casa Verde Oliva")*((PRENOTAZIONI!$B$3:$B$262*(PRENOTAZIONI!$B$3:$B$262&lt;DATE(2026,8,1))+DATE(2026,8,1)*(PRENOTAZIONI!$B$3:$B$262&gt;=DATE(2026,8,1)))-(PRENOTAZIONI!$A$3:$A$262*(PRENOTAZIONI!$A$3:$A$262&gt;DATE(2026,7,1))+DATE(2026,7,1)*(PRENOTAZIONI!$A$3:$A$262&lt;=DATE(2026,7,1)))))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12</v>
      </c>
      <c r="AJ10" s="151">
        <f>SUMIF(A4:A33,"&gt;="&amp;DATE(2026,7,1),G4:G33)-SUMIF(A4:A33,"&gt;="&amp;DATE(2026,8,1),G4:G33)</f>
        <v>1867.9300000000003</v>
      </c>
      <c r="AK10" s="151">
        <f>SUMIF(A4:A33,"&gt;="&amp;DATE(2026,7,1),I4:I33)-SUMIF(A4:A33,"&gt;="&amp;DATE(2026,8,1),I4:I33)</f>
        <v>280.18950000000001</v>
      </c>
      <c r="AL10" s="151">
        <f>SUMIF(A4:A33,"&gt;="&amp;DATE(2026,7,1),L4:L33)-SUMIF(A4:A33,"&gt;="&amp;DATE(2026,8,1),L4:L33)</f>
        <v>30</v>
      </c>
      <c r="AM10" s="151">
        <f>SUMIF(A4:A33,"&gt;="&amp;DATE(2026,7,1),N4:N33)-SUMIF(A4:A33,"&gt;="&amp;DATE(2026,8,1),N4:N33)</f>
        <v>466.98250000000007</v>
      </c>
      <c r="AN10" s="152">
        <f>SUMIF(A4:A33,"&gt;="&amp;DATE(2026,7,1),M4:M33)-SUMIF(A4:A33,"&gt;="&amp;DATE(2026,8,1),M4:M33)</f>
        <v>392.26530000000008</v>
      </c>
      <c r="AO10" s="152">
        <f>SUMIF(A4:A33,"&gt;="&amp;DATE(2026,7,1),J4:J33)-SUMIF(A4:A33,"&gt;="&amp;DATE(2026,8,1),J4:J33)</f>
        <v>61.641690000000011</v>
      </c>
      <c r="AP10" s="153">
        <f>SUMIF(A4:A33,"&gt;="&amp;DATE(2026,7,1),Q4:Q33)-SUMIF(A4:A33,"&gt;="&amp;DATE(2026,8,1),Q4:Q33)</f>
        <v>542.85100999999986</v>
      </c>
    </row>
    <row r="11" spans="1:60" ht="20" customHeight="1" x14ac:dyDescent="0.2">
      <c r="A11" s="31" t="str">
        <f>IFERROR(INDEX(PRENOTAZIONI!$A:$A,SMALL(PRENOTAZIONI!$AB:$AB,8)),"")</f>
        <v/>
      </c>
      <c r="B11" s="31" t="str">
        <f>IFERROR(INDEX(PRENOTAZIONI!$B:$B,SMALL(PRENOTAZIONI!$AB:$AB,8)),"")</f>
        <v/>
      </c>
      <c r="C11" s="32" t="str">
        <f t="shared" si="0"/>
        <v/>
      </c>
      <c r="D11" s="34" t="str">
        <f>IFERROR(INDEX(PRENOTAZIONI!$E:$E,SMALL(PRENOTAZIONI!$AB:$AB,8)),"")</f>
        <v/>
      </c>
      <c r="E11" s="34" t="str">
        <f>IFERROR(INDEX(PRENOTAZIONI!$F:$F,SMALL(PRENOTAZIONI!$AB:$AB,8)),"")</f>
        <v/>
      </c>
      <c r="F11" s="34" t="str">
        <f>IFERROR(INDEX(PRENOTAZIONI!$G:$G,SMALL(PRENOTAZIONI!$AB:$AB,8)),"")</f>
        <v/>
      </c>
      <c r="G11" s="35" t="str">
        <f>IFERROR(INDEX(PRENOTAZIONI!$H:$H,SMALL(PRENOTAZIONI!$AB:$AB,8)),"")</f>
        <v/>
      </c>
      <c r="H11" s="146" t="str">
        <f t="shared" si="1"/>
        <v/>
      </c>
      <c r="I11" s="35" t="str">
        <f t="shared" si="2"/>
        <v/>
      </c>
      <c r="J11" s="149" t="str">
        <f t="shared" si="9"/>
        <v/>
      </c>
      <c r="K11" s="34" t="str">
        <f>IFERROR(INDEX(PRENOTAZIONI!$K:$K,SMALL(PRENOTAZIONI!$AB:$AB,8)),"")</f>
        <v/>
      </c>
      <c r="L11" s="35" t="str">
        <f>IFERROR(INDEX(PRENOTAZIONI!$L:$L,SMALL(PRENOTAZIONI!$AB:$AB,8)),"")</f>
        <v/>
      </c>
      <c r="M11" s="150" t="str">
        <f t="shared" si="3"/>
        <v/>
      </c>
      <c r="N11" s="35" t="str">
        <f t="shared" si="4"/>
        <v/>
      </c>
      <c r="O11" s="35"/>
      <c r="P11" s="43"/>
      <c r="Q11" s="150" t="str">
        <f t="shared" si="5"/>
        <v/>
      </c>
      <c r="R11" s="34" t="str">
        <f>IFERROR(INDEX(PRENOTAZIONI!$R:$R,SMALL(PRENOTAZIONI!$AB:$AB,8)),"")</f>
        <v/>
      </c>
      <c r="S11" s="31"/>
      <c r="T11" s="80" t="str">
        <f>IFERROR(INDEX(PRENOTAZIONI!$A:$A,SMALL(PRENOTAZIONI!$AP:$AP,8)),"")</f>
        <v/>
      </c>
      <c r="U11" s="31" t="str">
        <f>IFERROR(INDEX(PRENOTAZIONI!$B:$B,SMALL(PRENOTAZIONI!$AP:$AP,8)),"")</f>
        <v/>
      </c>
      <c r="V11" s="32" t="str">
        <f t="shared" si="6"/>
        <v/>
      </c>
      <c r="W11" s="34" t="str">
        <f>IFERROR(INDEX(PRENOTAZIONI!$E:$E,SMALL(PRENOTAZIONI!$AP:$AP,8)),"")</f>
        <v/>
      </c>
      <c r="X11" s="34" t="str">
        <f>IFERROR(INDEX(PRENOTAZIONI!$F:$F,SMALL(PRENOTAZIONI!$AP:$AP,8)),"")</f>
        <v/>
      </c>
      <c r="Y11" s="35" t="str">
        <f>IFERROR(INDEX(PRENOTAZIONI!$H:$H,SMALL(PRENOTAZIONI!$AP:$AP,8)),"")</f>
        <v/>
      </c>
      <c r="Z11" s="34" t="str">
        <f>IFERROR(INDEX(PRENOTAZIONI!$K:$K,SMALL(PRENOTAZIONI!$AP:$AP,8)),"")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SUMPRODUCT((MONTH(PRENOTAZIONI!$A$3:$A$262)=8)*(YEAR(PRENOTAZIONI!$A$3:$A$262)=2026)*(PRENOTAZIONI!$D$3:$D$262="Casa Verde Oliva"))</f>
        <v>3</v>
      </c>
      <c r="AI11" s="114">
        <f>SUMPRODUCT((PRENOTAZIONI!$A$3:$A$262&lt;DATE(2026,9,1))*(PRENOTAZIONI!$B$3:$B$262&gt;DATE(2026,8,1))*(YEAR(PRENOTAZIONI!$A$3:$A$262)=2026)*(PRENOTAZIONI!$D$3:$D$262="Casa Verde Oliva")*((PRENOTAZIONI!$B$3:$B$262*(PRENOTAZIONI!$B$3:$B$262&lt;DATE(2026,9,1))+DATE(2026,9,1)*(PRENOTAZIONI!$B$3:$B$262&gt;=DATE(2026,9,1)))-(PRENOTAZIONI!$A$3:$A$262*(PRENOTAZIONI!$A$3:$A$262&gt;DATE(2026,8,1))+DATE(2026,8,1)*(PRENOTAZIONI!$A$3:$A$262&lt;=DATE(2026,8,1)))))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16</v>
      </c>
      <c r="AJ11" s="151">
        <f>SUMIF(A4:A33,"&gt;="&amp;DATE(2026,8,1),G4:G33)-SUMIF(A4:A33,"&gt;="&amp;DATE(2026,9,1),G4:G33)</f>
        <v>1823.96</v>
      </c>
      <c r="AK11" s="151">
        <f>SUMIF(A4:A33,"&gt;="&amp;DATE(2026,8,1),I4:I33)-SUMIF(A4:A33,"&gt;="&amp;DATE(2026,9,1),I4:I33)</f>
        <v>273.59399999999999</v>
      </c>
      <c r="AL11" s="151">
        <f>SUMIF(A4:A33,"&gt;="&amp;DATE(2026,8,1),L4:L33)-SUMIF(A4:A33,"&gt;="&amp;DATE(2026,9,1),L4:L33)</f>
        <v>15</v>
      </c>
      <c r="AM11" s="151">
        <f>SUMIF(A4:A33,"&gt;="&amp;DATE(2026,8,1),N4:N33)-SUMIF(A4:A33,"&gt;="&amp;DATE(2026,9,1),N4:N33)</f>
        <v>455.99</v>
      </c>
      <c r="AN11" s="152">
        <f>SUMIF(A4:A33,"&gt;="&amp;DATE(2026,8,1),M4:M33)-SUMIF(A4:A33,"&gt;="&amp;DATE(2026,9,1),M4:M33)</f>
        <v>383.03159999999997</v>
      </c>
      <c r="AO11" s="152">
        <f>SUMIF(A4:A33,"&gt;="&amp;DATE(2026,8,1),J4:J33)-SUMIF(A4:A33,"&gt;="&amp;DATE(2026,9,1),J4:J33)</f>
        <v>75.216239999999999</v>
      </c>
      <c r="AP11" s="153">
        <f>SUMIF(A4:A33,"&gt;="&amp;DATE(2026,8,1),Q4:Q33)-SUMIF(A4:A33,"&gt;="&amp;DATE(2026,9,1),Q4:Q33)</f>
        <v>636.12816000000021</v>
      </c>
    </row>
    <row r="12" spans="1:60" ht="20" customHeight="1" x14ac:dyDescent="0.2">
      <c r="A12" s="31" t="str">
        <f>IFERROR(INDEX(PRENOTAZIONI!$A:$A,SMALL(PRENOTAZIONI!$AB:$AB,9)),"")</f>
        <v/>
      </c>
      <c r="B12" s="31" t="str">
        <f>IFERROR(INDEX(PRENOTAZIONI!$B:$B,SMALL(PRENOTAZIONI!$AB:$AB,9)),"")</f>
        <v/>
      </c>
      <c r="C12" s="32" t="str">
        <f t="shared" si="0"/>
        <v/>
      </c>
      <c r="D12" s="34" t="str">
        <f>IFERROR(INDEX(PRENOTAZIONI!$E:$E,SMALL(PRENOTAZIONI!$AB:$AB,9)),"")</f>
        <v/>
      </c>
      <c r="E12" s="34" t="str">
        <f>IFERROR(INDEX(PRENOTAZIONI!$F:$F,SMALL(PRENOTAZIONI!$AB:$AB,9)),"")</f>
        <v/>
      </c>
      <c r="F12" s="34" t="str">
        <f>IFERROR(INDEX(PRENOTAZIONI!$G:$G,SMALL(PRENOTAZIONI!$AB:$AB,9)),"")</f>
        <v/>
      </c>
      <c r="G12" s="35" t="str">
        <f>IFERROR(INDEX(PRENOTAZIONI!$H:$H,SMALL(PRENOTAZIONI!$AB:$AB,9)),"")</f>
        <v/>
      </c>
      <c r="H12" s="146" t="str">
        <f t="shared" si="1"/>
        <v/>
      </c>
      <c r="I12" s="35" t="str">
        <f t="shared" si="2"/>
        <v/>
      </c>
      <c r="J12" s="149" t="str">
        <f t="shared" si="9"/>
        <v/>
      </c>
      <c r="K12" s="34" t="str">
        <f>IFERROR(INDEX(PRENOTAZIONI!$K:$K,SMALL(PRENOTAZIONI!$AB:$AB,9)),"")</f>
        <v/>
      </c>
      <c r="L12" s="35" t="str">
        <f>IFERROR(INDEX(PRENOTAZIONI!$L:$L,SMALL(PRENOTAZIONI!$AB:$AB,9)),"")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34" t="str">
        <f>IFERROR(INDEX(PRENOTAZIONI!$R:$R,SMALL(PRENOTAZIONI!$AB:$AB,9)),"")</f>
        <v/>
      </c>
      <c r="S12" s="31"/>
      <c r="T12" s="80" t="str">
        <f>IFERROR(INDEX(PRENOTAZIONI!$A:$A,SMALL(PRENOTAZIONI!$AP:$AP,9)),"")</f>
        <v/>
      </c>
      <c r="U12" s="31" t="str">
        <f>IFERROR(INDEX(PRENOTAZIONI!$B:$B,SMALL(PRENOTAZIONI!$AP:$AP,9)),"")</f>
        <v/>
      </c>
      <c r="V12" s="32" t="str">
        <f t="shared" si="6"/>
        <v/>
      </c>
      <c r="W12" s="34" t="str">
        <f>IFERROR(INDEX(PRENOTAZIONI!$E:$E,SMALL(PRENOTAZIONI!$AP:$AP,9)),"")</f>
        <v/>
      </c>
      <c r="X12" s="34" t="str">
        <f>IFERROR(INDEX(PRENOTAZIONI!$F:$F,SMALL(PRENOTAZIONI!$AP:$AP,9)),"")</f>
        <v/>
      </c>
      <c r="Y12" s="35" t="str">
        <f>IFERROR(INDEX(PRENOTAZIONI!$H:$H,SMALL(PRENOTAZIONI!$AP:$AP,9)),"")</f>
        <v/>
      </c>
      <c r="Z12" s="34" t="str">
        <f>IFERROR(INDEX(PRENOTAZIONI!$K:$K,SMALL(PRENOTAZIONI!$AP:$AP,9)),"")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SUMPRODUCT((MONTH(PRENOTAZIONI!$A$3:$A$262)=9)*(YEAR(PRENOTAZIONI!$A$3:$A$262)=2026)*(PRENOTAZIONI!$D$3:$D$262="Casa Verde Oliva"))</f>
        <v>0</v>
      </c>
      <c r="AI12" s="114">
        <f>SUMPRODUCT((PRENOTAZIONI!$A$3:$A$262&lt;DATE(2026,10,1))*(PRENOTAZIONI!$B$3:$B$262&gt;DATE(2026,9,1))*(YEAR(PRENOTAZIONI!$A$3:$A$262)=2026)*(PRENOTAZIONI!$D$3:$D$262="Casa Verde Oliva")*((PRENOTAZIONI!$B$3:$B$262*(PRENOTAZIONI!$B$3:$B$262&lt;DATE(2026,10,1))+DATE(2026,10,1)*(PRENOTAZIONI!$B$3:$B$262&gt;=DATE(2026,10,1)))-(PRENOTAZIONI!$A$3:$A$262*(PRENOTAZIONI!$A$3:$A$262&gt;DATE(2026,9,1))+DATE(2026,9,1)*(PRENOTAZIONI!$A$3:$A$262&lt;=DATE(2026,9,1)))))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IFERROR(INDEX(PRENOTAZIONI!$A:$A,SMALL(PRENOTAZIONI!$AB:$AB,10)),"")</f>
        <v/>
      </c>
      <c r="B13" s="31" t="str">
        <f>IFERROR(INDEX(PRENOTAZIONI!$B:$B,SMALL(PRENOTAZIONI!$AB:$AB,10)),"")</f>
        <v/>
      </c>
      <c r="C13" s="32" t="str">
        <f t="shared" si="0"/>
        <v/>
      </c>
      <c r="D13" s="34" t="str">
        <f>IFERROR(INDEX(PRENOTAZIONI!$E:$E,SMALL(PRENOTAZIONI!$AB:$AB,10)),"")</f>
        <v/>
      </c>
      <c r="E13" s="34" t="str">
        <f>IFERROR(INDEX(PRENOTAZIONI!$F:$F,SMALL(PRENOTAZIONI!$AB:$AB,10)),"")</f>
        <v/>
      </c>
      <c r="F13" s="34" t="str">
        <f>IFERROR(INDEX(PRENOTAZIONI!$G:$G,SMALL(PRENOTAZIONI!$AB:$AB,10)),"")</f>
        <v/>
      </c>
      <c r="G13" s="35" t="str">
        <f>IFERROR(INDEX(PRENOTAZIONI!$H:$H,SMALL(PRENOTAZIONI!$AB:$AB,10)),"")</f>
        <v/>
      </c>
      <c r="H13" s="146" t="str">
        <f t="shared" si="1"/>
        <v/>
      </c>
      <c r="I13" s="35" t="str">
        <f t="shared" si="2"/>
        <v/>
      </c>
      <c r="J13" s="149" t="str">
        <f t="shared" si="9"/>
        <v/>
      </c>
      <c r="K13" s="34" t="str">
        <f>IFERROR(INDEX(PRENOTAZIONI!$K:$K,SMALL(PRENOTAZIONI!$AB:$AB,10)),"")</f>
        <v/>
      </c>
      <c r="L13" s="35" t="str">
        <f>IFERROR(INDEX(PRENOTAZIONI!$L:$L,SMALL(PRENOTAZIONI!$AB:$AB,10)),"")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34" t="str">
        <f>IFERROR(INDEX(PRENOTAZIONI!$R:$R,SMALL(PRENOTAZIONI!$AB:$AB,10)),"")</f>
        <v/>
      </c>
      <c r="S13" s="31"/>
      <c r="T13" s="80" t="str">
        <f>IFERROR(INDEX(PRENOTAZIONI!$A:$A,SMALL(PRENOTAZIONI!$AP:$AP,10)),"")</f>
        <v/>
      </c>
      <c r="U13" s="31" t="str">
        <f>IFERROR(INDEX(PRENOTAZIONI!$B:$B,SMALL(PRENOTAZIONI!$AP:$AP,10)),"")</f>
        <v/>
      </c>
      <c r="V13" s="32" t="str">
        <f t="shared" si="6"/>
        <v/>
      </c>
      <c r="W13" s="34" t="str">
        <f>IFERROR(INDEX(PRENOTAZIONI!$E:$E,SMALL(PRENOTAZIONI!$AP:$AP,10)),"")</f>
        <v/>
      </c>
      <c r="X13" s="34" t="str">
        <f>IFERROR(INDEX(PRENOTAZIONI!$F:$F,SMALL(PRENOTAZIONI!$AP:$AP,10)),"")</f>
        <v/>
      </c>
      <c r="Y13" s="35" t="str">
        <f>IFERROR(INDEX(PRENOTAZIONI!$H:$H,SMALL(PRENOTAZIONI!$AP:$AP,10)),"")</f>
        <v/>
      </c>
      <c r="Z13" s="34" t="str">
        <f>IFERROR(INDEX(PRENOTAZIONI!$K:$K,SMALL(PRENOTAZIONI!$AP:$AP,10)),"")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SUMPRODUCT((MONTH(PRENOTAZIONI!$A$3:$A$262)=10)*(YEAR(PRENOTAZIONI!$A$3:$A$262)=2026)*(PRENOTAZIONI!$D$3:$D$262="Casa Verde Oliva"))</f>
        <v>0</v>
      </c>
      <c r="AI13" s="114">
        <f>SUMPRODUCT((PRENOTAZIONI!$A$3:$A$262&lt;DATE(2026,11,1))*(PRENOTAZIONI!$B$3:$B$262&gt;DATE(2026,10,1))*(YEAR(PRENOTAZIONI!$A$3:$A$262)=2026)*(PRENOTAZIONI!$D$3:$D$262="Casa Verde Oliv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IFERROR(INDEX(PRENOTAZIONI!$A:$A,SMALL(PRENOTAZIONI!$AB:$AB,11)),"")</f>
        <v/>
      </c>
      <c r="B14" s="31" t="str">
        <f>IFERROR(INDEX(PRENOTAZIONI!$B:$B,SMALL(PRENOTAZIONI!$AB:$AB,11)),"")</f>
        <v/>
      </c>
      <c r="C14" s="32" t="str">
        <f t="shared" si="0"/>
        <v/>
      </c>
      <c r="D14" s="34" t="str">
        <f>IFERROR(INDEX(PRENOTAZIONI!$E:$E,SMALL(PRENOTAZIONI!$AB:$AB,11)),"")</f>
        <v/>
      </c>
      <c r="E14" s="34" t="str">
        <f>IFERROR(INDEX(PRENOTAZIONI!$F:$F,SMALL(PRENOTAZIONI!$AB:$AB,11)),"")</f>
        <v/>
      </c>
      <c r="F14" s="34" t="str">
        <f>IFERROR(INDEX(PRENOTAZIONI!$G:$G,SMALL(PRENOTAZIONI!$AB:$AB,11)),"")</f>
        <v/>
      </c>
      <c r="G14" s="35" t="str">
        <f>IFERROR(INDEX(PRENOTAZIONI!$H:$H,SMALL(PRENOTAZIONI!$AB:$AB,11)),"")</f>
        <v/>
      </c>
      <c r="H14" s="146" t="str">
        <f t="shared" si="1"/>
        <v/>
      </c>
      <c r="I14" s="35" t="str">
        <f t="shared" si="2"/>
        <v/>
      </c>
      <c r="J14" s="149" t="str">
        <f t="shared" si="9"/>
        <v/>
      </c>
      <c r="K14" s="34" t="str">
        <f>IFERROR(INDEX(PRENOTAZIONI!$K:$K,SMALL(PRENOTAZIONI!$AB:$AB,11)),"")</f>
        <v/>
      </c>
      <c r="L14" s="35" t="str">
        <f>IFERROR(INDEX(PRENOTAZIONI!$L:$L,SMALL(PRENOTAZIONI!$AB:$AB,11)),"")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34" t="str">
        <f>IFERROR(INDEX(PRENOTAZIONI!$R:$R,SMALL(PRENOTAZIONI!$AB:$AB,11)),"")</f>
        <v/>
      </c>
      <c r="S14" s="31"/>
      <c r="T14" s="80" t="str">
        <f>IFERROR(INDEX(PRENOTAZIONI!$A:$A,SMALL(PRENOTAZIONI!$AP:$AP,11)),"")</f>
        <v/>
      </c>
      <c r="U14" s="31" t="str">
        <f>IFERROR(INDEX(PRENOTAZIONI!$B:$B,SMALL(PRENOTAZIONI!$AP:$AP,11)),"")</f>
        <v/>
      </c>
      <c r="V14" s="32" t="str">
        <f t="shared" si="6"/>
        <v/>
      </c>
      <c r="W14" s="34" t="str">
        <f>IFERROR(INDEX(PRENOTAZIONI!$E:$E,SMALL(PRENOTAZIONI!$AP:$AP,11)),"")</f>
        <v/>
      </c>
      <c r="X14" s="34" t="str">
        <f>IFERROR(INDEX(PRENOTAZIONI!$F:$F,SMALL(PRENOTAZIONI!$AP:$AP,11)),"")</f>
        <v/>
      </c>
      <c r="Y14" s="35" t="str">
        <f>IFERROR(INDEX(PRENOTAZIONI!$H:$H,SMALL(PRENOTAZIONI!$AP:$AP,11)),"")</f>
        <v/>
      </c>
      <c r="Z14" s="34" t="str">
        <f>IFERROR(INDEX(PRENOTAZIONI!$K:$K,SMALL(PRENOTAZIONI!$AP:$AP,11)),"")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SUMPRODUCT((MONTH(PRENOTAZIONI!$A$3:$A$262)=11)*(YEAR(PRENOTAZIONI!$A$3:$A$262)=2026)*(PRENOTAZIONI!$D$3:$D$262="Casa Verde Oliva"))</f>
        <v>0</v>
      </c>
      <c r="AI14" s="114">
        <f>SUMPRODUCT((PRENOTAZIONI!$A$3:$A$262&lt;DATE(2026,12,1))*(PRENOTAZIONI!$B$3:$B$262&gt;DATE(2026,11,1))*(YEAR(PRENOTAZIONI!$A$3:$A$262)=2026)*(PRENOTAZIONI!$D$3:$D$262="Casa Verde Oliv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IFERROR(INDEX(PRENOTAZIONI!$A:$A,SMALL(PRENOTAZIONI!$AB:$AB,12)),"")</f>
        <v/>
      </c>
      <c r="B15" s="31" t="str">
        <f>IFERROR(INDEX(PRENOTAZIONI!$B:$B,SMALL(PRENOTAZIONI!$AB:$AB,12)),"")</f>
        <v/>
      </c>
      <c r="C15" s="32" t="str">
        <f t="shared" si="0"/>
        <v/>
      </c>
      <c r="D15" s="34" t="str">
        <f>IFERROR(INDEX(PRENOTAZIONI!$E:$E,SMALL(PRENOTAZIONI!$AB:$AB,12)),"")</f>
        <v/>
      </c>
      <c r="E15" s="34" t="str">
        <f>IFERROR(INDEX(PRENOTAZIONI!$F:$F,SMALL(PRENOTAZIONI!$AB:$AB,12)),"")</f>
        <v/>
      </c>
      <c r="F15" s="34" t="str">
        <f>IFERROR(INDEX(PRENOTAZIONI!$G:$G,SMALL(PRENOTAZIONI!$AB:$AB,12)),"")</f>
        <v/>
      </c>
      <c r="G15" s="35" t="str">
        <f>IFERROR(INDEX(PRENOTAZIONI!$H:$H,SMALL(PRENOTAZIONI!$AB:$AB,12)),"")</f>
        <v/>
      </c>
      <c r="H15" s="146" t="str">
        <f t="shared" si="1"/>
        <v/>
      </c>
      <c r="I15" s="35" t="str">
        <f t="shared" si="2"/>
        <v/>
      </c>
      <c r="J15" s="149" t="str">
        <f t="shared" si="9"/>
        <v/>
      </c>
      <c r="K15" s="34" t="str">
        <f>IFERROR(INDEX(PRENOTAZIONI!$K:$K,SMALL(PRENOTAZIONI!$AB:$AB,12)),"")</f>
        <v/>
      </c>
      <c r="L15" s="35" t="str">
        <f>IFERROR(INDEX(PRENOTAZIONI!$L:$L,SMALL(PRENOTAZIONI!$AB:$AB,12)),"")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34" t="str">
        <f>IFERROR(INDEX(PRENOTAZIONI!$R:$R,SMALL(PRENOTAZIONI!$AB:$AB,12)),"")</f>
        <v/>
      </c>
      <c r="S15" s="31"/>
      <c r="T15" s="80" t="str">
        <f>IFERROR(INDEX(PRENOTAZIONI!$A:$A,SMALL(PRENOTAZIONI!$AP:$AP,12)),"")</f>
        <v/>
      </c>
      <c r="U15" s="31" t="str">
        <f>IFERROR(INDEX(PRENOTAZIONI!$B:$B,SMALL(PRENOTAZIONI!$AP:$AP,12)),"")</f>
        <v/>
      </c>
      <c r="V15" s="32" t="str">
        <f t="shared" si="6"/>
        <v/>
      </c>
      <c r="W15" s="34" t="str">
        <f>IFERROR(INDEX(PRENOTAZIONI!$E:$E,SMALL(PRENOTAZIONI!$AP:$AP,12)),"")</f>
        <v/>
      </c>
      <c r="X15" s="34" t="str">
        <f>IFERROR(INDEX(PRENOTAZIONI!$F:$F,SMALL(PRENOTAZIONI!$AP:$AP,12)),"")</f>
        <v/>
      </c>
      <c r="Y15" s="35" t="str">
        <f>IFERROR(INDEX(PRENOTAZIONI!$H:$H,SMALL(PRENOTAZIONI!$AP:$AP,12)),"")</f>
        <v/>
      </c>
      <c r="Z15" s="34" t="str">
        <f>IFERROR(INDEX(PRENOTAZIONI!$K:$K,SMALL(PRENOTAZIONI!$AP:$AP,12)),"")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SUMPRODUCT((MONTH(PRENOTAZIONI!$A$3:$A$262)=12)*(YEAR(PRENOTAZIONI!$A$3:$A$262)=2026)*(PRENOTAZIONI!$D$3:$D$262="Casa Verde Oliva"))</f>
        <v>0</v>
      </c>
      <c r="AI15" s="114">
        <f>SUMPRODUCT((PRENOTAZIONI!$A$3:$A$262&lt;DATE(2027,1,1))*(PRENOTAZIONI!$B$3:$B$262&gt;DATE(2026,12,1))*(YEAR(PRENOTAZIONI!$A$3:$A$262)=2026)*(PRENOTAZIONI!$D$3:$D$262="Casa Verde Oliva")*((PRENOTAZIONI!$B$3:$B$262*(PRENOTAZIONI!$B$3:$B$262&lt;DATE(2027,1,1))+DATE(2027,1,1)*(PRENOTAZIONI!$B$3:$B$262&gt;=DATE(2027,1,1)))-(PRENOTAZIONI!$A$3:$A$262*(PRENOTAZIONI!$A$3:$A$262&gt;DATE(2026,12,1))+DATE(2026,12,1)*(PRENOTAZIONI!$A$3:$A$262&lt;=DATE(2026,12,1)))))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IFERROR(INDEX(PRENOTAZIONI!$A:$A,SMALL(PRENOTAZIONI!$AB:$AB,13)),"")</f>
        <v/>
      </c>
      <c r="B16" s="31" t="str">
        <f>IFERROR(INDEX(PRENOTAZIONI!$B:$B,SMALL(PRENOTAZIONI!$AB:$AB,13)),"")</f>
        <v/>
      </c>
      <c r="C16" s="32" t="str">
        <f t="shared" si="0"/>
        <v/>
      </c>
      <c r="D16" s="34" t="str">
        <f>IFERROR(INDEX(PRENOTAZIONI!$E:$E,SMALL(PRENOTAZIONI!$AB:$AB,13)),"")</f>
        <v/>
      </c>
      <c r="E16" s="34" t="str">
        <f>IFERROR(INDEX(PRENOTAZIONI!$F:$F,SMALL(PRENOTAZIONI!$AB:$AB,13)),"")</f>
        <v/>
      </c>
      <c r="F16" s="34" t="str">
        <f>IFERROR(INDEX(PRENOTAZIONI!$G:$G,SMALL(PRENOTAZIONI!$AB:$AB,13)),"")</f>
        <v/>
      </c>
      <c r="G16" s="35" t="str">
        <f>IFERROR(INDEX(PRENOTAZIONI!$H:$H,SMALL(PRENOTAZIONI!$AB:$AB,13)),"")</f>
        <v/>
      </c>
      <c r="H16" s="146" t="str">
        <f t="shared" si="1"/>
        <v/>
      </c>
      <c r="I16" s="35" t="str">
        <f t="shared" si="2"/>
        <v/>
      </c>
      <c r="J16" s="149" t="str">
        <f t="shared" si="9"/>
        <v/>
      </c>
      <c r="K16" s="34" t="str">
        <f>IFERROR(INDEX(PRENOTAZIONI!$K:$K,SMALL(PRENOTAZIONI!$AB:$AB,13)),"")</f>
        <v/>
      </c>
      <c r="L16" s="35" t="str">
        <f>IFERROR(INDEX(PRENOTAZIONI!$L:$L,SMALL(PRENOTAZIONI!$AB:$AB,13)),"")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34" t="str">
        <f>IFERROR(INDEX(PRENOTAZIONI!$R:$R,SMALL(PRENOTAZIONI!$AB:$AB,13)),"")</f>
        <v/>
      </c>
      <c r="S16" s="31"/>
      <c r="T16" s="80" t="str">
        <f>IFERROR(INDEX(PRENOTAZIONI!$A:$A,SMALL(PRENOTAZIONI!$AP:$AP,13)),"")</f>
        <v/>
      </c>
      <c r="U16" s="31" t="str">
        <f>IFERROR(INDEX(PRENOTAZIONI!$B:$B,SMALL(PRENOTAZIONI!$AP:$AP,13)),"")</f>
        <v/>
      </c>
      <c r="V16" s="32" t="str">
        <f t="shared" si="6"/>
        <v/>
      </c>
      <c r="W16" s="34" t="str">
        <f>IFERROR(INDEX(PRENOTAZIONI!$E:$E,SMALL(PRENOTAZIONI!$AP:$AP,13)),"")</f>
        <v/>
      </c>
      <c r="X16" s="34" t="str">
        <f>IFERROR(INDEX(PRENOTAZIONI!$F:$F,SMALL(PRENOTAZIONI!$AP:$AP,13)),"")</f>
        <v/>
      </c>
      <c r="Y16" s="35" t="str">
        <f>IFERROR(INDEX(PRENOTAZIONI!$H:$H,SMALL(PRENOTAZIONI!$AP:$AP,13)),"")</f>
        <v/>
      </c>
      <c r="Z16" s="34" t="str">
        <f>IFERROR(INDEX(PRENOTAZIONI!$K:$K,SMALL(PRENOTAZIONI!$AP:$AP,13)),"")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5</v>
      </c>
      <c r="AI16" s="116">
        <f t="shared" si="10"/>
        <v>28</v>
      </c>
      <c r="AJ16" s="116">
        <f t="shared" si="10"/>
        <v>3691.8900000000003</v>
      </c>
      <c r="AK16" s="116">
        <f t="shared" si="10"/>
        <v>553.7835</v>
      </c>
      <c r="AL16" s="116">
        <f t="shared" si="10"/>
        <v>45</v>
      </c>
      <c r="AM16" s="116">
        <f t="shared" si="10"/>
        <v>922.97250000000008</v>
      </c>
      <c r="AN16" s="116">
        <f t="shared" si="10"/>
        <v>775.29690000000005</v>
      </c>
      <c r="AO16" s="117">
        <f t="shared" si="10"/>
        <v>136.85793000000001</v>
      </c>
      <c r="AP16" s="117">
        <f t="shared" si="10"/>
        <v>1178.9791700000001</v>
      </c>
    </row>
    <row r="17" spans="1:42" ht="22" customHeight="1" x14ac:dyDescent="0.2">
      <c r="A17" s="31" t="str">
        <f>IFERROR(INDEX(PRENOTAZIONI!$A:$A,SMALL(PRENOTAZIONI!$AB:$AB,14)),"")</f>
        <v/>
      </c>
      <c r="B17" s="31" t="str">
        <f>IFERROR(INDEX(PRENOTAZIONI!$B:$B,SMALL(PRENOTAZIONI!$AB:$AB,14)),"")</f>
        <v/>
      </c>
      <c r="C17" s="32" t="str">
        <f t="shared" si="0"/>
        <v/>
      </c>
      <c r="D17" s="34" t="str">
        <f>IFERROR(INDEX(PRENOTAZIONI!$E:$E,SMALL(PRENOTAZIONI!$AB:$AB,14)),"")</f>
        <v/>
      </c>
      <c r="E17" s="34" t="str">
        <f>IFERROR(INDEX(PRENOTAZIONI!$F:$F,SMALL(PRENOTAZIONI!$AB:$AB,14)),"")</f>
        <v/>
      </c>
      <c r="F17" s="34" t="str">
        <f>IFERROR(INDEX(PRENOTAZIONI!$G:$G,SMALL(PRENOTAZIONI!$AB:$AB,14)),"")</f>
        <v/>
      </c>
      <c r="G17" s="35" t="str">
        <f>IFERROR(INDEX(PRENOTAZIONI!$H:$H,SMALL(PRENOTAZIONI!$AB:$AB,14)),"")</f>
        <v/>
      </c>
      <c r="H17" s="146" t="str">
        <f t="shared" si="1"/>
        <v/>
      </c>
      <c r="I17" s="35" t="str">
        <f t="shared" si="2"/>
        <v/>
      </c>
      <c r="J17" s="149" t="str">
        <f t="shared" si="9"/>
        <v/>
      </c>
      <c r="K17" s="34" t="str">
        <f>IFERROR(INDEX(PRENOTAZIONI!$K:$K,SMALL(PRENOTAZIONI!$AB:$AB,14)),"")</f>
        <v/>
      </c>
      <c r="L17" s="35" t="str">
        <f>IFERROR(INDEX(PRENOTAZIONI!$L:$L,SMALL(PRENOTAZIONI!$AB:$AB,14)),"")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34" t="str">
        <f>IFERROR(INDEX(PRENOTAZIONI!$R:$R,SMALL(PRENOTAZIONI!$AB:$AB,14)),"")</f>
        <v/>
      </c>
      <c r="S17" s="31"/>
      <c r="T17" s="80" t="str">
        <f>IFERROR(INDEX(PRENOTAZIONI!$A:$A,SMALL(PRENOTAZIONI!$AP:$AP,14)),"")</f>
        <v/>
      </c>
      <c r="U17" s="31" t="str">
        <f>IFERROR(INDEX(PRENOTAZIONI!$B:$B,SMALL(PRENOTAZIONI!$AP:$AP,14)),"")</f>
        <v/>
      </c>
      <c r="V17" s="32" t="str">
        <f t="shared" si="6"/>
        <v/>
      </c>
      <c r="W17" s="34" t="str">
        <f>IFERROR(INDEX(PRENOTAZIONI!$E:$E,SMALL(PRENOTAZIONI!$AP:$AP,14)),"")</f>
        <v/>
      </c>
      <c r="X17" s="34" t="str">
        <f>IFERROR(INDEX(PRENOTAZIONI!$F:$F,SMALL(PRENOTAZIONI!$AP:$AP,14)),"")</f>
        <v/>
      </c>
      <c r="Y17" s="35" t="str">
        <f>IFERROR(INDEX(PRENOTAZIONI!$H:$H,SMALL(PRENOTAZIONI!$AP:$AP,14)),"")</f>
        <v/>
      </c>
      <c r="Z17" s="34" t="str">
        <f>IFERROR(INDEX(PRENOTAZIONI!$K:$K,SMALL(PRENOTAZIONI!$AP:$AP,14)),"")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IFERROR(INDEX(PRENOTAZIONI!$A:$A,SMALL(PRENOTAZIONI!$AB:$AB,15)),"")</f>
        <v/>
      </c>
      <c r="B18" s="31" t="str">
        <f>IFERROR(INDEX(PRENOTAZIONI!$B:$B,SMALL(PRENOTAZIONI!$AB:$AB,15)),"")</f>
        <v/>
      </c>
      <c r="C18" s="32" t="str">
        <f t="shared" si="0"/>
        <v/>
      </c>
      <c r="D18" s="34" t="str">
        <f>IFERROR(INDEX(PRENOTAZIONI!$E:$E,SMALL(PRENOTAZIONI!$AB:$AB,15)),"")</f>
        <v/>
      </c>
      <c r="E18" s="34" t="str">
        <f>IFERROR(INDEX(PRENOTAZIONI!$F:$F,SMALL(PRENOTAZIONI!$AB:$AB,15)),"")</f>
        <v/>
      </c>
      <c r="F18" s="34" t="str">
        <f>IFERROR(INDEX(PRENOTAZIONI!$G:$G,SMALL(PRENOTAZIONI!$AB:$AB,15)),"")</f>
        <v/>
      </c>
      <c r="G18" s="35" t="str">
        <f>IFERROR(INDEX(PRENOTAZIONI!$H:$H,SMALL(PRENOTAZIONI!$AB:$AB,15)),"")</f>
        <v/>
      </c>
      <c r="H18" s="146" t="str">
        <f t="shared" si="1"/>
        <v/>
      </c>
      <c r="I18" s="35" t="str">
        <f t="shared" si="2"/>
        <v/>
      </c>
      <c r="J18" s="149" t="str">
        <f t="shared" si="9"/>
        <v/>
      </c>
      <c r="K18" s="34" t="str">
        <f>IFERROR(INDEX(PRENOTAZIONI!$K:$K,SMALL(PRENOTAZIONI!$AB:$AB,15)),"")</f>
        <v/>
      </c>
      <c r="L18" s="35" t="str">
        <f>IFERROR(INDEX(PRENOTAZIONI!$L:$L,SMALL(PRENOTAZIONI!$AB:$AB,15)),"")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34" t="str">
        <f>IFERROR(INDEX(PRENOTAZIONI!$R:$R,SMALL(PRENOTAZIONI!$AB:$AB,15)),"")</f>
        <v/>
      </c>
      <c r="S18" s="31"/>
      <c r="T18" s="80" t="str">
        <f>IFERROR(INDEX(PRENOTAZIONI!$A:$A,SMALL(PRENOTAZIONI!$AP:$AP,15)),"")</f>
        <v/>
      </c>
      <c r="U18" s="31" t="str">
        <f>IFERROR(INDEX(PRENOTAZIONI!$B:$B,SMALL(PRENOTAZIONI!$AP:$AP,15)),"")</f>
        <v/>
      </c>
      <c r="V18" s="32" t="str">
        <f t="shared" si="6"/>
        <v/>
      </c>
      <c r="W18" s="34" t="str">
        <f>IFERROR(INDEX(PRENOTAZIONI!$E:$E,SMALL(PRENOTAZIONI!$AP:$AP,15)),"")</f>
        <v/>
      </c>
      <c r="X18" s="34" t="str">
        <f>IFERROR(INDEX(PRENOTAZIONI!$F:$F,SMALL(PRENOTAZIONI!$AP:$AP,15)),"")</f>
        <v/>
      </c>
      <c r="Y18" s="35" t="str">
        <f>IFERROR(INDEX(PRENOTAZIONI!$H:$H,SMALL(PRENOTAZIONI!$AP:$AP,15)),"")</f>
        <v/>
      </c>
      <c r="Z18" s="34" t="str">
        <f>IFERROR(INDEX(PRENOTAZIONI!$K:$K,SMALL(PRENOTAZIONI!$AP:$AP,15)),"")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IFERROR(INDEX(PRENOTAZIONI!$A:$A,SMALL(PRENOTAZIONI!$AB:$AB,16)),"")</f>
        <v/>
      </c>
      <c r="B19" s="31" t="str">
        <f>IFERROR(INDEX(PRENOTAZIONI!$B:$B,SMALL(PRENOTAZIONI!$AB:$AB,16)),"")</f>
        <v/>
      </c>
      <c r="C19" s="32" t="str">
        <f t="shared" si="0"/>
        <v/>
      </c>
      <c r="D19" s="34" t="str">
        <f>IFERROR(INDEX(PRENOTAZIONI!$E:$E,SMALL(PRENOTAZIONI!$AB:$AB,16)),"")</f>
        <v/>
      </c>
      <c r="E19" s="34" t="str">
        <f>IFERROR(INDEX(PRENOTAZIONI!$F:$F,SMALL(PRENOTAZIONI!$AB:$AB,16)),"")</f>
        <v/>
      </c>
      <c r="F19" s="34" t="str">
        <f>IFERROR(INDEX(PRENOTAZIONI!$G:$G,SMALL(PRENOTAZIONI!$AB:$AB,16)),"")</f>
        <v/>
      </c>
      <c r="G19" s="35" t="str">
        <f>IFERROR(INDEX(PRENOTAZIONI!$H:$H,SMALL(PRENOTAZIONI!$AB:$AB,16)),"")</f>
        <v/>
      </c>
      <c r="H19" s="146" t="str">
        <f t="shared" si="1"/>
        <v/>
      </c>
      <c r="I19" s="35" t="str">
        <f t="shared" si="2"/>
        <v/>
      </c>
      <c r="J19" s="149" t="str">
        <f t="shared" si="9"/>
        <v/>
      </c>
      <c r="K19" s="34" t="str">
        <f>IFERROR(INDEX(PRENOTAZIONI!$K:$K,SMALL(PRENOTAZIONI!$AB:$AB,16)),"")</f>
        <v/>
      </c>
      <c r="L19" s="35" t="str">
        <f>IFERROR(INDEX(PRENOTAZIONI!$L:$L,SMALL(PRENOTAZIONI!$AB:$AB,16)),"")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34" t="str">
        <f>IFERROR(INDEX(PRENOTAZIONI!$R:$R,SMALL(PRENOTAZIONI!$AB:$AB,16)),"")</f>
        <v/>
      </c>
      <c r="S19" s="31"/>
      <c r="T19" s="80" t="str">
        <f>IFERROR(INDEX(PRENOTAZIONI!$A:$A,SMALL(PRENOTAZIONI!$AP:$AP,16)),"")</f>
        <v/>
      </c>
      <c r="U19" s="31" t="str">
        <f>IFERROR(INDEX(PRENOTAZIONI!$B:$B,SMALL(PRENOTAZIONI!$AP:$AP,16)),"")</f>
        <v/>
      </c>
      <c r="V19" s="32" t="str">
        <f t="shared" si="6"/>
        <v/>
      </c>
      <c r="W19" s="34" t="str">
        <f>IFERROR(INDEX(PRENOTAZIONI!$E:$E,SMALL(PRENOTAZIONI!$AP:$AP,16)),"")</f>
        <v/>
      </c>
      <c r="X19" s="34" t="str">
        <f>IFERROR(INDEX(PRENOTAZIONI!$F:$F,SMALL(PRENOTAZIONI!$AP:$AP,16)),"")</f>
        <v/>
      </c>
      <c r="Y19" s="35" t="str">
        <f>IFERROR(INDEX(PRENOTAZIONI!$H:$H,SMALL(PRENOTAZIONI!$AP:$AP,16)),"")</f>
        <v/>
      </c>
      <c r="Z19" s="34" t="str">
        <f>IFERROR(INDEX(PRENOTAZIONI!$K:$K,SMALL(PRENOTAZIONI!$AP:$AP,16)),"")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IFERROR(INDEX(PRENOTAZIONI!$A:$A,SMALL(PRENOTAZIONI!$AB:$AB,17)),"")</f>
        <v/>
      </c>
      <c r="B20" s="31" t="str">
        <f>IFERROR(INDEX(PRENOTAZIONI!$B:$B,SMALL(PRENOTAZIONI!$AB:$AB,17)),"")</f>
        <v/>
      </c>
      <c r="C20" s="32" t="str">
        <f t="shared" si="0"/>
        <v/>
      </c>
      <c r="D20" s="34" t="str">
        <f>IFERROR(INDEX(PRENOTAZIONI!$E:$E,SMALL(PRENOTAZIONI!$AB:$AB,17)),"")</f>
        <v/>
      </c>
      <c r="E20" s="34" t="str">
        <f>IFERROR(INDEX(PRENOTAZIONI!$F:$F,SMALL(PRENOTAZIONI!$AB:$AB,17)),"")</f>
        <v/>
      </c>
      <c r="F20" s="34" t="str">
        <f>IFERROR(INDEX(PRENOTAZIONI!$G:$G,SMALL(PRENOTAZIONI!$AB:$AB,17)),"")</f>
        <v/>
      </c>
      <c r="G20" s="35" t="str">
        <f>IFERROR(INDEX(PRENOTAZIONI!$H:$H,SMALL(PRENOTAZIONI!$AB:$AB,17)),"")</f>
        <v/>
      </c>
      <c r="H20" s="146" t="str">
        <f t="shared" si="1"/>
        <v/>
      </c>
      <c r="I20" s="35" t="str">
        <f t="shared" si="2"/>
        <v/>
      </c>
      <c r="J20" s="149" t="str">
        <f t="shared" si="9"/>
        <v/>
      </c>
      <c r="K20" s="34" t="str">
        <f>IFERROR(INDEX(PRENOTAZIONI!$K:$K,SMALL(PRENOTAZIONI!$AB:$AB,17)),"")</f>
        <v/>
      </c>
      <c r="L20" s="35" t="str">
        <f>IFERROR(INDEX(PRENOTAZIONI!$L:$L,SMALL(PRENOTAZIONI!$AB:$AB,17)),"")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34" t="str">
        <f>IFERROR(INDEX(PRENOTAZIONI!$R:$R,SMALL(PRENOTAZIONI!$AB:$AB,17)),"")</f>
        <v/>
      </c>
      <c r="S20" s="31"/>
      <c r="T20" s="80" t="str">
        <f>IFERROR(INDEX(PRENOTAZIONI!$A:$A,SMALL(PRENOTAZIONI!$AP:$AP,17)),"")</f>
        <v/>
      </c>
      <c r="U20" s="31" t="str">
        <f>IFERROR(INDEX(PRENOTAZIONI!$B:$B,SMALL(PRENOTAZIONI!$AP:$AP,17)),"")</f>
        <v/>
      </c>
      <c r="V20" s="32" t="str">
        <f t="shared" si="6"/>
        <v/>
      </c>
      <c r="W20" s="34" t="str">
        <f>IFERROR(INDEX(PRENOTAZIONI!$E:$E,SMALL(PRENOTAZIONI!$AP:$AP,17)),"")</f>
        <v/>
      </c>
      <c r="X20" s="34" t="str">
        <f>IFERROR(INDEX(PRENOTAZIONI!$F:$F,SMALL(PRENOTAZIONI!$AP:$AP,17)),"")</f>
        <v/>
      </c>
      <c r="Y20" s="35" t="str">
        <f>IFERROR(INDEX(PRENOTAZIONI!$H:$H,SMALL(PRENOTAZIONI!$AP:$AP,17)),"")</f>
        <v/>
      </c>
      <c r="Z20" s="34" t="str">
        <f>IFERROR(INDEX(PRENOTAZIONI!$K:$K,SMALL(PRENOTAZIONI!$AP:$AP,17)),"")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IFERROR(INDEX(PRENOTAZIONI!$A:$A,SMALL(PRENOTAZIONI!$AB:$AB,18)),"")</f>
        <v/>
      </c>
      <c r="B21" s="31" t="str">
        <f>IFERROR(INDEX(PRENOTAZIONI!$B:$B,SMALL(PRENOTAZIONI!$AB:$AB,18)),"")</f>
        <v/>
      </c>
      <c r="C21" s="32" t="str">
        <f t="shared" si="0"/>
        <v/>
      </c>
      <c r="D21" s="34" t="str">
        <f>IFERROR(INDEX(PRENOTAZIONI!$E:$E,SMALL(PRENOTAZIONI!$AB:$AB,18)),"")</f>
        <v/>
      </c>
      <c r="E21" s="34" t="str">
        <f>IFERROR(INDEX(PRENOTAZIONI!$F:$F,SMALL(PRENOTAZIONI!$AB:$AB,18)),"")</f>
        <v/>
      </c>
      <c r="F21" s="34" t="str">
        <f>IFERROR(INDEX(PRENOTAZIONI!$G:$G,SMALL(PRENOTAZIONI!$AB:$AB,18)),"")</f>
        <v/>
      </c>
      <c r="G21" s="35" t="str">
        <f>IFERROR(INDEX(PRENOTAZIONI!$H:$H,SMALL(PRENOTAZIONI!$AB:$AB,18)),"")</f>
        <v/>
      </c>
      <c r="H21" s="146" t="str">
        <f t="shared" si="1"/>
        <v/>
      </c>
      <c r="I21" s="35" t="str">
        <f t="shared" si="2"/>
        <v/>
      </c>
      <c r="J21" s="149" t="str">
        <f t="shared" si="9"/>
        <v/>
      </c>
      <c r="K21" s="34" t="str">
        <f>IFERROR(INDEX(PRENOTAZIONI!$K:$K,SMALL(PRENOTAZIONI!$AB:$AB,18)),"")</f>
        <v/>
      </c>
      <c r="L21" s="35" t="str">
        <f>IFERROR(INDEX(PRENOTAZIONI!$L:$L,SMALL(PRENOTAZIONI!$AB:$AB,18)),"")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34" t="str">
        <f>IFERROR(INDEX(PRENOTAZIONI!$R:$R,SMALL(PRENOTAZIONI!$AB:$AB,18)),"")</f>
        <v/>
      </c>
      <c r="S21" s="31"/>
      <c r="T21" s="80" t="str">
        <f>IFERROR(INDEX(PRENOTAZIONI!$A:$A,SMALL(PRENOTAZIONI!$AP:$AP,18)),"")</f>
        <v/>
      </c>
      <c r="U21" s="31" t="str">
        <f>IFERROR(INDEX(PRENOTAZIONI!$B:$B,SMALL(PRENOTAZIONI!$AP:$AP,18)),"")</f>
        <v/>
      </c>
      <c r="V21" s="32" t="str">
        <f t="shared" si="6"/>
        <v/>
      </c>
      <c r="W21" s="34" t="str">
        <f>IFERROR(INDEX(PRENOTAZIONI!$E:$E,SMALL(PRENOTAZIONI!$AP:$AP,18)),"")</f>
        <v/>
      </c>
      <c r="X21" s="34" t="str">
        <f>IFERROR(INDEX(PRENOTAZIONI!$F:$F,SMALL(PRENOTAZIONI!$AP:$AP,18)),"")</f>
        <v/>
      </c>
      <c r="Y21" s="35" t="str">
        <f>IFERROR(INDEX(PRENOTAZIONI!$H:$H,SMALL(PRENOTAZIONI!$AP:$AP,18)),"")</f>
        <v/>
      </c>
      <c r="Z21" s="34" t="str">
        <f>IFERROR(INDEX(PRENOTAZIONI!$K:$K,SMALL(PRENOTAZIONI!$AP:$AP,18)),"")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IFERROR(INDEX(PRENOTAZIONI!$A:$A,SMALL(PRENOTAZIONI!$AB:$AB,19)),"")</f>
        <v/>
      </c>
      <c r="B22" s="31" t="str">
        <f>IFERROR(INDEX(PRENOTAZIONI!$B:$B,SMALL(PRENOTAZIONI!$AB:$AB,19)),"")</f>
        <v/>
      </c>
      <c r="C22" s="32" t="str">
        <f t="shared" si="0"/>
        <v/>
      </c>
      <c r="D22" s="34" t="str">
        <f>IFERROR(INDEX(PRENOTAZIONI!$E:$E,SMALL(PRENOTAZIONI!$AB:$AB,19)),"")</f>
        <v/>
      </c>
      <c r="E22" s="34" t="str">
        <f>IFERROR(INDEX(PRENOTAZIONI!$F:$F,SMALL(PRENOTAZIONI!$AB:$AB,19)),"")</f>
        <v/>
      </c>
      <c r="F22" s="34" t="str">
        <f>IFERROR(INDEX(PRENOTAZIONI!$G:$G,SMALL(PRENOTAZIONI!$AB:$AB,19)),"")</f>
        <v/>
      </c>
      <c r="G22" s="35" t="str">
        <f>IFERROR(INDEX(PRENOTAZIONI!$H:$H,SMALL(PRENOTAZIONI!$AB:$AB,19)),"")</f>
        <v/>
      </c>
      <c r="H22" s="146" t="str">
        <f t="shared" si="1"/>
        <v/>
      </c>
      <c r="I22" s="35" t="str">
        <f t="shared" si="2"/>
        <v/>
      </c>
      <c r="J22" s="149" t="str">
        <f t="shared" si="9"/>
        <v/>
      </c>
      <c r="K22" s="34" t="str">
        <f>IFERROR(INDEX(PRENOTAZIONI!$K:$K,SMALL(PRENOTAZIONI!$AB:$AB,19)),"")</f>
        <v/>
      </c>
      <c r="L22" s="35" t="str">
        <f>IFERROR(INDEX(PRENOTAZIONI!$L:$L,SMALL(PRENOTAZIONI!$AB:$AB,19)),"")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34" t="str">
        <f>IFERROR(INDEX(PRENOTAZIONI!$R:$R,SMALL(PRENOTAZIONI!$AB:$AB,19)),"")</f>
        <v/>
      </c>
      <c r="S22" s="31"/>
      <c r="T22" s="80" t="str">
        <f>IFERROR(INDEX(PRENOTAZIONI!$A:$A,SMALL(PRENOTAZIONI!$AP:$AP,19)),"")</f>
        <v/>
      </c>
      <c r="U22" s="31" t="str">
        <f>IFERROR(INDEX(PRENOTAZIONI!$B:$B,SMALL(PRENOTAZIONI!$AP:$AP,19)),"")</f>
        <v/>
      </c>
      <c r="V22" s="32" t="str">
        <f t="shared" si="6"/>
        <v/>
      </c>
      <c r="W22" s="34" t="str">
        <f>IFERROR(INDEX(PRENOTAZIONI!$E:$E,SMALL(PRENOTAZIONI!$AP:$AP,19)),"")</f>
        <v/>
      </c>
      <c r="X22" s="34" t="str">
        <f>IFERROR(INDEX(PRENOTAZIONI!$F:$F,SMALL(PRENOTAZIONI!$AP:$AP,19)),"")</f>
        <v/>
      </c>
      <c r="Y22" s="35" t="str">
        <f>IFERROR(INDEX(PRENOTAZIONI!$H:$H,SMALL(PRENOTAZIONI!$AP:$AP,19)),"")</f>
        <v/>
      </c>
      <c r="Z22" s="34" t="str">
        <f>IFERROR(INDEX(PRENOTAZIONI!$K:$K,SMALL(PRENOTAZIONI!$AP:$AP,19)),"")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IFERROR(INDEX(PRENOTAZIONI!$A:$A,SMALL(PRENOTAZIONI!$AB:$AB,20)),"")</f>
        <v/>
      </c>
      <c r="B23" s="31" t="str">
        <f>IFERROR(INDEX(PRENOTAZIONI!$B:$B,SMALL(PRENOTAZIONI!$AB:$AB,20)),"")</f>
        <v/>
      </c>
      <c r="C23" s="32" t="str">
        <f t="shared" si="0"/>
        <v/>
      </c>
      <c r="D23" s="34" t="str">
        <f>IFERROR(INDEX(PRENOTAZIONI!$E:$E,SMALL(PRENOTAZIONI!$AB:$AB,20)),"")</f>
        <v/>
      </c>
      <c r="E23" s="34" t="str">
        <f>IFERROR(INDEX(PRENOTAZIONI!$F:$F,SMALL(PRENOTAZIONI!$AB:$AB,20)),"")</f>
        <v/>
      </c>
      <c r="F23" s="34" t="str">
        <f>IFERROR(INDEX(PRENOTAZIONI!$G:$G,SMALL(PRENOTAZIONI!$AB:$AB,20)),"")</f>
        <v/>
      </c>
      <c r="G23" s="35" t="str">
        <f>IFERROR(INDEX(PRENOTAZIONI!$H:$H,SMALL(PRENOTAZIONI!$AB:$AB,20)),"")</f>
        <v/>
      </c>
      <c r="H23" s="146" t="str">
        <f t="shared" si="1"/>
        <v/>
      </c>
      <c r="I23" s="35" t="str">
        <f t="shared" si="2"/>
        <v/>
      </c>
      <c r="J23" s="149" t="str">
        <f t="shared" si="9"/>
        <v/>
      </c>
      <c r="K23" s="34" t="str">
        <f>IFERROR(INDEX(PRENOTAZIONI!$K:$K,SMALL(PRENOTAZIONI!$AB:$AB,20)),"")</f>
        <v/>
      </c>
      <c r="L23" s="35" t="str">
        <f>IFERROR(INDEX(PRENOTAZIONI!$L:$L,SMALL(PRENOTAZIONI!$AB:$AB,20)),"")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34" t="str">
        <f>IFERROR(INDEX(PRENOTAZIONI!$R:$R,SMALL(PRENOTAZIONI!$AB:$AB,20)),"")</f>
        <v/>
      </c>
      <c r="S23" s="31"/>
      <c r="T23" s="80" t="str">
        <f>IFERROR(INDEX(PRENOTAZIONI!$A:$A,SMALL(PRENOTAZIONI!$AP:$AP,20)),"")</f>
        <v/>
      </c>
      <c r="U23" s="31" t="str">
        <f>IFERROR(INDEX(PRENOTAZIONI!$B:$B,SMALL(PRENOTAZIONI!$AP:$AP,20)),"")</f>
        <v/>
      </c>
      <c r="V23" s="32" t="str">
        <f t="shared" si="6"/>
        <v/>
      </c>
      <c r="W23" s="34" t="str">
        <f>IFERROR(INDEX(PRENOTAZIONI!$E:$E,SMALL(PRENOTAZIONI!$AP:$AP,20)),"")</f>
        <v/>
      </c>
      <c r="X23" s="34" t="str">
        <f>IFERROR(INDEX(PRENOTAZIONI!$F:$F,SMALL(PRENOTAZIONI!$AP:$AP,20)),"")</f>
        <v/>
      </c>
      <c r="Y23" s="35" t="str">
        <f>IFERROR(INDEX(PRENOTAZIONI!$H:$H,SMALL(PRENOTAZIONI!$AP:$AP,20)),"")</f>
        <v/>
      </c>
      <c r="Z23" s="34" t="str">
        <f>IFERROR(INDEX(PRENOTAZIONI!$K:$K,SMALL(PRENOTAZIONI!$AP:$AP,20)),"")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IFERROR(INDEX(PRENOTAZIONI!$A:$A,SMALL(PRENOTAZIONI!$AB:$AB,21)),"")</f>
        <v/>
      </c>
      <c r="B24" s="31" t="str">
        <f>IFERROR(INDEX(PRENOTAZIONI!$B:$B,SMALL(PRENOTAZIONI!$AB:$AB,21)),"")</f>
        <v/>
      </c>
      <c r="C24" s="32" t="str">
        <f t="shared" si="0"/>
        <v/>
      </c>
      <c r="D24" s="34" t="str">
        <f>IFERROR(INDEX(PRENOTAZIONI!$E:$E,SMALL(PRENOTAZIONI!$AB:$AB,21)),"")</f>
        <v/>
      </c>
      <c r="E24" s="34" t="str">
        <f>IFERROR(INDEX(PRENOTAZIONI!$F:$F,SMALL(PRENOTAZIONI!$AB:$AB,21)),"")</f>
        <v/>
      </c>
      <c r="F24" s="34" t="str">
        <f>IFERROR(INDEX(PRENOTAZIONI!$G:$G,SMALL(PRENOTAZIONI!$AB:$AB,21)),"")</f>
        <v/>
      </c>
      <c r="G24" s="35" t="str">
        <f>IFERROR(INDEX(PRENOTAZIONI!$H:$H,SMALL(PRENOTAZIONI!$AB:$AB,21)),"")</f>
        <v/>
      </c>
      <c r="H24" s="146" t="str">
        <f t="shared" si="1"/>
        <v/>
      </c>
      <c r="I24" s="35" t="str">
        <f t="shared" si="2"/>
        <v/>
      </c>
      <c r="J24" s="149" t="str">
        <f t="shared" si="9"/>
        <v/>
      </c>
      <c r="K24" s="34" t="str">
        <f>IFERROR(INDEX(PRENOTAZIONI!$K:$K,SMALL(PRENOTAZIONI!$AB:$AB,21)),"")</f>
        <v/>
      </c>
      <c r="L24" s="35" t="str">
        <f>IFERROR(INDEX(PRENOTAZIONI!$L:$L,SMALL(PRENOTAZIONI!$AB:$AB,21)),"")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34" t="str">
        <f>IFERROR(INDEX(PRENOTAZIONI!$R:$R,SMALL(PRENOTAZIONI!$AB:$AB,21)),"")</f>
        <v/>
      </c>
      <c r="S24" s="31"/>
      <c r="T24" s="80" t="str">
        <f>IFERROR(INDEX(PRENOTAZIONI!$A:$A,SMALL(PRENOTAZIONI!$AP:$AP,21)),"")</f>
        <v/>
      </c>
      <c r="U24" s="31" t="str">
        <f>IFERROR(INDEX(PRENOTAZIONI!$B:$B,SMALL(PRENOTAZIONI!$AP:$AP,21)),"")</f>
        <v/>
      </c>
      <c r="V24" s="32" t="str">
        <f t="shared" si="6"/>
        <v/>
      </c>
      <c r="W24" s="34" t="str">
        <f>IFERROR(INDEX(PRENOTAZIONI!$E:$E,SMALL(PRENOTAZIONI!$AP:$AP,21)),"")</f>
        <v/>
      </c>
      <c r="X24" s="34" t="str">
        <f>IFERROR(INDEX(PRENOTAZIONI!$F:$F,SMALL(PRENOTAZIONI!$AP:$AP,21)),"")</f>
        <v/>
      </c>
      <c r="Y24" s="35" t="str">
        <f>IFERROR(INDEX(PRENOTAZIONI!$H:$H,SMALL(PRENOTAZIONI!$AP:$AP,21)),"")</f>
        <v/>
      </c>
      <c r="Z24" s="34" t="str">
        <f>IFERROR(INDEX(PRENOTAZIONI!$K:$K,SMALL(PRENOTAZIONI!$AP:$AP,21)),"")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IFERROR(INDEX(PRENOTAZIONI!$A:$A,SMALL(PRENOTAZIONI!$AB:$AB,22)),"")</f>
        <v/>
      </c>
      <c r="B25" s="31" t="str">
        <f>IFERROR(INDEX(PRENOTAZIONI!$B:$B,SMALL(PRENOTAZIONI!$AB:$AB,22)),"")</f>
        <v/>
      </c>
      <c r="C25" s="32" t="str">
        <f t="shared" si="0"/>
        <v/>
      </c>
      <c r="D25" s="34" t="str">
        <f>IFERROR(INDEX(PRENOTAZIONI!$E:$E,SMALL(PRENOTAZIONI!$AB:$AB,22)),"")</f>
        <v/>
      </c>
      <c r="E25" s="34" t="str">
        <f>IFERROR(INDEX(PRENOTAZIONI!$F:$F,SMALL(PRENOTAZIONI!$AB:$AB,22)),"")</f>
        <v/>
      </c>
      <c r="F25" s="34" t="str">
        <f>IFERROR(INDEX(PRENOTAZIONI!$G:$G,SMALL(PRENOTAZIONI!$AB:$AB,22)),"")</f>
        <v/>
      </c>
      <c r="G25" s="35" t="str">
        <f>IFERROR(INDEX(PRENOTAZIONI!$H:$H,SMALL(PRENOTAZIONI!$AB:$AB,22)),"")</f>
        <v/>
      </c>
      <c r="H25" s="146" t="str">
        <f t="shared" si="1"/>
        <v/>
      </c>
      <c r="I25" s="35" t="str">
        <f t="shared" si="2"/>
        <v/>
      </c>
      <c r="J25" s="149" t="str">
        <f t="shared" si="9"/>
        <v/>
      </c>
      <c r="K25" s="34" t="str">
        <f>IFERROR(INDEX(PRENOTAZIONI!$K:$K,SMALL(PRENOTAZIONI!$AB:$AB,22)),"")</f>
        <v/>
      </c>
      <c r="L25" s="35" t="str">
        <f>IFERROR(INDEX(PRENOTAZIONI!$L:$L,SMALL(PRENOTAZIONI!$AB:$AB,22)),"")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34" t="str">
        <f>IFERROR(INDEX(PRENOTAZIONI!$R:$R,SMALL(PRENOTAZIONI!$AB:$AB,22)),"")</f>
        <v/>
      </c>
      <c r="S25" s="31"/>
      <c r="T25" s="80" t="str">
        <f>IFERROR(INDEX(PRENOTAZIONI!$A:$A,SMALL(PRENOTAZIONI!$AP:$AP,22)),"")</f>
        <v/>
      </c>
      <c r="U25" s="31" t="str">
        <f>IFERROR(INDEX(PRENOTAZIONI!$B:$B,SMALL(PRENOTAZIONI!$AP:$AP,22)),"")</f>
        <v/>
      </c>
      <c r="V25" s="32" t="str">
        <f t="shared" si="6"/>
        <v/>
      </c>
      <c r="W25" s="34" t="str">
        <f>IFERROR(INDEX(PRENOTAZIONI!$E:$E,SMALL(PRENOTAZIONI!$AP:$AP,22)),"")</f>
        <v/>
      </c>
      <c r="X25" s="34" t="str">
        <f>IFERROR(INDEX(PRENOTAZIONI!$F:$F,SMALL(PRENOTAZIONI!$AP:$AP,22)),"")</f>
        <v/>
      </c>
      <c r="Y25" s="35" t="str">
        <f>IFERROR(INDEX(PRENOTAZIONI!$H:$H,SMALL(PRENOTAZIONI!$AP:$AP,22)),"")</f>
        <v/>
      </c>
      <c r="Z25" s="34" t="str">
        <f>IFERROR(INDEX(PRENOTAZIONI!$K:$K,SMALL(PRENOTAZIONI!$AP:$AP,22)),"")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IFERROR(INDEX(PRENOTAZIONI!$A:$A,SMALL(PRENOTAZIONI!$AB:$AB,23)),"")</f>
        <v/>
      </c>
      <c r="B26" s="31" t="str">
        <f>IFERROR(INDEX(PRENOTAZIONI!$B:$B,SMALL(PRENOTAZIONI!$AB:$AB,23)),"")</f>
        <v/>
      </c>
      <c r="C26" s="32" t="str">
        <f t="shared" si="0"/>
        <v/>
      </c>
      <c r="D26" s="34" t="str">
        <f>IFERROR(INDEX(PRENOTAZIONI!$E:$E,SMALL(PRENOTAZIONI!$AB:$AB,23)),"")</f>
        <v/>
      </c>
      <c r="E26" s="34" t="str">
        <f>IFERROR(INDEX(PRENOTAZIONI!$F:$F,SMALL(PRENOTAZIONI!$AB:$AB,23)),"")</f>
        <v/>
      </c>
      <c r="F26" s="34" t="str">
        <f>IFERROR(INDEX(PRENOTAZIONI!$G:$G,SMALL(PRENOTAZIONI!$AB:$AB,23)),"")</f>
        <v/>
      </c>
      <c r="G26" s="35" t="str">
        <f>IFERROR(INDEX(PRENOTAZIONI!$H:$H,SMALL(PRENOTAZIONI!$AB:$AB,23)),"")</f>
        <v/>
      </c>
      <c r="H26" s="146" t="str">
        <f t="shared" si="1"/>
        <v/>
      </c>
      <c r="I26" s="35" t="str">
        <f t="shared" si="2"/>
        <v/>
      </c>
      <c r="J26" s="149" t="str">
        <f t="shared" si="9"/>
        <v/>
      </c>
      <c r="K26" s="34" t="str">
        <f>IFERROR(INDEX(PRENOTAZIONI!$K:$K,SMALL(PRENOTAZIONI!$AB:$AB,23)),"")</f>
        <v/>
      </c>
      <c r="L26" s="35" t="str">
        <f>IFERROR(INDEX(PRENOTAZIONI!$L:$L,SMALL(PRENOTAZIONI!$AB:$AB,23)),"")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34" t="str">
        <f>IFERROR(INDEX(PRENOTAZIONI!$R:$R,SMALL(PRENOTAZIONI!$AB:$AB,23)),"")</f>
        <v/>
      </c>
      <c r="S26" s="31"/>
      <c r="T26" s="80" t="str">
        <f>IFERROR(INDEX(PRENOTAZIONI!$A:$A,SMALL(PRENOTAZIONI!$AP:$AP,23)),"")</f>
        <v/>
      </c>
      <c r="U26" s="31" t="str">
        <f>IFERROR(INDEX(PRENOTAZIONI!$B:$B,SMALL(PRENOTAZIONI!$AP:$AP,23)),"")</f>
        <v/>
      </c>
      <c r="V26" s="32" t="str">
        <f t="shared" si="6"/>
        <v/>
      </c>
      <c r="W26" s="34" t="str">
        <f>IFERROR(INDEX(PRENOTAZIONI!$E:$E,SMALL(PRENOTAZIONI!$AP:$AP,23)),"")</f>
        <v/>
      </c>
      <c r="X26" s="34" t="str">
        <f>IFERROR(INDEX(PRENOTAZIONI!$F:$F,SMALL(PRENOTAZIONI!$AP:$AP,23)),"")</f>
        <v/>
      </c>
      <c r="Y26" s="35" t="str">
        <f>IFERROR(INDEX(PRENOTAZIONI!$H:$H,SMALL(PRENOTAZIONI!$AP:$AP,23)),"")</f>
        <v/>
      </c>
      <c r="Z26" s="34" t="str">
        <f>IFERROR(INDEX(PRENOTAZIONI!$K:$K,SMALL(PRENOTAZIONI!$AP:$AP,23)),"")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IFERROR(INDEX(PRENOTAZIONI!$A:$A,SMALL(PRENOTAZIONI!$AB:$AB,24)),"")</f>
        <v/>
      </c>
      <c r="B27" s="31" t="str">
        <f>IFERROR(INDEX(PRENOTAZIONI!$B:$B,SMALL(PRENOTAZIONI!$AB:$AB,24)),"")</f>
        <v/>
      </c>
      <c r="C27" s="32" t="str">
        <f t="shared" si="0"/>
        <v/>
      </c>
      <c r="D27" s="34" t="str">
        <f>IFERROR(INDEX(PRENOTAZIONI!$E:$E,SMALL(PRENOTAZIONI!$AB:$AB,24)),"")</f>
        <v/>
      </c>
      <c r="E27" s="34" t="str">
        <f>IFERROR(INDEX(PRENOTAZIONI!$F:$F,SMALL(PRENOTAZIONI!$AB:$AB,24)),"")</f>
        <v/>
      </c>
      <c r="F27" s="34" t="str">
        <f>IFERROR(INDEX(PRENOTAZIONI!$G:$G,SMALL(PRENOTAZIONI!$AB:$AB,24)),"")</f>
        <v/>
      </c>
      <c r="G27" s="35" t="str">
        <f>IFERROR(INDEX(PRENOTAZIONI!$H:$H,SMALL(PRENOTAZIONI!$AB:$AB,24)),"")</f>
        <v/>
      </c>
      <c r="H27" s="146" t="str">
        <f t="shared" si="1"/>
        <v/>
      </c>
      <c r="I27" s="35" t="str">
        <f t="shared" si="2"/>
        <v/>
      </c>
      <c r="J27" s="149" t="str">
        <f t="shared" si="9"/>
        <v/>
      </c>
      <c r="K27" s="34" t="str">
        <f>IFERROR(INDEX(PRENOTAZIONI!$K:$K,SMALL(PRENOTAZIONI!$AB:$AB,24)),"")</f>
        <v/>
      </c>
      <c r="L27" s="35" t="str">
        <f>IFERROR(INDEX(PRENOTAZIONI!$L:$L,SMALL(PRENOTAZIONI!$AB:$AB,24)),"")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34" t="str">
        <f>IFERROR(INDEX(PRENOTAZIONI!$R:$R,SMALL(PRENOTAZIONI!$AB:$AB,24)),"")</f>
        <v/>
      </c>
      <c r="S27" s="31"/>
      <c r="T27" s="80" t="str">
        <f>IFERROR(INDEX(PRENOTAZIONI!$A:$A,SMALL(PRENOTAZIONI!$AP:$AP,24)),"")</f>
        <v/>
      </c>
      <c r="U27" s="31" t="str">
        <f>IFERROR(INDEX(PRENOTAZIONI!$B:$B,SMALL(PRENOTAZIONI!$AP:$AP,24)),"")</f>
        <v/>
      </c>
      <c r="V27" s="32" t="str">
        <f t="shared" si="6"/>
        <v/>
      </c>
      <c r="W27" s="34" t="str">
        <f>IFERROR(INDEX(PRENOTAZIONI!$E:$E,SMALL(PRENOTAZIONI!$AP:$AP,24)),"")</f>
        <v/>
      </c>
      <c r="X27" s="34" t="str">
        <f>IFERROR(INDEX(PRENOTAZIONI!$F:$F,SMALL(PRENOTAZIONI!$AP:$AP,24)),"")</f>
        <v/>
      </c>
      <c r="Y27" s="35" t="str">
        <f>IFERROR(INDEX(PRENOTAZIONI!$H:$H,SMALL(PRENOTAZIONI!$AP:$AP,24)),"")</f>
        <v/>
      </c>
      <c r="Z27" s="34" t="str">
        <f>IFERROR(INDEX(PRENOTAZIONI!$K:$K,SMALL(PRENOTAZIONI!$AP:$AP,24)),"")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IFERROR(INDEX(PRENOTAZIONI!$A:$A,SMALL(PRENOTAZIONI!$AB:$AB,25)),"")</f>
        <v/>
      </c>
      <c r="B28" s="31" t="str">
        <f>IFERROR(INDEX(PRENOTAZIONI!$B:$B,SMALL(PRENOTAZIONI!$AB:$AB,25)),"")</f>
        <v/>
      </c>
      <c r="C28" s="32" t="str">
        <f t="shared" si="0"/>
        <v/>
      </c>
      <c r="D28" s="34" t="str">
        <f>IFERROR(INDEX(PRENOTAZIONI!$E:$E,SMALL(PRENOTAZIONI!$AB:$AB,25)),"")</f>
        <v/>
      </c>
      <c r="E28" s="34" t="str">
        <f>IFERROR(INDEX(PRENOTAZIONI!$F:$F,SMALL(PRENOTAZIONI!$AB:$AB,25)),"")</f>
        <v/>
      </c>
      <c r="F28" s="34" t="str">
        <f>IFERROR(INDEX(PRENOTAZIONI!$G:$G,SMALL(PRENOTAZIONI!$AB:$AB,25)),"")</f>
        <v/>
      </c>
      <c r="G28" s="35" t="str">
        <f>IFERROR(INDEX(PRENOTAZIONI!$H:$H,SMALL(PRENOTAZIONI!$AB:$AB,25)),"")</f>
        <v/>
      </c>
      <c r="H28" s="146" t="str">
        <f t="shared" si="1"/>
        <v/>
      </c>
      <c r="I28" s="35" t="str">
        <f t="shared" si="2"/>
        <v/>
      </c>
      <c r="J28" s="149" t="str">
        <f t="shared" si="9"/>
        <v/>
      </c>
      <c r="K28" s="34" t="str">
        <f>IFERROR(INDEX(PRENOTAZIONI!$K:$K,SMALL(PRENOTAZIONI!$AB:$AB,25)),"")</f>
        <v/>
      </c>
      <c r="L28" s="35" t="str">
        <f>IFERROR(INDEX(PRENOTAZIONI!$L:$L,SMALL(PRENOTAZIONI!$AB:$AB,25)),"")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34" t="str">
        <f>IFERROR(INDEX(PRENOTAZIONI!$R:$R,SMALL(PRENOTAZIONI!$AB:$AB,25)),"")</f>
        <v/>
      </c>
      <c r="S28" s="31"/>
      <c r="T28" s="80" t="str">
        <f>IFERROR(INDEX(PRENOTAZIONI!$A:$A,SMALL(PRENOTAZIONI!$AP:$AP,25)),"")</f>
        <v/>
      </c>
      <c r="U28" s="31" t="str">
        <f>IFERROR(INDEX(PRENOTAZIONI!$B:$B,SMALL(PRENOTAZIONI!$AP:$AP,25)),"")</f>
        <v/>
      </c>
      <c r="V28" s="32" t="str">
        <f t="shared" si="6"/>
        <v/>
      </c>
      <c r="W28" s="34" t="str">
        <f>IFERROR(INDEX(PRENOTAZIONI!$E:$E,SMALL(PRENOTAZIONI!$AP:$AP,25)),"")</f>
        <v/>
      </c>
      <c r="X28" s="34" t="str">
        <f>IFERROR(INDEX(PRENOTAZIONI!$F:$F,SMALL(PRENOTAZIONI!$AP:$AP,25)),"")</f>
        <v/>
      </c>
      <c r="Y28" s="35" t="str">
        <f>IFERROR(INDEX(PRENOTAZIONI!$H:$H,SMALL(PRENOTAZIONI!$AP:$AP,25)),"")</f>
        <v/>
      </c>
      <c r="Z28" s="34" t="str">
        <f>IFERROR(INDEX(PRENOTAZIONI!$K:$K,SMALL(PRENOTAZIONI!$AP:$AP,25)),"")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IFERROR(INDEX(PRENOTAZIONI!$A:$A,SMALL(PRENOTAZIONI!$AB:$AB,26)),"")</f>
        <v/>
      </c>
      <c r="B29" s="31" t="str">
        <f>IFERROR(INDEX(PRENOTAZIONI!$B:$B,SMALL(PRENOTAZIONI!$AB:$AB,26)),"")</f>
        <v/>
      </c>
      <c r="C29" s="32" t="str">
        <f t="shared" si="0"/>
        <v/>
      </c>
      <c r="D29" s="34" t="str">
        <f>IFERROR(INDEX(PRENOTAZIONI!$E:$E,SMALL(PRENOTAZIONI!$AB:$AB,26)),"")</f>
        <v/>
      </c>
      <c r="E29" s="34" t="str">
        <f>IFERROR(INDEX(PRENOTAZIONI!$F:$F,SMALL(PRENOTAZIONI!$AB:$AB,26)),"")</f>
        <v/>
      </c>
      <c r="F29" s="34" t="str">
        <f>IFERROR(INDEX(PRENOTAZIONI!$G:$G,SMALL(PRENOTAZIONI!$AB:$AB,26)),"")</f>
        <v/>
      </c>
      <c r="G29" s="35" t="str">
        <f>IFERROR(INDEX(PRENOTAZIONI!$H:$H,SMALL(PRENOTAZIONI!$AB:$AB,26)),"")</f>
        <v/>
      </c>
      <c r="H29" s="146" t="str">
        <f t="shared" si="1"/>
        <v/>
      </c>
      <c r="I29" s="35" t="str">
        <f t="shared" si="2"/>
        <v/>
      </c>
      <c r="J29" s="149" t="str">
        <f t="shared" si="9"/>
        <v/>
      </c>
      <c r="K29" s="34" t="str">
        <f>IFERROR(INDEX(PRENOTAZIONI!$K:$K,SMALL(PRENOTAZIONI!$AB:$AB,26)),"")</f>
        <v/>
      </c>
      <c r="L29" s="35" t="str">
        <f>IFERROR(INDEX(PRENOTAZIONI!$L:$L,SMALL(PRENOTAZIONI!$AB:$AB,26)),"")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34" t="str">
        <f>IFERROR(INDEX(PRENOTAZIONI!$R:$R,SMALL(PRENOTAZIONI!$AB:$AB,26)),"")</f>
        <v/>
      </c>
      <c r="S29" s="31"/>
      <c r="T29" s="80" t="str">
        <f>IFERROR(INDEX(PRENOTAZIONI!$A:$A,SMALL(PRENOTAZIONI!$AP:$AP,26)),"")</f>
        <v/>
      </c>
      <c r="U29" s="31" t="str">
        <f>IFERROR(INDEX(PRENOTAZIONI!$B:$B,SMALL(PRENOTAZIONI!$AP:$AP,26)),"")</f>
        <v/>
      </c>
      <c r="V29" s="32" t="str">
        <f t="shared" si="6"/>
        <v/>
      </c>
      <c r="W29" s="34" t="str">
        <f>IFERROR(INDEX(PRENOTAZIONI!$E:$E,SMALL(PRENOTAZIONI!$AP:$AP,26)),"")</f>
        <v/>
      </c>
      <c r="X29" s="34" t="str">
        <f>IFERROR(INDEX(PRENOTAZIONI!$F:$F,SMALL(PRENOTAZIONI!$AP:$AP,26)),"")</f>
        <v/>
      </c>
      <c r="Y29" s="35" t="str">
        <f>IFERROR(INDEX(PRENOTAZIONI!$H:$H,SMALL(PRENOTAZIONI!$AP:$AP,26)),"")</f>
        <v/>
      </c>
      <c r="Z29" s="34" t="str">
        <f>IFERROR(INDEX(PRENOTAZIONI!$K:$K,SMALL(PRENOTAZIONI!$AP:$AP,26)),"")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IFERROR(INDEX(PRENOTAZIONI!$A:$A,SMALL(PRENOTAZIONI!$AB:$AB,27)),"")</f>
        <v/>
      </c>
      <c r="B30" s="31" t="str">
        <f>IFERROR(INDEX(PRENOTAZIONI!$B:$B,SMALL(PRENOTAZIONI!$AB:$AB,27)),"")</f>
        <v/>
      </c>
      <c r="C30" s="32" t="str">
        <f t="shared" si="0"/>
        <v/>
      </c>
      <c r="D30" s="34" t="str">
        <f>IFERROR(INDEX(PRENOTAZIONI!$E:$E,SMALL(PRENOTAZIONI!$AB:$AB,27)),"")</f>
        <v/>
      </c>
      <c r="E30" s="34" t="str">
        <f>IFERROR(INDEX(PRENOTAZIONI!$F:$F,SMALL(PRENOTAZIONI!$AB:$AB,27)),"")</f>
        <v/>
      </c>
      <c r="F30" s="34" t="str">
        <f>IFERROR(INDEX(PRENOTAZIONI!$G:$G,SMALL(PRENOTAZIONI!$AB:$AB,27)),"")</f>
        <v/>
      </c>
      <c r="G30" s="35" t="str">
        <f>IFERROR(INDEX(PRENOTAZIONI!$H:$H,SMALL(PRENOTAZIONI!$AB:$AB,27)),"")</f>
        <v/>
      </c>
      <c r="H30" s="146" t="str">
        <f t="shared" si="1"/>
        <v/>
      </c>
      <c r="I30" s="35" t="str">
        <f t="shared" si="2"/>
        <v/>
      </c>
      <c r="J30" s="149" t="str">
        <f t="shared" si="9"/>
        <v/>
      </c>
      <c r="K30" s="34" t="str">
        <f>IFERROR(INDEX(PRENOTAZIONI!$K:$K,SMALL(PRENOTAZIONI!$AB:$AB,27)),"")</f>
        <v/>
      </c>
      <c r="L30" s="35" t="str">
        <f>IFERROR(INDEX(PRENOTAZIONI!$L:$L,SMALL(PRENOTAZIONI!$AB:$AB,27)),"")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34" t="str">
        <f>IFERROR(INDEX(PRENOTAZIONI!$R:$R,SMALL(PRENOTAZIONI!$AB:$AB,27)),"")</f>
        <v/>
      </c>
      <c r="S30" s="31"/>
      <c r="T30" s="80" t="str">
        <f>IFERROR(INDEX(PRENOTAZIONI!$A:$A,SMALL(PRENOTAZIONI!$AP:$AP,27)),"")</f>
        <v/>
      </c>
      <c r="U30" s="31" t="str">
        <f>IFERROR(INDEX(PRENOTAZIONI!$B:$B,SMALL(PRENOTAZIONI!$AP:$AP,27)),"")</f>
        <v/>
      </c>
      <c r="V30" s="32" t="str">
        <f t="shared" si="6"/>
        <v/>
      </c>
      <c r="W30" s="34" t="str">
        <f>IFERROR(INDEX(PRENOTAZIONI!$E:$E,SMALL(PRENOTAZIONI!$AP:$AP,27)),"")</f>
        <v/>
      </c>
      <c r="X30" s="34" t="str">
        <f>IFERROR(INDEX(PRENOTAZIONI!$F:$F,SMALL(PRENOTAZIONI!$AP:$AP,27)),"")</f>
        <v/>
      </c>
      <c r="Y30" s="35" t="str">
        <f>IFERROR(INDEX(PRENOTAZIONI!$H:$H,SMALL(PRENOTAZIONI!$AP:$AP,27)),"")</f>
        <v/>
      </c>
      <c r="Z30" s="34" t="str">
        <f>IFERROR(INDEX(PRENOTAZIONI!$K:$K,SMALL(PRENOTAZIONI!$AP:$AP,27)),"")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IFERROR(INDEX(PRENOTAZIONI!$A:$A,SMALL(PRENOTAZIONI!$AB:$AB,28)),"")</f>
        <v/>
      </c>
      <c r="B31" s="31" t="str">
        <f>IFERROR(INDEX(PRENOTAZIONI!$B:$B,SMALL(PRENOTAZIONI!$AB:$AB,28)),"")</f>
        <v/>
      </c>
      <c r="C31" s="32" t="str">
        <f t="shared" si="0"/>
        <v/>
      </c>
      <c r="D31" s="34" t="str">
        <f>IFERROR(INDEX(PRENOTAZIONI!$E:$E,SMALL(PRENOTAZIONI!$AB:$AB,28)),"")</f>
        <v/>
      </c>
      <c r="E31" s="34" t="str">
        <f>IFERROR(INDEX(PRENOTAZIONI!$F:$F,SMALL(PRENOTAZIONI!$AB:$AB,28)),"")</f>
        <v/>
      </c>
      <c r="F31" s="34" t="str">
        <f>IFERROR(INDEX(PRENOTAZIONI!$G:$G,SMALL(PRENOTAZIONI!$AB:$AB,28)),"")</f>
        <v/>
      </c>
      <c r="G31" s="35" t="str">
        <f>IFERROR(INDEX(PRENOTAZIONI!$H:$H,SMALL(PRENOTAZIONI!$AB:$AB,28)),"")</f>
        <v/>
      </c>
      <c r="H31" s="146" t="str">
        <f t="shared" si="1"/>
        <v/>
      </c>
      <c r="I31" s="35" t="str">
        <f t="shared" si="2"/>
        <v/>
      </c>
      <c r="J31" s="149" t="str">
        <f t="shared" si="9"/>
        <v/>
      </c>
      <c r="K31" s="34" t="str">
        <f>IFERROR(INDEX(PRENOTAZIONI!$K:$K,SMALL(PRENOTAZIONI!$AB:$AB,28)),"")</f>
        <v/>
      </c>
      <c r="L31" s="35" t="str">
        <f>IFERROR(INDEX(PRENOTAZIONI!$L:$L,SMALL(PRENOTAZIONI!$AB:$AB,28)),"")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34" t="str">
        <f>IFERROR(INDEX(PRENOTAZIONI!$R:$R,SMALL(PRENOTAZIONI!$AB:$AB,28)),"")</f>
        <v/>
      </c>
      <c r="S31" s="31"/>
      <c r="T31" s="80" t="str">
        <f>IFERROR(INDEX(PRENOTAZIONI!$A:$A,SMALL(PRENOTAZIONI!$AP:$AP,28)),"")</f>
        <v/>
      </c>
      <c r="U31" s="31" t="str">
        <f>IFERROR(INDEX(PRENOTAZIONI!$B:$B,SMALL(PRENOTAZIONI!$AP:$AP,28)),"")</f>
        <v/>
      </c>
      <c r="V31" s="32" t="str">
        <f t="shared" si="6"/>
        <v/>
      </c>
      <c r="W31" s="34" t="str">
        <f>IFERROR(INDEX(PRENOTAZIONI!$E:$E,SMALL(PRENOTAZIONI!$AP:$AP,28)),"")</f>
        <v/>
      </c>
      <c r="X31" s="34" t="str">
        <f>IFERROR(INDEX(PRENOTAZIONI!$F:$F,SMALL(PRENOTAZIONI!$AP:$AP,28)),"")</f>
        <v/>
      </c>
      <c r="Y31" s="35" t="str">
        <f>IFERROR(INDEX(PRENOTAZIONI!$H:$H,SMALL(PRENOTAZIONI!$AP:$AP,28)),"")</f>
        <v/>
      </c>
      <c r="Z31" s="34" t="str">
        <f>IFERROR(INDEX(PRENOTAZIONI!$K:$K,SMALL(PRENOTAZIONI!$AP:$AP,28)),"")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IFERROR(INDEX(PRENOTAZIONI!$A:$A,SMALL(PRENOTAZIONI!$AB:$AB,29)),"")</f>
        <v/>
      </c>
      <c r="B32" s="31" t="str">
        <f>IFERROR(INDEX(PRENOTAZIONI!$B:$B,SMALL(PRENOTAZIONI!$AB:$AB,29)),"")</f>
        <v/>
      </c>
      <c r="C32" s="32" t="str">
        <f t="shared" si="0"/>
        <v/>
      </c>
      <c r="D32" s="34" t="str">
        <f>IFERROR(INDEX(PRENOTAZIONI!$E:$E,SMALL(PRENOTAZIONI!$AB:$AB,29)),"")</f>
        <v/>
      </c>
      <c r="E32" s="34" t="str">
        <f>IFERROR(INDEX(PRENOTAZIONI!$F:$F,SMALL(PRENOTAZIONI!$AB:$AB,29)),"")</f>
        <v/>
      </c>
      <c r="F32" s="34" t="str">
        <f>IFERROR(INDEX(PRENOTAZIONI!$G:$G,SMALL(PRENOTAZIONI!$AB:$AB,29)),"")</f>
        <v/>
      </c>
      <c r="G32" s="35" t="str">
        <f>IFERROR(INDEX(PRENOTAZIONI!$H:$H,SMALL(PRENOTAZIONI!$AB:$AB,29)),"")</f>
        <v/>
      </c>
      <c r="H32" s="146" t="str">
        <f t="shared" si="1"/>
        <v/>
      </c>
      <c r="I32" s="35" t="str">
        <f t="shared" si="2"/>
        <v/>
      </c>
      <c r="J32" s="149" t="str">
        <f t="shared" si="9"/>
        <v/>
      </c>
      <c r="K32" s="34" t="str">
        <f>IFERROR(INDEX(PRENOTAZIONI!$K:$K,SMALL(PRENOTAZIONI!$AB:$AB,29)),"")</f>
        <v/>
      </c>
      <c r="L32" s="35" t="str">
        <f>IFERROR(INDEX(PRENOTAZIONI!$L:$L,SMALL(PRENOTAZIONI!$AB:$AB,29)),"")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34" t="str">
        <f>IFERROR(INDEX(PRENOTAZIONI!$R:$R,SMALL(PRENOTAZIONI!$AB:$AB,29)),"")</f>
        <v/>
      </c>
      <c r="S32" s="31"/>
      <c r="T32" s="80" t="str">
        <f>IFERROR(INDEX(PRENOTAZIONI!$A:$A,SMALL(PRENOTAZIONI!$AP:$AP,29)),"")</f>
        <v/>
      </c>
      <c r="U32" s="31" t="str">
        <f>IFERROR(INDEX(PRENOTAZIONI!$B:$B,SMALL(PRENOTAZIONI!$AP:$AP,29)),"")</f>
        <v/>
      </c>
      <c r="V32" s="32" t="str">
        <f t="shared" si="6"/>
        <v/>
      </c>
      <c r="W32" s="34" t="str">
        <f>IFERROR(INDEX(PRENOTAZIONI!$E:$E,SMALL(PRENOTAZIONI!$AP:$AP,29)),"")</f>
        <v/>
      </c>
      <c r="X32" s="34" t="str">
        <f>IFERROR(INDEX(PRENOTAZIONI!$F:$F,SMALL(PRENOTAZIONI!$AP:$AP,29)),"")</f>
        <v/>
      </c>
      <c r="Y32" s="35" t="str">
        <f>IFERROR(INDEX(PRENOTAZIONI!$H:$H,SMALL(PRENOTAZIONI!$AP:$AP,29)),"")</f>
        <v/>
      </c>
      <c r="Z32" s="34" t="str">
        <f>IFERROR(INDEX(PRENOTAZIONI!$K:$K,SMALL(PRENOTAZIONI!$AP:$AP,29)),"")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IFERROR(INDEX(PRENOTAZIONI!$A:$A,SMALL(PRENOTAZIONI!$AB:$AB,30)),"")</f>
        <v/>
      </c>
      <c r="B33" s="31" t="str">
        <f>IFERROR(INDEX(PRENOTAZIONI!$B:$B,SMALL(PRENOTAZIONI!$AB:$AB,30)),"")</f>
        <v/>
      </c>
      <c r="C33" s="32" t="str">
        <f t="shared" si="0"/>
        <v/>
      </c>
      <c r="D33" s="34" t="str">
        <f>IFERROR(INDEX(PRENOTAZIONI!$E:$E,SMALL(PRENOTAZIONI!$AB:$AB,30)),"")</f>
        <v/>
      </c>
      <c r="E33" s="34" t="str">
        <f>IFERROR(INDEX(PRENOTAZIONI!$F:$F,SMALL(PRENOTAZIONI!$AB:$AB,30)),"")</f>
        <v/>
      </c>
      <c r="F33" s="34" t="str">
        <f>IFERROR(INDEX(PRENOTAZIONI!$G:$G,SMALL(PRENOTAZIONI!$AB:$AB,30)),"")</f>
        <v/>
      </c>
      <c r="G33" s="35" t="str">
        <f>IFERROR(INDEX(PRENOTAZIONI!$H:$H,SMALL(PRENOTAZIONI!$AB:$AB,30)),"")</f>
        <v/>
      </c>
      <c r="H33" s="146" t="str">
        <f t="shared" si="1"/>
        <v/>
      </c>
      <c r="I33" s="35" t="str">
        <f t="shared" si="2"/>
        <v/>
      </c>
      <c r="J33" s="149" t="str">
        <f t="shared" si="9"/>
        <v/>
      </c>
      <c r="K33" s="34" t="str">
        <f>IFERROR(INDEX(PRENOTAZIONI!$K:$K,SMALL(PRENOTAZIONI!$AB:$AB,30)),"")</f>
        <v/>
      </c>
      <c r="L33" s="35" t="str">
        <f>IFERROR(INDEX(PRENOTAZIONI!$L:$L,SMALL(PRENOTAZIONI!$AB:$AB,30)),"")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34" t="str">
        <f>IFERROR(INDEX(PRENOTAZIONI!$R:$R,SMALL(PRENOTAZIONI!$AB:$AB,30)),"")</f>
        <v/>
      </c>
      <c r="S33" s="31"/>
      <c r="T33" s="80" t="str">
        <f>IFERROR(INDEX(PRENOTAZIONI!$A:$A,SMALL(PRENOTAZIONI!$AP:$AP,30)),"")</f>
        <v/>
      </c>
      <c r="U33" s="31" t="str">
        <f>IFERROR(INDEX(PRENOTAZIONI!$B:$B,SMALL(PRENOTAZIONI!$AP:$AP,30)),"")</f>
        <v/>
      </c>
      <c r="V33" s="32" t="str">
        <f t="shared" si="6"/>
        <v/>
      </c>
      <c r="W33" s="34" t="str">
        <f>IFERROR(INDEX(PRENOTAZIONI!$E:$E,SMALL(PRENOTAZIONI!$AP:$AP,30)),"")</f>
        <v/>
      </c>
      <c r="X33" s="34" t="str">
        <f>IFERROR(INDEX(PRENOTAZIONI!$F:$F,SMALL(PRENOTAZIONI!$AP:$AP,30)),"")</f>
        <v/>
      </c>
      <c r="Y33" s="35" t="str">
        <f>IFERROR(INDEX(PRENOTAZIONI!$H:$H,SMALL(PRENOTAZIONI!$AP:$AP,30)),"")</f>
        <v/>
      </c>
      <c r="Z33" s="34" t="str">
        <f>IFERROR(INDEX(PRENOTAZIONI!$K:$K,SMALL(PRENOTAZIONI!$AP:$AP,30)),"")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IFERROR(INDEX(PRENOTAZIONI!$A:$A,SMALL(PRENOTAZIONI!$AB:$AB,31)),"")</f>
        <v/>
      </c>
      <c r="B34" s="31" t="str">
        <f>IFERROR(INDEX(PRENOTAZIONI!$B:$B,SMALL(PRENOTAZIONI!$AB:$AB,31)),"")</f>
        <v/>
      </c>
      <c r="C34" s="32" t="str">
        <f t="shared" si="0"/>
        <v/>
      </c>
      <c r="D34" s="34" t="str">
        <f>IFERROR(INDEX(PRENOTAZIONI!$E:$E,SMALL(PRENOTAZIONI!$AB:$AB,31)),"")</f>
        <v/>
      </c>
      <c r="E34" s="34" t="str">
        <f>IFERROR(INDEX(PRENOTAZIONI!$F:$F,SMALL(PRENOTAZIONI!$AB:$AB,31)),"")</f>
        <v/>
      </c>
      <c r="F34" s="34" t="str">
        <f>IFERROR(INDEX(PRENOTAZIONI!$G:$G,SMALL(PRENOTAZIONI!$AB:$AB,31)),"")</f>
        <v/>
      </c>
      <c r="G34" s="35" t="str">
        <f>IFERROR(INDEX(PRENOTAZIONI!$H:$H,SMALL(PRENOTAZIONI!$AB:$AB,31)),"")</f>
        <v/>
      </c>
      <c r="H34" s="146" t="str">
        <f t="shared" si="1"/>
        <v/>
      </c>
      <c r="I34" s="35" t="str">
        <f t="shared" si="2"/>
        <v/>
      </c>
      <c r="J34" s="149" t="str">
        <f t="shared" si="9"/>
        <v/>
      </c>
      <c r="K34" s="34" t="str">
        <f>IFERROR(INDEX(PRENOTAZIONI!$K:$K,SMALL(PRENOTAZIONI!$AB:$AB,31)),"")</f>
        <v/>
      </c>
      <c r="L34" s="35" t="str">
        <f>IFERROR(INDEX(PRENOTAZIONI!$L:$L,SMALL(PRENOTAZIONI!$AB:$AB,31)),"")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34" t="str">
        <f>IFERROR(INDEX(PRENOTAZIONI!$R:$R,SMALL(PRENOTAZIONI!$AB:$AB,31)),"")</f>
        <v/>
      </c>
      <c r="S34" s="20"/>
      <c r="T34" s="85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IFERROR(INDEX(PRENOTAZIONI!$A:$A,SMALL(PRENOTAZIONI!$AB:$AB,32)),"")</f>
        <v/>
      </c>
      <c r="B35" s="31" t="str">
        <f>IFERROR(INDEX(PRENOTAZIONI!$B:$B,SMALL(PRENOTAZIONI!$AB:$AB,32)),"")</f>
        <v/>
      </c>
      <c r="C35" s="32" t="str">
        <f t="shared" si="0"/>
        <v/>
      </c>
      <c r="D35" s="34" t="str">
        <f>IFERROR(INDEX(PRENOTAZIONI!$E:$E,SMALL(PRENOTAZIONI!$AB:$AB,32)),"")</f>
        <v/>
      </c>
      <c r="E35" s="34" t="str">
        <f>IFERROR(INDEX(PRENOTAZIONI!$F:$F,SMALL(PRENOTAZIONI!$AB:$AB,32)),"")</f>
        <v/>
      </c>
      <c r="F35" s="34" t="str">
        <f>IFERROR(INDEX(PRENOTAZIONI!$G:$G,SMALL(PRENOTAZIONI!$AB:$AB,32)),"")</f>
        <v/>
      </c>
      <c r="G35" s="35" t="str">
        <f>IFERROR(INDEX(PRENOTAZIONI!$H:$H,SMALL(PRENOTAZIONI!$AB:$AB,32)),"")</f>
        <v/>
      </c>
      <c r="H35" s="146" t="str">
        <f t="shared" si="1"/>
        <v/>
      </c>
      <c r="I35" s="35" t="str">
        <f t="shared" si="2"/>
        <v/>
      </c>
      <c r="J35" s="149" t="str">
        <f t="shared" si="9"/>
        <v/>
      </c>
      <c r="K35" s="34" t="str">
        <f>IFERROR(INDEX(PRENOTAZIONI!$K:$K,SMALL(PRENOTAZIONI!$AB:$AB,32)),"")</f>
        <v/>
      </c>
      <c r="L35" s="35" t="str">
        <f>IFERROR(INDEX(PRENOTAZIONI!$L:$L,SMALL(PRENOTAZIONI!$AB:$AB,32)),"")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34" t="str">
        <f>IFERROR(INDEX(PRENOTAZIONI!$R:$R,SMALL(PRENOTAZIONI!$AB:$AB,32)),"")</f>
        <v/>
      </c>
      <c r="T35" s="77"/>
    </row>
    <row r="36" spans="1:30" ht="22" customHeight="1" x14ac:dyDescent="0.25">
      <c r="A36" s="31" t="str">
        <f>IFERROR(INDEX(PRENOTAZIONI!$A:$A,SMALL(PRENOTAZIONI!$AB:$AB,33)),"")</f>
        <v/>
      </c>
      <c r="B36" s="31" t="str">
        <f>IFERROR(INDEX(PRENOTAZIONI!$B:$B,SMALL(PRENOTAZIONI!$AB:$AB,33)),"")</f>
        <v/>
      </c>
      <c r="C36" s="32" t="str">
        <f t="shared" ref="C36:C63" si="11">IF(A36&lt;&gt;"",B36-A36,"")</f>
        <v/>
      </c>
      <c r="D36" s="34" t="str">
        <f>IFERROR(INDEX(PRENOTAZIONI!$E:$E,SMALL(PRENOTAZIONI!$AB:$AB,33)),"")</f>
        <v/>
      </c>
      <c r="E36" s="34" t="str">
        <f>IFERROR(INDEX(PRENOTAZIONI!$F:$F,SMALL(PRENOTAZIONI!$AB:$AB,33)),"")</f>
        <v/>
      </c>
      <c r="F36" s="34" t="str">
        <f>IFERROR(INDEX(PRENOTAZIONI!$G:$G,SMALL(PRENOTAZIONI!$AB:$AB,33)),"")</f>
        <v/>
      </c>
      <c r="G36" s="35" t="str">
        <f>IFERROR(INDEX(PRENOTAZIONI!$H:$H,SMALL(PRENOTAZIONI!$AB:$AB,33)),"")</f>
        <v/>
      </c>
      <c r="H36" s="146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ref="J36:J63" si="14">IF(H36&lt;&gt;"",H36*0.22,"")</f>
        <v/>
      </c>
      <c r="K36" s="34" t="str">
        <f>IFERROR(INDEX(PRENOTAZIONI!$K:$K,SMALL(PRENOTAZIONI!$AB:$AB,33)),"")</f>
        <v/>
      </c>
      <c r="L36" s="35" t="str">
        <f>IFERROR(INDEX(PRENOTAZIONI!$L:$L,SMALL(PRENOTAZIONI!$AB:$AB,33)),"")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34" t="str">
        <f>IFERROR(INDEX(PRENOTAZIONI!$R:$R,SMALL(PRENOTAZIONI!$AB:$AB,33)),"")</f>
        <v/>
      </c>
      <c r="T36" s="77"/>
    </row>
    <row r="37" spans="1:30" ht="22" customHeight="1" x14ac:dyDescent="0.25">
      <c r="A37" s="31" t="str">
        <f>IFERROR(INDEX(PRENOTAZIONI!$A:$A,SMALL(PRENOTAZIONI!$AB:$AB,34)),"")</f>
        <v/>
      </c>
      <c r="B37" s="31" t="str">
        <f>IFERROR(INDEX(PRENOTAZIONI!$B:$B,SMALL(PRENOTAZIONI!$AB:$AB,34)),"")</f>
        <v/>
      </c>
      <c r="C37" s="32" t="str">
        <f t="shared" si="11"/>
        <v/>
      </c>
      <c r="D37" s="34" t="str">
        <f>IFERROR(INDEX(PRENOTAZIONI!$E:$E,SMALL(PRENOTAZIONI!$AB:$AB,34)),"")</f>
        <v/>
      </c>
      <c r="E37" s="34" t="str">
        <f>IFERROR(INDEX(PRENOTAZIONI!$F:$F,SMALL(PRENOTAZIONI!$AB:$AB,34)),"")</f>
        <v/>
      </c>
      <c r="F37" s="34" t="str">
        <f>IFERROR(INDEX(PRENOTAZIONI!$G:$G,SMALL(PRENOTAZIONI!$AB:$AB,34)),"")</f>
        <v/>
      </c>
      <c r="G37" s="35" t="str">
        <f>IFERROR(INDEX(PRENOTAZIONI!$H:$H,SMALL(PRENOTAZIONI!$AB:$AB,34)),"")</f>
        <v/>
      </c>
      <c r="H37" s="146" t="str">
        <f t="shared" si="12"/>
        <v/>
      </c>
      <c r="I37" s="35" t="str">
        <f t="shared" si="13"/>
        <v/>
      </c>
      <c r="J37" s="149" t="str">
        <f t="shared" si="14"/>
        <v/>
      </c>
      <c r="K37" s="34" t="str">
        <f>IFERROR(INDEX(PRENOTAZIONI!$K:$K,SMALL(PRENOTAZIONI!$AB:$AB,34)),"")</f>
        <v/>
      </c>
      <c r="L37" s="35" t="str">
        <f>IFERROR(INDEX(PRENOTAZIONI!$L:$L,SMALL(PRENOTAZIONI!$AB:$AB,34)),"")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34" t="str">
        <f>IFERROR(INDEX(PRENOTAZIONI!$R:$R,SMALL(PRENOTAZIONI!$AB:$AB,34)),"")</f>
        <v/>
      </c>
      <c r="T37" s="77"/>
    </row>
    <row r="38" spans="1:30" ht="22" customHeight="1" x14ac:dyDescent="0.25">
      <c r="A38" s="31" t="str">
        <f>IFERROR(INDEX(PRENOTAZIONI!$A:$A,SMALL(PRENOTAZIONI!$AB:$AB,35)),"")</f>
        <v/>
      </c>
      <c r="B38" s="31" t="str">
        <f>IFERROR(INDEX(PRENOTAZIONI!$B:$B,SMALL(PRENOTAZIONI!$AB:$AB,35)),"")</f>
        <v/>
      </c>
      <c r="C38" s="32" t="str">
        <f t="shared" si="11"/>
        <v/>
      </c>
      <c r="D38" s="34" t="str">
        <f>IFERROR(INDEX(PRENOTAZIONI!$E:$E,SMALL(PRENOTAZIONI!$AB:$AB,35)),"")</f>
        <v/>
      </c>
      <c r="E38" s="34" t="str">
        <f>IFERROR(INDEX(PRENOTAZIONI!$F:$F,SMALL(PRENOTAZIONI!$AB:$AB,35)),"")</f>
        <v/>
      </c>
      <c r="F38" s="34" t="str">
        <f>IFERROR(INDEX(PRENOTAZIONI!$G:$G,SMALL(PRENOTAZIONI!$AB:$AB,35)),"")</f>
        <v/>
      </c>
      <c r="G38" s="35" t="str">
        <f>IFERROR(INDEX(PRENOTAZIONI!$H:$H,SMALL(PRENOTAZIONI!$AB:$AB,35)),"")</f>
        <v/>
      </c>
      <c r="H38" s="146" t="str">
        <f t="shared" si="12"/>
        <v/>
      </c>
      <c r="I38" s="35" t="str">
        <f t="shared" si="13"/>
        <v/>
      </c>
      <c r="J38" s="149" t="str">
        <f t="shared" si="14"/>
        <v/>
      </c>
      <c r="K38" s="34" t="str">
        <f>IFERROR(INDEX(PRENOTAZIONI!$K:$K,SMALL(PRENOTAZIONI!$AB:$AB,35)),"")</f>
        <v/>
      </c>
      <c r="L38" s="35" t="str">
        <f>IFERROR(INDEX(PRENOTAZIONI!$L:$L,SMALL(PRENOTAZIONI!$AB:$AB,35)),"")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34" t="str">
        <f>IFERROR(INDEX(PRENOTAZIONI!$R:$R,SMALL(PRENOTAZIONI!$AB:$AB,35)),"")</f>
        <v/>
      </c>
      <c r="T38" s="77"/>
    </row>
    <row r="39" spans="1:30" ht="22" customHeight="1" x14ac:dyDescent="0.25">
      <c r="A39" s="31" t="str">
        <f>IFERROR(INDEX(PRENOTAZIONI!$A:$A,SMALL(PRENOTAZIONI!$AB:$AB,36)),"")</f>
        <v/>
      </c>
      <c r="B39" s="31" t="str">
        <f>IFERROR(INDEX(PRENOTAZIONI!$B:$B,SMALL(PRENOTAZIONI!$AB:$AB,36)),"")</f>
        <v/>
      </c>
      <c r="C39" s="32" t="str">
        <f t="shared" si="11"/>
        <v/>
      </c>
      <c r="D39" s="34" t="str">
        <f>IFERROR(INDEX(PRENOTAZIONI!$E:$E,SMALL(PRENOTAZIONI!$AB:$AB,36)),"")</f>
        <v/>
      </c>
      <c r="E39" s="34" t="str">
        <f>IFERROR(INDEX(PRENOTAZIONI!$F:$F,SMALL(PRENOTAZIONI!$AB:$AB,36)),"")</f>
        <v/>
      </c>
      <c r="F39" s="34" t="str">
        <f>IFERROR(INDEX(PRENOTAZIONI!$G:$G,SMALL(PRENOTAZIONI!$AB:$AB,36)),"")</f>
        <v/>
      </c>
      <c r="G39" s="35" t="str">
        <f>IFERROR(INDEX(PRENOTAZIONI!$H:$H,SMALL(PRENOTAZIONI!$AB:$AB,36)),"")</f>
        <v/>
      </c>
      <c r="H39" s="146" t="str">
        <f t="shared" si="12"/>
        <v/>
      </c>
      <c r="I39" s="35" t="str">
        <f t="shared" si="13"/>
        <v/>
      </c>
      <c r="J39" s="149" t="str">
        <f t="shared" si="14"/>
        <v/>
      </c>
      <c r="K39" s="34" t="str">
        <f>IFERROR(INDEX(PRENOTAZIONI!$K:$K,SMALL(PRENOTAZIONI!$AB:$AB,36)),"")</f>
        <v/>
      </c>
      <c r="L39" s="35" t="str">
        <f>IFERROR(INDEX(PRENOTAZIONI!$L:$L,SMALL(PRENOTAZIONI!$AB:$AB,36)),"")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34" t="str">
        <f>IFERROR(INDEX(PRENOTAZIONI!$R:$R,SMALL(PRENOTAZIONI!$AB:$AB,36)),"")</f>
        <v/>
      </c>
      <c r="T39" s="77"/>
    </row>
    <row r="40" spans="1:30" ht="22" customHeight="1" x14ac:dyDescent="0.25">
      <c r="A40" s="31" t="str">
        <f>IFERROR(INDEX(PRENOTAZIONI!$A:$A,SMALL(PRENOTAZIONI!$AB:$AB,37)),"")</f>
        <v/>
      </c>
      <c r="B40" s="31" t="str">
        <f>IFERROR(INDEX(PRENOTAZIONI!$B:$B,SMALL(PRENOTAZIONI!$AB:$AB,37)),"")</f>
        <v/>
      </c>
      <c r="C40" s="32" t="str">
        <f t="shared" si="11"/>
        <v/>
      </c>
      <c r="D40" s="34" t="str">
        <f>IFERROR(INDEX(PRENOTAZIONI!$E:$E,SMALL(PRENOTAZIONI!$AB:$AB,37)),"")</f>
        <v/>
      </c>
      <c r="E40" s="34" t="str">
        <f>IFERROR(INDEX(PRENOTAZIONI!$F:$F,SMALL(PRENOTAZIONI!$AB:$AB,37)),"")</f>
        <v/>
      </c>
      <c r="F40" s="34" t="str">
        <f>IFERROR(INDEX(PRENOTAZIONI!$G:$G,SMALL(PRENOTAZIONI!$AB:$AB,37)),"")</f>
        <v/>
      </c>
      <c r="G40" s="35" t="str">
        <f>IFERROR(INDEX(PRENOTAZIONI!$H:$H,SMALL(PRENOTAZIONI!$AB:$AB,37)),"")</f>
        <v/>
      </c>
      <c r="H40" s="146" t="str">
        <f t="shared" si="12"/>
        <v/>
      </c>
      <c r="I40" s="35" t="str">
        <f t="shared" si="13"/>
        <v/>
      </c>
      <c r="J40" s="149" t="str">
        <f t="shared" si="14"/>
        <v/>
      </c>
      <c r="K40" s="34" t="str">
        <f>IFERROR(INDEX(PRENOTAZIONI!$K:$K,SMALL(PRENOTAZIONI!$AB:$AB,37)),"")</f>
        <v/>
      </c>
      <c r="L40" s="35" t="str">
        <f>IFERROR(INDEX(PRENOTAZIONI!$L:$L,SMALL(PRENOTAZIONI!$AB:$AB,37)),"")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34" t="str">
        <f>IFERROR(INDEX(PRENOTAZIONI!$R:$R,SMALL(PRENOTAZIONI!$AB:$AB,37)),"")</f>
        <v/>
      </c>
      <c r="T40" s="77"/>
    </row>
    <row r="41" spans="1:30" ht="22" customHeight="1" x14ac:dyDescent="0.25">
      <c r="A41" s="31" t="str">
        <f>IFERROR(INDEX(PRENOTAZIONI!$A:$A,SMALL(PRENOTAZIONI!$AB:$AB,38)),"")</f>
        <v/>
      </c>
      <c r="B41" s="31" t="str">
        <f>IFERROR(INDEX(PRENOTAZIONI!$B:$B,SMALL(PRENOTAZIONI!$AB:$AB,38)),"")</f>
        <v/>
      </c>
      <c r="C41" s="32" t="str">
        <f t="shared" si="11"/>
        <v/>
      </c>
      <c r="D41" s="34" t="str">
        <f>IFERROR(INDEX(PRENOTAZIONI!$E:$E,SMALL(PRENOTAZIONI!$AB:$AB,38)),"")</f>
        <v/>
      </c>
      <c r="E41" s="34" t="str">
        <f>IFERROR(INDEX(PRENOTAZIONI!$F:$F,SMALL(PRENOTAZIONI!$AB:$AB,38)),"")</f>
        <v/>
      </c>
      <c r="F41" s="34" t="str">
        <f>IFERROR(INDEX(PRENOTAZIONI!$G:$G,SMALL(PRENOTAZIONI!$AB:$AB,38)),"")</f>
        <v/>
      </c>
      <c r="G41" s="35" t="str">
        <f>IFERROR(INDEX(PRENOTAZIONI!$H:$H,SMALL(PRENOTAZIONI!$AB:$AB,38)),"")</f>
        <v/>
      </c>
      <c r="H41" s="146" t="str">
        <f t="shared" si="12"/>
        <v/>
      </c>
      <c r="I41" s="35" t="str">
        <f t="shared" si="13"/>
        <v/>
      </c>
      <c r="J41" s="149" t="str">
        <f t="shared" si="14"/>
        <v/>
      </c>
      <c r="K41" s="34" t="str">
        <f>IFERROR(INDEX(PRENOTAZIONI!$K:$K,SMALL(PRENOTAZIONI!$AB:$AB,38)),"")</f>
        <v/>
      </c>
      <c r="L41" s="35" t="str">
        <f>IFERROR(INDEX(PRENOTAZIONI!$L:$L,SMALL(PRENOTAZIONI!$AB:$AB,38)),"")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34" t="str">
        <f>IFERROR(INDEX(PRENOTAZIONI!$R:$R,SMALL(PRENOTAZIONI!$AB:$AB,38)),"")</f>
        <v/>
      </c>
      <c r="T41" s="77"/>
    </row>
    <row r="42" spans="1:30" ht="22" customHeight="1" x14ac:dyDescent="0.25">
      <c r="A42" s="31" t="str">
        <f>IFERROR(INDEX(PRENOTAZIONI!$A:$A,SMALL(PRENOTAZIONI!$AB:$AB,39)),"")</f>
        <v/>
      </c>
      <c r="B42" s="31" t="str">
        <f>IFERROR(INDEX(PRENOTAZIONI!$B:$B,SMALL(PRENOTAZIONI!$AB:$AB,39)),"")</f>
        <v/>
      </c>
      <c r="C42" s="32" t="str">
        <f t="shared" si="11"/>
        <v/>
      </c>
      <c r="D42" s="34" t="str">
        <f>IFERROR(INDEX(PRENOTAZIONI!$E:$E,SMALL(PRENOTAZIONI!$AB:$AB,39)),"")</f>
        <v/>
      </c>
      <c r="E42" s="34" t="str">
        <f>IFERROR(INDEX(PRENOTAZIONI!$F:$F,SMALL(PRENOTAZIONI!$AB:$AB,39)),"")</f>
        <v/>
      </c>
      <c r="F42" s="34" t="str">
        <f>IFERROR(INDEX(PRENOTAZIONI!$G:$G,SMALL(PRENOTAZIONI!$AB:$AB,39)),"")</f>
        <v/>
      </c>
      <c r="G42" s="35" t="str">
        <f>IFERROR(INDEX(PRENOTAZIONI!$H:$H,SMALL(PRENOTAZIONI!$AB:$AB,39)),"")</f>
        <v/>
      </c>
      <c r="H42" s="146" t="str">
        <f t="shared" si="12"/>
        <v/>
      </c>
      <c r="I42" s="35" t="str">
        <f t="shared" si="13"/>
        <v/>
      </c>
      <c r="J42" s="149" t="str">
        <f t="shared" si="14"/>
        <v/>
      </c>
      <c r="K42" s="34" t="str">
        <f>IFERROR(INDEX(PRENOTAZIONI!$K:$K,SMALL(PRENOTAZIONI!$AB:$AB,39)),"")</f>
        <v/>
      </c>
      <c r="L42" s="35" t="str">
        <f>IFERROR(INDEX(PRENOTAZIONI!$L:$L,SMALL(PRENOTAZIONI!$AB:$AB,39)),"")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34" t="str">
        <f>IFERROR(INDEX(PRENOTAZIONI!$R:$R,SMALL(PRENOTAZIONI!$AB:$AB,39)),"")</f>
        <v/>
      </c>
      <c r="T42" s="77"/>
    </row>
    <row r="43" spans="1:30" ht="22" customHeight="1" x14ac:dyDescent="0.25">
      <c r="A43" s="31" t="str">
        <f>IFERROR(INDEX(PRENOTAZIONI!$A:$A,SMALL(PRENOTAZIONI!$AB:$AB,40)),"")</f>
        <v/>
      </c>
      <c r="B43" s="31" t="str">
        <f>IFERROR(INDEX(PRENOTAZIONI!$B:$B,SMALL(PRENOTAZIONI!$AB:$AB,40)),"")</f>
        <v/>
      </c>
      <c r="C43" s="32" t="str">
        <f t="shared" si="11"/>
        <v/>
      </c>
      <c r="D43" s="34" t="str">
        <f>IFERROR(INDEX(PRENOTAZIONI!$E:$E,SMALL(PRENOTAZIONI!$AB:$AB,40)),"")</f>
        <v/>
      </c>
      <c r="E43" s="34" t="str">
        <f>IFERROR(INDEX(PRENOTAZIONI!$F:$F,SMALL(PRENOTAZIONI!$AB:$AB,40)),"")</f>
        <v/>
      </c>
      <c r="F43" s="34" t="str">
        <f>IFERROR(INDEX(PRENOTAZIONI!$G:$G,SMALL(PRENOTAZIONI!$AB:$AB,40)),"")</f>
        <v/>
      </c>
      <c r="G43" s="35" t="str">
        <f>IFERROR(INDEX(PRENOTAZIONI!$H:$H,SMALL(PRENOTAZIONI!$AB:$AB,40)),"")</f>
        <v/>
      </c>
      <c r="H43" s="146" t="str">
        <f t="shared" si="12"/>
        <v/>
      </c>
      <c r="I43" s="35" t="str">
        <f t="shared" si="13"/>
        <v/>
      </c>
      <c r="J43" s="149" t="str">
        <f t="shared" si="14"/>
        <v/>
      </c>
      <c r="K43" s="34" t="str">
        <f>IFERROR(INDEX(PRENOTAZIONI!$K:$K,SMALL(PRENOTAZIONI!$AB:$AB,40)),"")</f>
        <v/>
      </c>
      <c r="L43" s="35" t="str">
        <f>IFERROR(INDEX(PRENOTAZIONI!$L:$L,SMALL(PRENOTAZIONI!$AB:$AB,40)),"")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34" t="str">
        <f>IFERROR(INDEX(PRENOTAZIONI!$R:$R,SMALL(PRENOTAZIONI!$AB:$AB,40)),"")</f>
        <v/>
      </c>
      <c r="T43" s="77"/>
    </row>
    <row r="44" spans="1:30" ht="22" customHeight="1" x14ac:dyDescent="0.25">
      <c r="A44" s="31" t="str">
        <f>IFERROR(INDEX(PRENOTAZIONI!$A:$A,SMALL(PRENOTAZIONI!$AB:$AB,41)),"")</f>
        <v/>
      </c>
      <c r="B44" s="31" t="str">
        <f>IFERROR(INDEX(PRENOTAZIONI!$B:$B,SMALL(PRENOTAZIONI!$AB:$AB,41)),"")</f>
        <v/>
      </c>
      <c r="C44" s="32" t="str">
        <f t="shared" si="11"/>
        <v/>
      </c>
      <c r="D44" s="34" t="str">
        <f>IFERROR(INDEX(PRENOTAZIONI!$E:$E,SMALL(PRENOTAZIONI!$AB:$AB,41)),"")</f>
        <v/>
      </c>
      <c r="E44" s="34" t="str">
        <f>IFERROR(INDEX(PRENOTAZIONI!$F:$F,SMALL(PRENOTAZIONI!$AB:$AB,41)),"")</f>
        <v/>
      </c>
      <c r="F44" s="34" t="str">
        <f>IFERROR(INDEX(PRENOTAZIONI!$G:$G,SMALL(PRENOTAZIONI!$AB:$AB,41)),"")</f>
        <v/>
      </c>
      <c r="G44" s="35" t="str">
        <f>IFERROR(INDEX(PRENOTAZIONI!$H:$H,SMALL(PRENOTAZIONI!$AB:$AB,41)),"")</f>
        <v/>
      </c>
      <c r="H44" s="146" t="str">
        <f t="shared" si="12"/>
        <v/>
      </c>
      <c r="I44" s="35" t="str">
        <f t="shared" si="13"/>
        <v/>
      </c>
      <c r="J44" s="149" t="str">
        <f t="shared" si="14"/>
        <v/>
      </c>
      <c r="K44" s="34" t="str">
        <f>IFERROR(INDEX(PRENOTAZIONI!$K:$K,SMALL(PRENOTAZIONI!$AB:$AB,41)),"")</f>
        <v/>
      </c>
      <c r="L44" s="35" t="str">
        <f>IFERROR(INDEX(PRENOTAZIONI!$L:$L,SMALL(PRENOTAZIONI!$AB:$AB,41)),"")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34" t="str">
        <f>IFERROR(INDEX(PRENOTAZIONI!$R:$R,SMALL(PRENOTAZIONI!$AB:$AB,41)),"")</f>
        <v/>
      </c>
      <c r="T44" s="77"/>
    </row>
    <row r="45" spans="1:30" ht="22" customHeight="1" x14ac:dyDescent="0.25">
      <c r="A45" s="31" t="str">
        <f>IFERROR(INDEX(PRENOTAZIONI!$A:$A,SMALL(PRENOTAZIONI!$AB:$AB,42)),"")</f>
        <v/>
      </c>
      <c r="B45" s="31" t="str">
        <f>IFERROR(INDEX(PRENOTAZIONI!$B:$B,SMALL(PRENOTAZIONI!$AB:$AB,42)),"")</f>
        <v/>
      </c>
      <c r="C45" s="32" t="str">
        <f t="shared" si="11"/>
        <v/>
      </c>
      <c r="D45" s="34" t="str">
        <f>IFERROR(INDEX(PRENOTAZIONI!$E:$E,SMALL(PRENOTAZIONI!$AB:$AB,42)),"")</f>
        <v/>
      </c>
      <c r="E45" s="34" t="str">
        <f>IFERROR(INDEX(PRENOTAZIONI!$F:$F,SMALL(PRENOTAZIONI!$AB:$AB,42)),"")</f>
        <v/>
      </c>
      <c r="F45" s="34" t="str">
        <f>IFERROR(INDEX(PRENOTAZIONI!$G:$G,SMALL(PRENOTAZIONI!$AB:$AB,42)),"")</f>
        <v/>
      </c>
      <c r="G45" s="35" t="str">
        <f>IFERROR(INDEX(PRENOTAZIONI!$H:$H,SMALL(PRENOTAZIONI!$AB:$AB,42)),"")</f>
        <v/>
      </c>
      <c r="H45" s="146" t="str">
        <f t="shared" si="12"/>
        <v/>
      </c>
      <c r="I45" s="35" t="str">
        <f t="shared" si="13"/>
        <v/>
      </c>
      <c r="J45" s="149" t="str">
        <f t="shared" si="14"/>
        <v/>
      </c>
      <c r="K45" s="34" t="str">
        <f>IFERROR(INDEX(PRENOTAZIONI!$K:$K,SMALL(PRENOTAZIONI!$AB:$AB,42)),"")</f>
        <v/>
      </c>
      <c r="L45" s="35" t="str">
        <f>IFERROR(INDEX(PRENOTAZIONI!$L:$L,SMALL(PRENOTAZIONI!$AB:$AB,42)),"")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34" t="str">
        <f>IFERROR(INDEX(PRENOTAZIONI!$R:$R,SMALL(PRENOTAZIONI!$AB:$AB,42)),"")</f>
        <v/>
      </c>
      <c r="T45" s="77"/>
    </row>
    <row r="46" spans="1:30" ht="22" customHeight="1" x14ac:dyDescent="0.25">
      <c r="A46" s="31" t="str">
        <f>IFERROR(INDEX(PRENOTAZIONI!$A:$A,SMALL(PRENOTAZIONI!$AB:$AB,43)),"")</f>
        <v/>
      </c>
      <c r="B46" s="31" t="str">
        <f>IFERROR(INDEX(PRENOTAZIONI!$B:$B,SMALL(PRENOTAZIONI!$AB:$AB,43)),"")</f>
        <v/>
      </c>
      <c r="C46" s="32" t="str">
        <f t="shared" si="11"/>
        <v/>
      </c>
      <c r="D46" s="34" t="str">
        <f>IFERROR(INDEX(PRENOTAZIONI!$E:$E,SMALL(PRENOTAZIONI!$AB:$AB,43)),"")</f>
        <v/>
      </c>
      <c r="E46" s="34" t="str">
        <f>IFERROR(INDEX(PRENOTAZIONI!$F:$F,SMALL(PRENOTAZIONI!$AB:$AB,43)),"")</f>
        <v/>
      </c>
      <c r="F46" s="34" t="str">
        <f>IFERROR(INDEX(PRENOTAZIONI!$G:$G,SMALL(PRENOTAZIONI!$AB:$AB,43)),"")</f>
        <v/>
      </c>
      <c r="G46" s="35" t="str">
        <f>IFERROR(INDEX(PRENOTAZIONI!$H:$H,SMALL(PRENOTAZIONI!$AB:$AB,43)),"")</f>
        <v/>
      </c>
      <c r="H46" s="146" t="str">
        <f t="shared" si="12"/>
        <v/>
      </c>
      <c r="I46" s="35" t="str">
        <f t="shared" si="13"/>
        <v/>
      </c>
      <c r="J46" s="149" t="str">
        <f t="shared" si="14"/>
        <v/>
      </c>
      <c r="K46" s="34" t="str">
        <f>IFERROR(INDEX(PRENOTAZIONI!$K:$K,SMALL(PRENOTAZIONI!$AB:$AB,43)),"")</f>
        <v/>
      </c>
      <c r="L46" s="35" t="str">
        <f>IFERROR(INDEX(PRENOTAZIONI!$L:$L,SMALL(PRENOTAZIONI!$AB:$AB,43)),"")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34" t="str">
        <f>IFERROR(INDEX(PRENOTAZIONI!$R:$R,SMALL(PRENOTAZIONI!$AB:$AB,43)),"")</f>
        <v/>
      </c>
      <c r="T46" s="77"/>
    </row>
    <row r="47" spans="1:30" ht="22" customHeight="1" x14ac:dyDescent="0.25">
      <c r="A47" s="31" t="str">
        <f>IFERROR(INDEX(PRENOTAZIONI!$A:$A,SMALL(PRENOTAZIONI!$AB:$AB,44)),"")</f>
        <v/>
      </c>
      <c r="B47" s="31" t="str">
        <f>IFERROR(INDEX(PRENOTAZIONI!$B:$B,SMALL(PRENOTAZIONI!$AB:$AB,44)),"")</f>
        <v/>
      </c>
      <c r="C47" s="32" t="str">
        <f t="shared" si="11"/>
        <v/>
      </c>
      <c r="D47" s="34" t="str">
        <f>IFERROR(INDEX(PRENOTAZIONI!$E:$E,SMALL(PRENOTAZIONI!$AB:$AB,44)),"")</f>
        <v/>
      </c>
      <c r="E47" s="34" t="str">
        <f>IFERROR(INDEX(PRENOTAZIONI!$F:$F,SMALL(PRENOTAZIONI!$AB:$AB,44)),"")</f>
        <v/>
      </c>
      <c r="F47" s="34" t="str">
        <f>IFERROR(INDEX(PRENOTAZIONI!$G:$G,SMALL(PRENOTAZIONI!$AB:$AB,44)),"")</f>
        <v/>
      </c>
      <c r="G47" s="35" t="str">
        <f>IFERROR(INDEX(PRENOTAZIONI!$H:$H,SMALL(PRENOTAZIONI!$AB:$AB,44)),"")</f>
        <v/>
      </c>
      <c r="H47" s="146" t="str">
        <f t="shared" si="12"/>
        <v/>
      </c>
      <c r="I47" s="35" t="str">
        <f t="shared" si="13"/>
        <v/>
      </c>
      <c r="J47" s="149" t="str">
        <f t="shared" si="14"/>
        <v/>
      </c>
      <c r="K47" s="34" t="str">
        <f>IFERROR(INDEX(PRENOTAZIONI!$K:$K,SMALL(PRENOTAZIONI!$AB:$AB,44)),"")</f>
        <v/>
      </c>
      <c r="L47" s="35" t="str">
        <f>IFERROR(INDEX(PRENOTAZIONI!$L:$L,SMALL(PRENOTAZIONI!$AB:$AB,44)),"")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34" t="str">
        <f>IFERROR(INDEX(PRENOTAZIONI!$R:$R,SMALL(PRENOTAZIONI!$AB:$AB,44)),"")</f>
        <v/>
      </c>
      <c r="T47" s="77"/>
    </row>
    <row r="48" spans="1:30" ht="22" customHeight="1" x14ac:dyDescent="0.25">
      <c r="A48" s="31" t="str">
        <f>IFERROR(INDEX(PRENOTAZIONI!$A:$A,SMALL(PRENOTAZIONI!$AB:$AB,45)),"")</f>
        <v/>
      </c>
      <c r="B48" s="31" t="str">
        <f>IFERROR(INDEX(PRENOTAZIONI!$B:$B,SMALL(PRENOTAZIONI!$AB:$AB,45)),"")</f>
        <v/>
      </c>
      <c r="C48" s="32" t="str">
        <f t="shared" si="11"/>
        <v/>
      </c>
      <c r="D48" s="34" t="str">
        <f>IFERROR(INDEX(PRENOTAZIONI!$E:$E,SMALL(PRENOTAZIONI!$AB:$AB,45)),"")</f>
        <v/>
      </c>
      <c r="E48" s="34" t="str">
        <f>IFERROR(INDEX(PRENOTAZIONI!$F:$F,SMALL(PRENOTAZIONI!$AB:$AB,45)),"")</f>
        <v/>
      </c>
      <c r="F48" s="34" t="str">
        <f>IFERROR(INDEX(PRENOTAZIONI!$G:$G,SMALL(PRENOTAZIONI!$AB:$AB,45)),"")</f>
        <v/>
      </c>
      <c r="G48" s="35" t="str">
        <f>IFERROR(INDEX(PRENOTAZIONI!$H:$H,SMALL(PRENOTAZIONI!$AB:$AB,45)),"")</f>
        <v/>
      </c>
      <c r="H48" s="146" t="str">
        <f t="shared" si="12"/>
        <v/>
      </c>
      <c r="I48" s="35" t="str">
        <f t="shared" si="13"/>
        <v/>
      </c>
      <c r="J48" s="149" t="str">
        <f t="shared" si="14"/>
        <v/>
      </c>
      <c r="K48" s="34" t="str">
        <f>IFERROR(INDEX(PRENOTAZIONI!$K:$K,SMALL(PRENOTAZIONI!$AB:$AB,45)),"")</f>
        <v/>
      </c>
      <c r="L48" s="35" t="str">
        <f>IFERROR(INDEX(PRENOTAZIONI!$L:$L,SMALL(PRENOTAZIONI!$AB:$AB,45)),"")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34" t="str">
        <f>IFERROR(INDEX(PRENOTAZIONI!$R:$R,SMALL(PRENOTAZIONI!$AB:$AB,45)),"")</f>
        <v/>
      </c>
      <c r="T48" s="77"/>
    </row>
    <row r="49" spans="1:20" ht="22" customHeight="1" x14ac:dyDescent="0.25">
      <c r="A49" s="31" t="str">
        <f>IFERROR(INDEX(PRENOTAZIONI!$A:$A,SMALL(PRENOTAZIONI!$AB:$AB,46)),"")</f>
        <v/>
      </c>
      <c r="B49" s="31" t="str">
        <f>IFERROR(INDEX(PRENOTAZIONI!$B:$B,SMALL(PRENOTAZIONI!$AB:$AB,46)),"")</f>
        <v/>
      </c>
      <c r="C49" s="32" t="str">
        <f t="shared" si="11"/>
        <v/>
      </c>
      <c r="D49" s="34" t="str">
        <f>IFERROR(INDEX(PRENOTAZIONI!$E:$E,SMALL(PRENOTAZIONI!$AB:$AB,46)),"")</f>
        <v/>
      </c>
      <c r="E49" s="34" t="str">
        <f>IFERROR(INDEX(PRENOTAZIONI!$F:$F,SMALL(PRENOTAZIONI!$AB:$AB,46)),"")</f>
        <v/>
      </c>
      <c r="F49" s="34" t="str">
        <f>IFERROR(INDEX(PRENOTAZIONI!$G:$G,SMALL(PRENOTAZIONI!$AB:$AB,46)),"")</f>
        <v/>
      </c>
      <c r="G49" s="35" t="str">
        <f>IFERROR(INDEX(PRENOTAZIONI!$H:$H,SMALL(PRENOTAZIONI!$AB:$AB,46)),"")</f>
        <v/>
      </c>
      <c r="H49" s="146" t="str">
        <f t="shared" si="12"/>
        <v/>
      </c>
      <c r="I49" s="35" t="str">
        <f t="shared" si="13"/>
        <v/>
      </c>
      <c r="J49" s="149" t="str">
        <f t="shared" si="14"/>
        <v/>
      </c>
      <c r="K49" s="34" t="str">
        <f>IFERROR(INDEX(PRENOTAZIONI!$K:$K,SMALL(PRENOTAZIONI!$AB:$AB,46)),"")</f>
        <v/>
      </c>
      <c r="L49" s="35" t="str">
        <f>IFERROR(INDEX(PRENOTAZIONI!$L:$L,SMALL(PRENOTAZIONI!$AB:$AB,46)),"")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34" t="str">
        <f>IFERROR(INDEX(PRENOTAZIONI!$R:$R,SMALL(PRENOTAZIONI!$AB:$AB,46)),"")</f>
        <v/>
      </c>
      <c r="T49" s="77"/>
    </row>
    <row r="50" spans="1:20" ht="22" customHeight="1" x14ac:dyDescent="0.25">
      <c r="A50" s="31" t="str">
        <f>IFERROR(INDEX(PRENOTAZIONI!$A:$A,SMALL(PRENOTAZIONI!$AB:$AB,47)),"")</f>
        <v/>
      </c>
      <c r="B50" s="31" t="str">
        <f>IFERROR(INDEX(PRENOTAZIONI!$B:$B,SMALL(PRENOTAZIONI!$AB:$AB,47)),"")</f>
        <v/>
      </c>
      <c r="C50" s="32" t="str">
        <f t="shared" si="11"/>
        <v/>
      </c>
      <c r="D50" s="34" t="str">
        <f>IFERROR(INDEX(PRENOTAZIONI!$E:$E,SMALL(PRENOTAZIONI!$AB:$AB,47)),"")</f>
        <v/>
      </c>
      <c r="E50" s="34" t="str">
        <f>IFERROR(INDEX(PRENOTAZIONI!$F:$F,SMALL(PRENOTAZIONI!$AB:$AB,47)),"")</f>
        <v/>
      </c>
      <c r="F50" s="34" t="str">
        <f>IFERROR(INDEX(PRENOTAZIONI!$G:$G,SMALL(PRENOTAZIONI!$AB:$AB,47)),"")</f>
        <v/>
      </c>
      <c r="G50" s="35" t="str">
        <f>IFERROR(INDEX(PRENOTAZIONI!$H:$H,SMALL(PRENOTAZIONI!$AB:$AB,47)),"")</f>
        <v/>
      </c>
      <c r="H50" s="146" t="str">
        <f t="shared" si="12"/>
        <v/>
      </c>
      <c r="I50" s="35" t="str">
        <f t="shared" si="13"/>
        <v/>
      </c>
      <c r="J50" s="149" t="str">
        <f t="shared" si="14"/>
        <v/>
      </c>
      <c r="K50" s="34" t="str">
        <f>IFERROR(INDEX(PRENOTAZIONI!$K:$K,SMALL(PRENOTAZIONI!$AB:$AB,47)),"")</f>
        <v/>
      </c>
      <c r="L50" s="35" t="str">
        <f>IFERROR(INDEX(PRENOTAZIONI!$L:$L,SMALL(PRENOTAZIONI!$AB:$AB,47)),"")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34" t="str">
        <f>IFERROR(INDEX(PRENOTAZIONI!$R:$R,SMALL(PRENOTAZIONI!$AB:$AB,47)),"")</f>
        <v/>
      </c>
      <c r="T50" s="77"/>
    </row>
    <row r="51" spans="1:20" ht="22" customHeight="1" x14ac:dyDescent="0.25">
      <c r="A51" s="31" t="str">
        <f>IFERROR(INDEX(PRENOTAZIONI!$A:$A,SMALL(PRENOTAZIONI!$AB:$AB,48)),"")</f>
        <v/>
      </c>
      <c r="B51" s="31" t="str">
        <f>IFERROR(INDEX(PRENOTAZIONI!$B:$B,SMALL(PRENOTAZIONI!$AB:$AB,48)),"")</f>
        <v/>
      </c>
      <c r="C51" s="32" t="str">
        <f t="shared" si="11"/>
        <v/>
      </c>
      <c r="D51" s="34" t="str">
        <f>IFERROR(INDEX(PRENOTAZIONI!$E:$E,SMALL(PRENOTAZIONI!$AB:$AB,48)),"")</f>
        <v/>
      </c>
      <c r="E51" s="34" t="str">
        <f>IFERROR(INDEX(PRENOTAZIONI!$F:$F,SMALL(PRENOTAZIONI!$AB:$AB,48)),"")</f>
        <v/>
      </c>
      <c r="F51" s="34" t="str">
        <f>IFERROR(INDEX(PRENOTAZIONI!$G:$G,SMALL(PRENOTAZIONI!$AB:$AB,48)),"")</f>
        <v/>
      </c>
      <c r="G51" s="35" t="str">
        <f>IFERROR(INDEX(PRENOTAZIONI!$H:$H,SMALL(PRENOTAZIONI!$AB:$AB,48)),"")</f>
        <v/>
      </c>
      <c r="H51" s="146" t="str">
        <f t="shared" si="12"/>
        <v/>
      </c>
      <c r="I51" s="35" t="str">
        <f t="shared" si="13"/>
        <v/>
      </c>
      <c r="J51" s="149" t="str">
        <f t="shared" si="14"/>
        <v/>
      </c>
      <c r="K51" s="34" t="str">
        <f>IFERROR(INDEX(PRENOTAZIONI!$K:$K,SMALL(PRENOTAZIONI!$AB:$AB,48)),"")</f>
        <v/>
      </c>
      <c r="L51" s="35" t="str">
        <f>IFERROR(INDEX(PRENOTAZIONI!$L:$L,SMALL(PRENOTAZIONI!$AB:$AB,48)),"")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34" t="str">
        <f>IFERROR(INDEX(PRENOTAZIONI!$R:$R,SMALL(PRENOTAZIONI!$AB:$AB,48)),"")</f>
        <v/>
      </c>
      <c r="T51" s="77"/>
    </row>
    <row r="52" spans="1:20" ht="22" customHeight="1" x14ac:dyDescent="0.25">
      <c r="A52" s="31" t="str">
        <f>IFERROR(INDEX(PRENOTAZIONI!$A:$A,SMALL(PRENOTAZIONI!$AB:$AB,49)),"")</f>
        <v/>
      </c>
      <c r="B52" s="31" t="str">
        <f>IFERROR(INDEX(PRENOTAZIONI!$B:$B,SMALL(PRENOTAZIONI!$AB:$AB,49)),"")</f>
        <v/>
      </c>
      <c r="C52" s="32" t="str">
        <f t="shared" si="11"/>
        <v/>
      </c>
      <c r="D52" s="34" t="str">
        <f>IFERROR(INDEX(PRENOTAZIONI!$E:$E,SMALL(PRENOTAZIONI!$AB:$AB,49)),"")</f>
        <v/>
      </c>
      <c r="E52" s="34" t="str">
        <f>IFERROR(INDEX(PRENOTAZIONI!$F:$F,SMALL(PRENOTAZIONI!$AB:$AB,49)),"")</f>
        <v/>
      </c>
      <c r="F52" s="34" t="str">
        <f>IFERROR(INDEX(PRENOTAZIONI!$G:$G,SMALL(PRENOTAZIONI!$AB:$AB,49)),"")</f>
        <v/>
      </c>
      <c r="G52" s="35" t="str">
        <f>IFERROR(INDEX(PRENOTAZIONI!$H:$H,SMALL(PRENOTAZIONI!$AB:$AB,49)),"")</f>
        <v/>
      </c>
      <c r="H52" s="146" t="str">
        <f t="shared" si="12"/>
        <v/>
      </c>
      <c r="I52" s="35" t="str">
        <f t="shared" si="13"/>
        <v/>
      </c>
      <c r="J52" s="149" t="str">
        <f t="shared" si="14"/>
        <v/>
      </c>
      <c r="K52" s="34" t="str">
        <f>IFERROR(INDEX(PRENOTAZIONI!$K:$K,SMALL(PRENOTAZIONI!$AB:$AB,49)),"")</f>
        <v/>
      </c>
      <c r="L52" s="35" t="str">
        <f>IFERROR(INDEX(PRENOTAZIONI!$L:$L,SMALL(PRENOTAZIONI!$AB:$AB,49)),"")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34" t="str">
        <f>IFERROR(INDEX(PRENOTAZIONI!$R:$R,SMALL(PRENOTAZIONI!$AB:$AB,49)),"")</f>
        <v/>
      </c>
      <c r="T52" s="77"/>
    </row>
    <row r="53" spans="1:20" ht="22" customHeight="1" x14ac:dyDescent="0.25">
      <c r="A53" s="31" t="str">
        <f>IFERROR(INDEX(PRENOTAZIONI!$A:$A,SMALL(PRENOTAZIONI!$AB:$AB,50)),"")</f>
        <v/>
      </c>
      <c r="B53" s="31" t="str">
        <f>IFERROR(INDEX(PRENOTAZIONI!$B:$B,SMALL(PRENOTAZIONI!$AB:$AB,50)),"")</f>
        <v/>
      </c>
      <c r="C53" s="32" t="str">
        <f t="shared" si="11"/>
        <v/>
      </c>
      <c r="D53" s="34" t="str">
        <f>IFERROR(INDEX(PRENOTAZIONI!$E:$E,SMALL(PRENOTAZIONI!$AB:$AB,50)),"")</f>
        <v/>
      </c>
      <c r="E53" s="34" t="str">
        <f>IFERROR(INDEX(PRENOTAZIONI!$F:$F,SMALL(PRENOTAZIONI!$AB:$AB,50)),"")</f>
        <v/>
      </c>
      <c r="F53" s="34" t="str">
        <f>IFERROR(INDEX(PRENOTAZIONI!$G:$G,SMALL(PRENOTAZIONI!$AB:$AB,50)),"")</f>
        <v/>
      </c>
      <c r="G53" s="35" t="str">
        <f>IFERROR(INDEX(PRENOTAZIONI!$H:$H,SMALL(PRENOTAZIONI!$AB:$AB,50)),"")</f>
        <v/>
      </c>
      <c r="H53" s="146" t="str">
        <f t="shared" si="12"/>
        <v/>
      </c>
      <c r="I53" s="35" t="str">
        <f t="shared" si="13"/>
        <v/>
      </c>
      <c r="J53" s="149" t="str">
        <f t="shared" si="14"/>
        <v/>
      </c>
      <c r="K53" s="34" t="str">
        <f>IFERROR(INDEX(PRENOTAZIONI!$K:$K,SMALL(PRENOTAZIONI!$AB:$AB,50)),"")</f>
        <v/>
      </c>
      <c r="L53" s="35" t="str">
        <f>IFERROR(INDEX(PRENOTAZIONI!$L:$L,SMALL(PRENOTAZIONI!$AB:$AB,50)),"")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34" t="str">
        <f>IFERROR(INDEX(PRENOTAZIONI!$R:$R,SMALL(PRENOTAZIONI!$AB:$AB,50)),"")</f>
        <v/>
      </c>
      <c r="T53" s="77"/>
    </row>
    <row r="54" spans="1:20" ht="22" customHeight="1" x14ac:dyDescent="0.25">
      <c r="A54" s="31" t="str">
        <f>IFERROR(INDEX(PRENOTAZIONI!$A:$A,SMALL(PRENOTAZIONI!$AB:$AB,51)),"")</f>
        <v/>
      </c>
      <c r="B54" s="31" t="str">
        <f>IFERROR(INDEX(PRENOTAZIONI!$B:$B,SMALL(PRENOTAZIONI!$AB:$AB,51)),"")</f>
        <v/>
      </c>
      <c r="C54" s="32" t="str">
        <f t="shared" si="11"/>
        <v/>
      </c>
      <c r="D54" s="34" t="str">
        <f>IFERROR(INDEX(PRENOTAZIONI!$E:$E,SMALL(PRENOTAZIONI!$AB:$AB,51)),"")</f>
        <v/>
      </c>
      <c r="E54" s="34" t="str">
        <f>IFERROR(INDEX(PRENOTAZIONI!$F:$F,SMALL(PRENOTAZIONI!$AB:$AB,51)),"")</f>
        <v/>
      </c>
      <c r="F54" s="34" t="str">
        <f>IFERROR(INDEX(PRENOTAZIONI!$G:$G,SMALL(PRENOTAZIONI!$AB:$AB,51)),"")</f>
        <v/>
      </c>
      <c r="G54" s="35" t="str">
        <f>IFERROR(INDEX(PRENOTAZIONI!$H:$H,SMALL(PRENOTAZIONI!$AB:$AB,51)),"")</f>
        <v/>
      </c>
      <c r="H54" s="146" t="str">
        <f t="shared" si="12"/>
        <v/>
      </c>
      <c r="I54" s="35" t="str">
        <f t="shared" si="13"/>
        <v/>
      </c>
      <c r="J54" s="149" t="str">
        <f t="shared" si="14"/>
        <v/>
      </c>
      <c r="K54" s="34" t="str">
        <f>IFERROR(INDEX(PRENOTAZIONI!$K:$K,SMALL(PRENOTAZIONI!$AB:$AB,51)),"")</f>
        <v/>
      </c>
      <c r="L54" s="35" t="str">
        <f>IFERROR(INDEX(PRENOTAZIONI!$L:$L,SMALL(PRENOTAZIONI!$AB:$AB,51)),"")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34" t="str">
        <f>IFERROR(INDEX(PRENOTAZIONI!$R:$R,SMALL(PRENOTAZIONI!$AB:$AB,51)),"")</f>
        <v/>
      </c>
      <c r="T54" s="77"/>
    </row>
    <row r="55" spans="1:20" ht="22" customHeight="1" x14ac:dyDescent="0.25">
      <c r="A55" s="31" t="str">
        <f>IFERROR(INDEX(PRENOTAZIONI!$A:$A,SMALL(PRENOTAZIONI!$AB:$AB,52)),"")</f>
        <v/>
      </c>
      <c r="B55" s="31" t="str">
        <f>IFERROR(INDEX(PRENOTAZIONI!$B:$B,SMALL(PRENOTAZIONI!$AB:$AB,52)),"")</f>
        <v/>
      </c>
      <c r="C55" s="32" t="str">
        <f t="shared" si="11"/>
        <v/>
      </c>
      <c r="D55" s="34" t="str">
        <f>IFERROR(INDEX(PRENOTAZIONI!$E:$E,SMALL(PRENOTAZIONI!$AB:$AB,52)),"")</f>
        <v/>
      </c>
      <c r="E55" s="34" t="str">
        <f>IFERROR(INDEX(PRENOTAZIONI!$F:$F,SMALL(PRENOTAZIONI!$AB:$AB,52)),"")</f>
        <v/>
      </c>
      <c r="F55" s="34" t="str">
        <f>IFERROR(INDEX(PRENOTAZIONI!$G:$G,SMALL(PRENOTAZIONI!$AB:$AB,52)),"")</f>
        <v/>
      </c>
      <c r="G55" s="35" t="str">
        <f>IFERROR(INDEX(PRENOTAZIONI!$H:$H,SMALL(PRENOTAZIONI!$AB:$AB,52)),"")</f>
        <v/>
      </c>
      <c r="H55" s="146" t="str">
        <f t="shared" si="12"/>
        <v/>
      </c>
      <c r="I55" s="35" t="str">
        <f t="shared" si="13"/>
        <v/>
      </c>
      <c r="J55" s="149" t="str">
        <f t="shared" si="14"/>
        <v/>
      </c>
      <c r="K55" s="34" t="str">
        <f>IFERROR(INDEX(PRENOTAZIONI!$K:$K,SMALL(PRENOTAZIONI!$AB:$AB,52)),"")</f>
        <v/>
      </c>
      <c r="L55" s="35" t="str">
        <f>IFERROR(INDEX(PRENOTAZIONI!$L:$L,SMALL(PRENOTAZIONI!$AB:$AB,52)),"")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34" t="str">
        <f>IFERROR(INDEX(PRENOTAZIONI!$R:$R,SMALL(PRENOTAZIONI!$AB:$AB,52)),"")</f>
        <v/>
      </c>
      <c r="T55" s="77"/>
    </row>
    <row r="56" spans="1:20" ht="22" customHeight="1" x14ac:dyDescent="0.25">
      <c r="A56" s="31" t="str">
        <f>IFERROR(INDEX(PRENOTAZIONI!$A:$A,SMALL(PRENOTAZIONI!$AB:$AB,53)),"")</f>
        <v/>
      </c>
      <c r="B56" s="31" t="str">
        <f>IFERROR(INDEX(PRENOTAZIONI!$B:$B,SMALL(PRENOTAZIONI!$AB:$AB,53)),"")</f>
        <v/>
      </c>
      <c r="C56" s="32" t="str">
        <f t="shared" si="11"/>
        <v/>
      </c>
      <c r="D56" s="34" t="str">
        <f>IFERROR(INDEX(PRENOTAZIONI!$E:$E,SMALL(PRENOTAZIONI!$AB:$AB,53)),"")</f>
        <v/>
      </c>
      <c r="E56" s="34" t="str">
        <f>IFERROR(INDEX(PRENOTAZIONI!$F:$F,SMALL(PRENOTAZIONI!$AB:$AB,53)),"")</f>
        <v/>
      </c>
      <c r="F56" s="34" t="str">
        <f>IFERROR(INDEX(PRENOTAZIONI!$G:$G,SMALL(PRENOTAZIONI!$AB:$AB,53)),"")</f>
        <v/>
      </c>
      <c r="G56" s="35" t="str">
        <f>IFERROR(INDEX(PRENOTAZIONI!$H:$H,SMALL(PRENOTAZIONI!$AB:$AB,53)),"")</f>
        <v/>
      </c>
      <c r="H56" s="146" t="str">
        <f t="shared" si="12"/>
        <v/>
      </c>
      <c r="I56" s="35" t="str">
        <f t="shared" si="13"/>
        <v/>
      </c>
      <c r="J56" s="149" t="str">
        <f t="shared" si="14"/>
        <v/>
      </c>
      <c r="K56" s="34" t="str">
        <f>IFERROR(INDEX(PRENOTAZIONI!$K:$K,SMALL(PRENOTAZIONI!$AB:$AB,53)),"")</f>
        <v/>
      </c>
      <c r="L56" s="35" t="str">
        <f>IFERROR(INDEX(PRENOTAZIONI!$L:$L,SMALL(PRENOTAZIONI!$AB:$AB,53)),"")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34" t="str">
        <f>IFERROR(INDEX(PRENOTAZIONI!$R:$R,SMALL(PRENOTAZIONI!$AB:$AB,53)),"")</f>
        <v/>
      </c>
      <c r="T56" s="77"/>
    </row>
    <row r="57" spans="1:20" ht="22" customHeight="1" x14ac:dyDescent="0.25">
      <c r="A57" s="31" t="str">
        <f>IFERROR(INDEX(PRENOTAZIONI!$A:$A,SMALL(PRENOTAZIONI!$AB:$AB,54)),"")</f>
        <v/>
      </c>
      <c r="B57" s="31" t="str">
        <f>IFERROR(INDEX(PRENOTAZIONI!$B:$B,SMALL(PRENOTAZIONI!$AB:$AB,54)),"")</f>
        <v/>
      </c>
      <c r="C57" s="32" t="str">
        <f t="shared" si="11"/>
        <v/>
      </c>
      <c r="D57" s="34" t="str">
        <f>IFERROR(INDEX(PRENOTAZIONI!$E:$E,SMALL(PRENOTAZIONI!$AB:$AB,54)),"")</f>
        <v/>
      </c>
      <c r="E57" s="34" t="str">
        <f>IFERROR(INDEX(PRENOTAZIONI!$F:$F,SMALL(PRENOTAZIONI!$AB:$AB,54)),"")</f>
        <v/>
      </c>
      <c r="F57" s="34" t="str">
        <f>IFERROR(INDEX(PRENOTAZIONI!$G:$G,SMALL(PRENOTAZIONI!$AB:$AB,54)),"")</f>
        <v/>
      </c>
      <c r="G57" s="35" t="str">
        <f>IFERROR(INDEX(PRENOTAZIONI!$H:$H,SMALL(PRENOTAZIONI!$AB:$AB,54)),"")</f>
        <v/>
      </c>
      <c r="H57" s="146" t="str">
        <f t="shared" si="12"/>
        <v/>
      </c>
      <c r="I57" s="35" t="str">
        <f t="shared" si="13"/>
        <v/>
      </c>
      <c r="J57" s="149" t="str">
        <f t="shared" si="14"/>
        <v/>
      </c>
      <c r="K57" s="34" t="str">
        <f>IFERROR(INDEX(PRENOTAZIONI!$K:$K,SMALL(PRENOTAZIONI!$AB:$AB,54)),"")</f>
        <v/>
      </c>
      <c r="L57" s="35" t="str">
        <f>IFERROR(INDEX(PRENOTAZIONI!$L:$L,SMALL(PRENOTAZIONI!$AB:$AB,54)),"")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34" t="str">
        <f>IFERROR(INDEX(PRENOTAZIONI!$R:$R,SMALL(PRENOTAZIONI!$AB:$AB,54)),"")</f>
        <v/>
      </c>
      <c r="T57" s="77"/>
    </row>
    <row r="58" spans="1:20" ht="22" customHeight="1" x14ac:dyDescent="0.25">
      <c r="A58" s="31" t="str">
        <f>IFERROR(INDEX(PRENOTAZIONI!$A:$A,SMALL(PRENOTAZIONI!$AB:$AB,55)),"")</f>
        <v/>
      </c>
      <c r="B58" s="31" t="str">
        <f>IFERROR(INDEX(PRENOTAZIONI!$B:$B,SMALL(PRENOTAZIONI!$AB:$AB,55)),"")</f>
        <v/>
      </c>
      <c r="C58" s="32" t="str">
        <f t="shared" si="11"/>
        <v/>
      </c>
      <c r="D58" s="34" t="str">
        <f>IFERROR(INDEX(PRENOTAZIONI!$E:$E,SMALL(PRENOTAZIONI!$AB:$AB,55)),"")</f>
        <v/>
      </c>
      <c r="E58" s="34" t="str">
        <f>IFERROR(INDEX(PRENOTAZIONI!$F:$F,SMALL(PRENOTAZIONI!$AB:$AB,55)),"")</f>
        <v/>
      </c>
      <c r="F58" s="34" t="str">
        <f>IFERROR(INDEX(PRENOTAZIONI!$G:$G,SMALL(PRENOTAZIONI!$AB:$AB,55)),"")</f>
        <v/>
      </c>
      <c r="G58" s="35" t="str">
        <f>IFERROR(INDEX(PRENOTAZIONI!$H:$H,SMALL(PRENOTAZIONI!$AB:$AB,55)),"")</f>
        <v/>
      </c>
      <c r="H58" s="146" t="str">
        <f t="shared" si="12"/>
        <v/>
      </c>
      <c r="I58" s="35" t="str">
        <f t="shared" si="13"/>
        <v/>
      </c>
      <c r="J58" s="149" t="str">
        <f t="shared" si="14"/>
        <v/>
      </c>
      <c r="K58" s="34" t="str">
        <f>IFERROR(INDEX(PRENOTAZIONI!$K:$K,SMALL(PRENOTAZIONI!$AB:$AB,55)),"")</f>
        <v/>
      </c>
      <c r="L58" s="35" t="str">
        <f>IFERROR(INDEX(PRENOTAZIONI!$L:$L,SMALL(PRENOTAZIONI!$AB:$AB,55)),"")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34" t="str">
        <f>IFERROR(INDEX(PRENOTAZIONI!$R:$R,SMALL(PRENOTAZIONI!$AB:$AB,55)),"")</f>
        <v/>
      </c>
      <c r="T58" s="77"/>
    </row>
    <row r="59" spans="1:20" ht="22" customHeight="1" x14ac:dyDescent="0.25">
      <c r="A59" s="31" t="str">
        <f>IFERROR(INDEX(PRENOTAZIONI!$A:$A,SMALL(PRENOTAZIONI!$AB:$AB,56)),"")</f>
        <v/>
      </c>
      <c r="B59" s="31" t="str">
        <f>IFERROR(INDEX(PRENOTAZIONI!$B:$B,SMALL(PRENOTAZIONI!$AB:$AB,56)),"")</f>
        <v/>
      </c>
      <c r="C59" s="32" t="str">
        <f t="shared" si="11"/>
        <v/>
      </c>
      <c r="D59" s="34" t="str">
        <f>IFERROR(INDEX(PRENOTAZIONI!$E:$E,SMALL(PRENOTAZIONI!$AB:$AB,56)),"")</f>
        <v/>
      </c>
      <c r="E59" s="34" t="str">
        <f>IFERROR(INDEX(PRENOTAZIONI!$F:$F,SMALL(PRENOTAZIONI!$AB:$AB,56)),"")</f>
        <v/>
      </c>
      <c r="F59" s="34" t="str">
        <f>IFERROR(INDEX(PRENOTAZIONI!$G:$G,SMALL(PRENOTAZIONI!$AB:$AB,56)),"")</f>
        <v/>
      </c>
      <c r="G59" s="35" t="str">
        <f>IFERROR(INDEX(PRENOTAZIONI!$H:$H,SMALL(PRENOTAZIONI!$AB:$AB,56)),"")</f>
        <v/>
      </c>
      <c r="H59" s="146" t="str">
        <f t="shared" si="12"/>
        <v/>
      </c>
      <c r="I59" s="35" t="str">
        <f t="shared" si="13"/>
        <v/>
      </c>
      <c r="J59" s="149" t="str">
        <f t="shared" si="14"/>
        <v/>
      </c>
      <c r="K59" s="34" t="str">
        <f>IFERROR(INDEX(PRENOTAZIONI!$K:$K,SMALL(PRENOTAZIONI!$AB:$AB,56)),"")</f>
        <v/>
      </c>
      <c r="L59" s="35" t="str">
        <f>IFERROR(INDEX(PRENOTAZIONI!$L:$L,SMALL(PRENOTAZIONI!$AB:$AB,56)),"")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34" t="str">
        <f>IFERROR(INDEX(PRENOTAZIONI!$R:$R,SMALL(PRENOTAZIONI!$AB:$AB,56)),"")</f>
        <v/>
      </c>
      <c r="T59" s="77"/>
    </row>
    <row r="60" spans="1:20" ht="22" customHeight="1" x14ac:dyDescent="0.25">
      <c r="A60" s="31" t="str">
        <f>IFERROR(INDEX(PRENOTAZIONI!$A:$A,SMALL(PRENOTAZIONI!$AB:$AB,57)),"")</f>
        <v/>
      </c>
      <c r="B60" s="31" t="str">
        <f>IFERROR(INDEX(PRENOTAZIONI!$B:$B,SMALL(PRENOTAZIONI!$AB:$AB,57)),"")</f>
        <v/>
      </c>
      <c r="C60" s="32" t="str">
        <f t="shared" si="11"/>
        <v/>
      </c>
      <c r="D60" s="34" t="str">
        <f>IFERROR(INDEX(PRENOTAZIONI!$E:$E,SMALL(PRENOTAZIONI!$AB:$AB,57)),"")</f>
        <v/>
      </c>
      <c r="E60" s="34" t="str">
        <f>IFERROR(INDEX(PRENOTAZIONI!$F:$F,SMALL(PRENOTAZIONI!$AB:$AB,57)),"")</f>
        <v/>
      </c>
      <c r="F60" s="34" t="str">
        <f>IFERROR(INDEX(PRENOTAZIONI!$G:$G,SMALL(PRENOTAZIONI!$AB:$AB,57)),"")</f>
        <v/>
      </c>
      <c r="G60" s="35" t="str">
        <f>IFERROR(INDEX(PRENOTAZIONI!$H:$H,SMALL(PRENOTAZIONI!$AB:$AB,57)),"")</f>
        <v/>
      </c>
      <c r="H60" s="146" t="str">
        <f t="shared" si="12"/>
        <v/>
      </c>
      <c r="I60" s="35" t="str">
        <f t="shared" si="13"/>
        <v/>
      </c>
      <c r="J60" s="149" t="str">
        <f t="shared" si="14"/>
        <v/>
      </c>
      <c r="K60" s="34" t="str">
        <f>IFERROR(INDEX(PRENOTAZIONI!$K:$K,SMALL(PRENOTAZIONI!$AB:$AB,57)),"")</f>
        <v/>
      </c>
      <c r="L60" s="35" t="str">
        <f>IFERROR(INDEX(PRENOTAZIONI!$L:$L,SMALL(PRENOTAZIONI!$AB:$AB,57)),"")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34" t="str">
        <f>IFERROR(INDEX(PRENOTAZIONI!$R:$R,SMALL(PRENOTAZIONI!$AB:$AB,57)),"")</f>
        <v/>
      </c>
      <c r="T60" s="77"/>
    </row>
    <row r="61" spans="1:20" ht="22" customHeight="1" x14ac:dyDescent="0.25">
      <c r="A61" s="31" t="str">
        <f>IFERROR(INDEX(PRENOTAZIONI!$A:$A,SMALL(PRENOTAZIONI!$AB:$AB,58)),"")</f>
        <v/>
      </c>
      <c r="B61" s="31" t="str">
        <f>IFERROR(INDEX(PRENOTAZIONI!$B:$B,SMALL(PRENOTAZIONI!$AB:$AB,58)),"")</f>
        <v/>
      </c>
      <c r="C61" s="32" t="str">
        <f t="shared" si="11"/>
        <v/>
      </c>
      <c r="D61" s="34" t="str">
        <f>IFERROR(INDEX(PRENOTAZIONI!$E:$E,SMALL(PRENOTAZIONI!$AB:$AB,58)),"")</f>
        <v/>
      </c>
      <c r="E61" s="34" t="str">
        <f>IFERROR(INDEX(PRENOTAZIONI!$F:$F,SMALL(PRENOTAZIONI!$AB:$AB,58)),"")</f>
        <v/>
      </c>
      <c r="F61" s="34" t="str">
        <f>IFERROR(INDEX(PRENOTAZIONI!$G:$G,SMALL(PRENOTAZIONI!$AB:$AB,58)),"")</f>
        <v/>
      </c>
      <c r="G61" s="35" t="str">
        <f>IFERROR(INDEX(PRENOTAZIONI!$H:$H,SMALL(PRENOTAZIONI!$AB:$AB,58)),"")</f>
        <v/>
      </c>
      <c r="H61" s="146" t="str">
        <f t="shared" si="12"/>
        <v/>
      </c>
      <c r="I61" s="35" t="str">
        <f t="shared" si="13"/>
        <v/>
      </c>
      <c r="J61" s="149" t="str">
        <f t="shared" si="14"/>
        <v/>
      </c>
      <c r="K61" s="34" t="str">
        <f>IFERROR(INDEX(PRENOTAZIONI!$K:$K,SMALL(PRENOTAZIONI!$AB:$AB,58)),"")</f>
        <v/>
      </c>
      <c r="L61" s="35" t="str">
        <f>IFERROR(INDEX(PRENOTAZIONI!$L:$L,SMALL(PRENOTAZIONI!$AB:$AB,58)),"")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34" t="str">
        <f>IFERROR(INDEX(PRENOTAZIONI!$R:$R,SMALL(PRENOTAZIONI!$AB:$AB,58)),"")</f>
        <v/>
      </c>
      <c r="T61" s="77"/>
    </row>
    <row r="62" spans="1:20" ht="22" customHeight="1" x14ac:dyDescent="0.25">
      <c r="A62" s="31" t="str">
        <f>IFERROR(INDEX(PRENOTAZIONI!$A:$A,SMALL(PRENOTAZIONI!$AB:$AB,59)),"")</f>
        <v/>
      </c>
      <c r="B62" s="31" t="str">
        <f>IFERROR(INDEX(PRENOTAZIONI!$B:$B,SMALL(PRENOTAZIONI!$AB:$AB,59)),"")</f>
        <v/>
      </c>
      <c r="C62" s="32" t="str">
        <f t="shared" si="11"/>
        <v/>
      </c>
      <c r="D62" s="34" t="str">
        <f>IFERROR(INDEX(PRENOTAZIONI!$E:$E,SMALL(PRENOTAZIONI!$AB:$AB,59)),"")</f>
        <v/>
      </c>
      <c r="E62" s="34" t="str">
        <f>IFERROR(INDEX(PRENOTAZIONI!$F:$F,SMALL(PRENOTAZIONI!$AB:$AB,59)),"")</f>
        <v/>
      </c>
      <c r="F62" s="34" t="str">
        <f>IFERROR(INDEX(PRENOTAZIONI!$G:$G,SMALL(PRENOTAZIONI!$AB:$AB,59)),"")</f>
        <v/>
      </c>
      <c r="G62" s="35" t="str">
        <f>IFERROR(INDEX(PRENOTAZIONI!$H:$H,SMALL(PRENOTAZIONI!$AB:$AB,59)),"")</f>
        <v/>
      </c>
      <c r="H62" s="146" t="str">
        <f t="shared" si="12"/>
        <v/>
      </c>
      <c r="I62" s="35" t="str">
        <f t="shared" si="13"/>
        <v/>
      </c>
      <c r="J62" s="149" t="str">
        <f t="shared" si="14"/>
        <v/>
      </c>
      <c r="K62" s="34" t="str">
        <f>IFERROR(INDEX(PRENOTAZIONI!$K:$K,SMALL(PRENOTAZIONI!$AB:$AB,59)),"")</f>
        <v/>
      </c>
      <c r="L62" s="35" t="str">
        <f>IFERROR(INDEX(PRENOTAZIONI!$L:$L,SMALL(PRENOTAZIONI!$AB:$AB,59)),"")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34" t="str">
        <f>IFERROR(INDEX(PRENOTAZIONI!$R:$R,SMALL(PRENOTAZIONI!$AB:$AB,59)),"")</f>
        <v/>
      </c>
      <c r="T62" s="77"/>
    </row>
    <row r="63" spans="1:20" ht="22" customHeight="1" x14ac:dyDescent="0.25">
      <c r="A63" s="31" t="str">
        <f>IFERROR(INDEX(PRENOTAZIONI!$A:$A,SMALL(PRENOTAZIONI!$AB:$AB,60)),"")</f>
        <v/>
      </c>
      <c r="B63" s="31" t="str">
        <f>IFERROR(INDEX(PRENOTAZIONI!$B:$B,SMALL(PRENOTAZIONI!$AB:$AB,60)),"")</f>
        <v/>
      </c>
      <c r="C63" s="32" t="str">
        <f t="shared" si="11"/>
        <v/>
      </c>
      <c r="D63" s="34" t="str">
        <f>IFERROR(INDEX(PRENOTAZIONI!$E:$E,SMALL(PRENOTAZIONI!$AB:$AB,60)),"")</f>
        <v/>
      </c>
      <c r="E63" s="34" t="str">
        <f>IFERROR(INDEX(PRENOTAZIONI!$F:$F,SMALL(PRENOTAZIONI!$AB:$AB,60)),"")</f>
        <v/>
      </c>
      <c r="F63" s="34" t="str">
        <f>IFERROR(INDEX(PRENOTAZIONI!$G:$G,SMALL(PRENOTAZIONI!$AB:$AB,60)),"")</f>
        <v/>
      </c>
      <c r="G63" s="35" t="str">
        <f>IFERROR(INDEX(PRENOTAZIONI!$H:$H,SMALL(PRENOTAZIONI!$AB:$AB,60)),"")</f>
        <v/>
      </c>
      <c r="H63" s="146" t="str">
        <f t="shared" si="12"/>
        <v/>
      </c>
      <c r="I63" s="35" t="str">
        <f t="shared" si="13"/>
        <v/>
      </c>
      <c r="J63" s="149" t="str">
        <f t="shared" si="14"/>
        <v/>
      </c>
      <c r="K63" s="34" t="str">
        <f>IFERROR(INDEX(PRENOTAZIONI!$K:$K,SMALL(PRENOTAZIONI!$AB:$AB,60)),"")</f>
        <v/>
      </c>
      <c r="L63" s="35" t="str">
        <f>IFERROR(INDEX(PRENOTAZIONI!$L:$L,SMALL(PRENOTAZIONI!$AB:$AB,60)),"")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34" t="str">
        <f>IFERROR(INDEX(PRENOTAZIONI!$R:$R,SMALL(PRENOTAZIONI!$AB:$AB,60)),"")</f>
        <v/>
      </c>
      <c r="T63" s="77"/>
    </row>
    <row r="64" spans="1:20" ht="19" customHeight="1" x14ac:dyDescent="0.25">
      <c r="T64" s="77"/>
    </row>
    <row r="65" spans="20:20" ht="19" customHeight="1" x14ac:dyDescent="0.25">
      <c r="T65" s="77"/>
    </row>
  </sheetData>
  <pageMargins left="0.75" right="0.75" top="1" bottom="1" header="0.5" footer="0.5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F75B6"/>
  </sheetPr>
  <dimension ref="A1:BH65"/>
  <sheetViews>
    <sheetView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3.1640625" bestFit="1" customWidth="1"/>
    <col min="5" max="5" width="10" customWidth="1"/>
    <col min="6" max="6" width="12.83203125" bestFit="1" customWidth="1"/>
    <col min="7" max="8" width="11" customWidth="1"/>
    <col min="9" max="9" width="12" bestFit="1" customWidth="1"/>
    <col min="10" max="10" width="13" customWidth="1"/>
    <col min="11" max="11" width="9.6640625" bestFit="1" customWidth="1"/>
    <col min="12" max="12" width="10" customWidth="1"/>
    <col min="13" max="13" width="13" customWidth="1"/>
    <col min="14" max="14" width="10" customWidth="1"/>
    <col min="15" max="15" width="20" customWidth="1"/>
    <col min="16" max="16" width="40.83203125" bestFit="1" customWidth="1"/>
    <col min="17" max="17" width="18" customWidth="1"/>
    <col min="18" max="18" width="28" customWidth="1"/>
    <col min="19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4" width="8" customWidth="1"/>
    <col min="35" max="35" width="13" customWidth="1"/>
    <col min="36" max="36" width="11" customWidth="1"/>
    <col min="37" max="37" width="10" customWidth="1"/>
    <col min="38" max="38" width="12" customWidth="1"/>
    <col min="39" max="41" width="11" customWidth="1"/>
    <col min="42" max="42" width="14.5" bestFit="1" customWidth="1"/>
  </cols>
  <sheetData>
    <row r="1" spans="1:60" ht="28" customHeight="1" thickBot="1" x14ac:dyDescent="0.3">
      <c r="A1" s="1" t="s">
        <v>297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2"/>
      <c r="T1" s="77"/>
      <c r="AF1" s="38"/>
      <c r="AG1" s="110" t="s">
        <v>298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39" t="s">
        <v>18</v>
      </c>
      <c r="S3" s="201"/>
      <c r="T3" s="83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thickBot="1" x14ac:dyDescent="0.25">
      <c r="A4" s="236">
        <f>IFERROR(INDEX(PRENOTAZIONI!$A:$A,SMALL(PRENOTAZIONI!$AC:$AC,1)),"")</f>
        <v>46207</v>
      </c>
      <c r="B4" s="237">
        <f>IFERROR(INDEX(PRENOTAZIONI!$B:$B,SMALL(PRENOTAZIONI!$AC:$AC,1)),"")</f>
        <v>46214</v>
      </c>
      <c r="C4" s="238">
        <f t="shared" ref="C4:C35" si="0">IF(A4&lt;&gt;"",B4-A4,"")</f>
        <v>7</v>
      </c>
      <c r="D4" s="239" t="str">
        <f>IFERROR(INDEX(PRENOTAZIONI!$E:$E,SMALL(PRENOTAZIONI!$AC:$AC,1)),"")</f>
        <v>Ahmad Alkhalil</v>
      </c>
      <c r="E4" s="239" t="str">
        <f>IFERROR(INDEX(PRENOTAZIONI!$F:$F,SMALL(PRENOTAZIONI!$AC:$AC,1)),"")</f>
        <v xml:space="preserve">5 ad </v>
      </c>
      <c r="F4" s="239" t="str">
        <f>IFERROR(INDEX(PRENOTAZIONI!$G:$G,SMALL(PRENOTAZIONI!$AC:$AC,1)),"")</f>
        <v>booking.com</v>
      </c>
      <c r="G4" s="240">
        <f>IFERROR(INDEX(PRENOTAZIONI!$H:$H,SMALL(PRENOTAZIONI!$AC:$AC,1)),"")</f>
        <v>933.72</v>
      </c>
      <c r="H4" s="241">
        <f t="shared" ref="H4:H35" si="1">IF(AND(G4&lt;&gt;"",C4&lt;&gt;"",C4&lt;&gt;0),G4/C4,"")</f>
        <v>133.38857142857142</v>
      </c>
      <c r="I4" s="240">
        <f t="shared" ref="I4:I35" si="2">IF(G4="","",IF(NOT(ISERROR(SEARCH("diretta",F4))),0,IF(NOT(ISERROR(SEARCH("booking",F4))),G4*0.15,IF(NOT(ISERROR(SEARCH("airbnb",F4))),G4*0.155,""))))</f>
        <v>140.05799999999999</v>
      </c>
      <c r="J4" s="242">
        <f>IF(I4&lt;&gt;"",I4*0.22,"")</f>
        <v>30.812759999999997</v>
      </c>
      <c r="K4" s="239">
        <f>IFERROR(INDEX(PRENOTAZIONI!$K:$K,SMALL(PRENOTAZIONI!$AC:$AC,1)),"")</f>
        <v>0</v>
      </c>
      <c r="L4" s="240">
        <f>IFERROR(INDEX(PRENOTAZIONI!$L:$L,SMALL(PRENOTAZIONI!$AC:$AC,1)),"")</f>
        <v>35</v>
      </c>
      <c r="M4" s="243">
        <f t="shared" ref="M4:M35" si="3">IF(G4&lt;&gt;"",G4*0.21,"")</f>
        <v>196.0812</v>
      </c>
      <c r="N4" s="240">
        <f t="shared" ref="N4:N35" si="4">IF(G4&lt;&gt;"",G4*0.25,"")</f>
        <v>233.43</v>
      </c>
      <c r="O4" s="240">
        <v>180</v>
      </c>
      <c r="P4" s="244" t="s">
        <v>373</v>
      </c>
      <c r="Q4" s="243">
        <f t="shared" ref="Q4:Q35" si="5">IF(G4&lt;&gt;"",G4-I4-J4-M4-N4-O4,"")</f>
        <v>153.33804000000003</v>
      </c>
      <c r="R4" s="239">
        <f>IFERROR(INDEX(PRENOTAZIONI!$R:$R,SMALL(PRENOTAZIONI!$AC:$AC,1)),"")</f>
        <v>0</v>
      </c>
      <c r="S4" s="245"/>
      <c r="T4" s="99" t="str">
        <f>IFERROR(INDEX(PRENOTAZIONI!$A:$A,SMALL(PRENOTAZIONI!$AQ:$AQ,1)),"")</f>
        <v/>
      </c>
      <c r="U4" s="31" t="str">
        <f>IFERROR(INDEX(PRENOTAZIONI!$B:$B,SMALL(PRENOTAZIONI!$AQ:$AQ,1)),"")</f>
        <v/>
      </c>
      <c r="V4" s="32" t="str">
        <f t="shared" ref="V4:V33" si="6">IF(T4&lt;&gt;"",U4-T4,"")</f>
        <v/>
      </c>
      <c r="W4" s="34" t="str">
        <f>IFERROR(INDEX(PRENOTAZIONI!$E:$E,SMALL(PRENOTAZIONI!$AQ:$AQ,1)),"")</f>
        <v/>
      </c>
      <c r="X4" s="34" t="str">
        <f>IFERROR(INDEX(PRENOTAZIONI!$F:$F,SMALL(PRENOTAZIONI!$AQ:$AQ,1)),"")</f>
        <v/>
      </c>
      <c r="Y4" s="35" t="str">
        <f>IFERROR(INDEX(PRENOTAZIONI!$H:$H,SMALL(PRENOTAZIONI!$AQ:$AQ,1)),"")</f>
        <v/>
      </c>
      <c r="Z4" s="34" t="str">
        <f>IFERROR(INDEX(PRENOTAZIONI!$K:$K,SMALL(PRENOTAZIONI!$AQ:$AQ,1)),"")</f>
        <v/>
      </c>
      <c r="AA4" s="34"/>
      <c r="AB4" s="34"/>
      <c r="AC4" s="40" t="str">
        <f t="shared" ref="AC4:AC33" si="7">IF(X4&lt;&gt;"",X4*0.25,"")</f>
        <v/>
      </c>
      <c r="AD4" s="41" t="str">
        <f t="shared" ref="AD4:AD33" si="8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SUMPRODUCT((MONTH(PRENOTAZIONI!$A$3:$A$262)=1)*(YEAR(PRENOTAZIONI!$A$3:$A$262)=2026)*(PRENOTAZIONI!$D$3:$D$262="Casa Nicola"))</f>
        <v>0</v>
      </c>
      <c r="AI4" s="114">
        <f>SUMPRODUCT((PRENOTAZIONI!$A$3:$A$262&lt;DATE(2026,2,1))*(PRENOTAZIONI!$B$3:$B$262&gt;DATE(2026,1,1))*(YEAR(PRENOTAZIONI!$A$3:$A$262)=2026)*(PRENOTAZIONI!$D$3:$D$262="Casa Nicola")*((PRENOTAZIONI!$B$3:$B$262*(PRENOTAZIONI!$B$3:$B$262&lt;DATE(2026,2,1))+DATE(2026,2,1)*(PRENOTAZIONI!$B$3:$B$262&gt;=DATE(2026,2,1)))-(PRENOTAZIONI!$A$3:$A$262*(PRENOTAZIONI!$A$3:$A$262&gt;DATE(2026,1,1))+DATE(2026,1,1)*(PRENOTAZIONI!$A$3:$A$262&lt;=DATE(2026,1,1)))))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x14ac:dyDescent="0.2">
      <c r="A5" s="157">
        <f>IFERROR(INDEX(PRENOTAZIONI!$A:$A,SMALL(PRENOTAZIONI!$AC:$AC,2)),"")</f>
        <v>46244</v>
      </c>
      <c r="B5" s="157">
        <f>IFERROR(INDEX(PRENOTAZIONI!$B:$B,SMALL(PRENOTAZIONI!$AC:$AC,2)),"")</f>
        <v>46255</v>
      </c>
      <c r="C5" s="158">
        <f t="shared" si="0"/>
        <v>11</v>
      </c>
      <c r="D5" s="159" t="str">
        <f>IFERROR(INDEX(PRENOTAZIONI!$E:$E,SMALL(PRENOTAZIONI!$AC:$AC,2)),"")</f>
        <v>Michele Deponti</v>
      </c>
      <c r="E5" s="159" t="str">
        <f>IFERROR(INDEX(PRENOTAZIONI!$F:$F,SMALL(PRENOTAZIONI!$AC:$AC,2)),"")</f>
        <v>2 ad</v>
      </c>
      <c r="F5" s="159" t="str">
        <f>IFERROR(INDEX(PRENOTAZIONI!$G:$G,SMALL(PRENOTAZIONI!$AC:$AC,2)),"")</f>
        <v>booking.com</v>
      </c>
      <c r="G5" s="160">
        <f>IFERROR(INDEX(PRENOTAZIONI!$H:$H,SMALL(PRENOTAZIONI!$AC:$AC,2)),"")</f>
        <v>1222.2</v>
      </c>
      <c r="H5" s="212">
        <f t="shared" si="1"/>
        <v>111.10909090909091</v>
      </c>
      <c r="I5" s="160">
        <f t="shared" si="2"/>
        <v>183.33</v>
      </c>
      <c r="J5" s="161">
        <f>IF(I5&lt;&gt;"",I5*0.22,"")</f>
        <v>40.332600000000006</v>
      </c>
      <c r="K5" s="159">
        <f>IFERROR(INDEX(PRENOTAZIONI!$K:$K,SMALL(PRENOTAZIONI!$AC:$AC,2)),"")</f>
        <v>0</v>
      </c>
      <c r="L5" s="160">
        <f>IFERROR(INDEX(PRENOTAZIONI!$L:$L,SMALL(PRENOTAZIONI!$AC:$AC,2)),"")</f>
        <v>0</v>
      </c>
      <c r="M5" s="154">
        <f t="shared" si="3"/>
        <v>256.66199999999998</v>
      </c>
      <c r="N5" s="160">
        <f t="shared" si="4"/>
        <v>305.55</v>
      </c>
      <c r="O5" s="160">
        <v>38</v>
      </c>
      <c r="P5" s="162" t="s">
        <v>371</v>
      </c>
      <c r="Q5" s="154">
        <f t="shared" si="5"/>
        <v>398.32540000000012</v>
      </c>
      <c r="R5" s="159">
        <f>IFERROR(INDEX(PRENOTAZIONI!$R:$R,SMALL(PRENOTAZIONI!$AC:$AC,2)),"")</f>
        <v>0</v>
      </c>
      <c r="S5" s="157"/>
      <c r="T5" s="80" t="str">
        <f>IFERROR(INDEX(PRENOTAZIONI!$A:$A,SMALL(PRENOTAZIONI!$AQ:$AQ,2)),"")</f>
        <v/>
      </c>
      <c r="U5" s="31" t="str">
        <f>IFERROR(INDEX(PRENOTAZIONI!$B:$B,SMALL(PRENOTAZIONI!$AQ:$AQ,2)),"")</f>
        <v/>
      </c>
      <c r="V5" s="32" t="str">
        <f t="shared" si="6"/>
        <v/>
      </c>
      <c r="W5" s="34" t="str">
        <f>IFERROR(INDEX(PRENOTAZIONI!$E:$E,SMALL(PRENOTAZIONI!$AQ:$AQ,2)),"")</f>
        <v/>
      </c>
      <c r="X5" s="34" t="str">
        <f>IFERROR(INDEX(PRENOTAZIONI!$F:$F,SMALL(PRENOTAZIONI!$AQ:$AQ,2)),"")</f>
        <v/>
      </c>
      <c r="Y5" s="35" t="str">
        <f>IFERROR(INDEX(PRENOTAZIONI!$H:$H,SMALL(PRENOTAZIONI!$AQ:$AQ,2)),"")</f>
        <v/>
      </c>
      <c r="Z5" s="34" t="str">
        <f>IFERROR(INDEX(PRENOTAZIONI!$K:$K,SMALL(PRENOTAZIONI!$AQ:$AQ,2)),"")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SUMPRODUCT((MONTH(PRENOTAZIONI!$A$3:$A$262)=2)*(YEAR(PRENOTAZIONI!$A$3:$A$262)=2026)*(PRENOTAZIONI!$D$3:$D$262="Casa Nicola"))</f>
        <v>0</v>
      </c>
      <c r="AI5" s="114">
        <f>SUMPRODUCT((PRENOTAZIONI!$A$3:$A$262&lt;DATE(2026,3,1))*(PRENOTAZIONI!$B$3:$B$262&gt;DATE(2026,2,1))*(YEAR(PRENOTAZIONI!$A$3:$A$262)=2026)*(PRENOTAZIONI!$D$3:$D$262="Casa Nicola")*((PRENOTAZIONI!$B$3:$B$262*(PRENOTAZIONI!$B$3:$B$262&lt;DATE(2026,3,1))+DATE(2026,3,1)*(PRENOTAZIONI!$B$3:$B$262&gt;=DATE(2026,3,1)))-(PRENOTAZIONI!$A$3:$A$262*(PRENOTAZIONI!$A$3:$A$262&gt;DATE(2026,2,1))+DATE(2026,2,1)*(PRENOTAZIONI!$A$3:$A$262&lt;=DATE(2026,2,1)))))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31">
        <f>IFERROR(INDEX(PRENOTAZIONI!$A:$A,SMALL(PRENOTAZIONI!$AC:$AC,3)),"")</f>
        <v>46258</v>
      </c>
      <c r="B6" s="31">
        <f>IFERROR(INDEX(PRENOTAZIONI!$B:$B,SMALL(PRENOTAZIONI!$AC:$AC,3)),"")</f>
        <v>46264</v>
      </c>
      <c r="C6" s="32">
        <f t="shared" si="0"/>
        <v>6</v>
      </c>
      <c r="D6" s="34" t="str">
        <f>IFERROR(INDEX(PRENOTAZIONI!$E:$E,SMALL(PRENOTAZIONI!$AC:$AC,3)),"")</f>
        <v>Alessandro De Ascaniis</v>
      </c>
      <c r="E6" s="34" t="str">
        <f>IFERROR(INDEX(PRENOTAZIONI!$F:$F,SMALL(PRENOTAZIONI!$AC:$AC,3)),"")</f>
        <v>3 ad</v>
      </c>
      <c r="F6" s="34" t="str">
        <f>IFERROR(INDEX(PRENOTAZIONI!$G:$G,SMALL(PRENOTAZIONI!$AC:$AC,3)),"")</f>
        <v>booking.com</v>
      </c>
      <c r="G6" s="35">
        <f>IFERROR(INDEX(PRENOTAZIONI!$H:$H,SMALL(PRENOTAZIONI!$AC:$AC,3)),"")</f>
        <v>730.8</v>
      </c>
      <c r="H6" s="146">
        <f t="shared" si="1"/>
        <v>121.8</v>
      </c>
      <c r="I6" s="35">
        <f t="shared" si="2"/>
        <v>109.61999999999999</v>
      </c>
      <c r="J6" s="149">
        <f>IF(I6&lt;&gt;"",I6*0.22,"")</f>
        <v>24.116399999999999</v>
      </c>
      <c r="K6" s="34">
        <f>IFERROR(INDEX(PRENOTAZIONI!$K:$K,SMALL(PRENOTAZIONI!$AC:$AC,3)),"")</f>
        <v>0</v>
      </c>
      <c r="L6" s="35">
        <f>IFERROR(INDEX(PRENOTAZIONI!$L:$L,SMALL(PRENOTAZIONI!$AC:$AC,3)),"")</f>
        <v>0</v>
      </c>
      <c r="M6" s="150">
        <f t="shared" si="3"/>
        <v>153.46799999999999</v>
      </c>
      <c r="N6" s="35">
        <f t="shared" si="4"/>
        <v>182.7</v>
      </c>
      <c r="O6" s="35"/>
      <c r="P6" s="43"/>
      <c r="Q6" s="150">
        <f t="shared" si="5"/>
        <v>260.8956</v>
      </c>
      <c r="R6" s="34">
        <f>IFERROR(INDEX(PRENOTAZIONI!$R:$R,SMALL(PRENOTAZIONI!$AC:$AC,3)),"")</f>
        <v>0</v>
      </c>
      <c r="S6" s="31"/>
      <c r="T6" s="80" t="str">
        <f>IFERROR(INDEX(PRENOTAZIONI!$A:$A,SMALL(PRENOTAZIONI!$AQ:$AQ,3)),"")</f>
        <v/>
      </c>
      <c r="U6" s="31" t="str">
        <f>IFERROR(INDEX(PRENOTAZIONI!$B:$B,SMALL(PRENOTAZIONI!$AQ:$AQ,3)),"")</f>
        <v/>
      </c>
      <c r="V6" s="32" t="str">
        <f t="shared" si="6"/>
        <v/>
      </c>
      <c r="W6" s="34" t="str">
        <f>IFERROR(INDEX(PRENOTAZIONI!$E:$E,SMALL(PRENOTAZIONI!$AQ:$AQ,3)),"")</f>
        <v/>
      </c>
      <c r="X6" s="34" t="str">
        <f>IFERROR(INDEX(PRENOTAZIONI!$F:$F,SMALL(PRENOTAZIONI!$AQ:$AQ,3)),"")</f>
        <v/>
      </c>
      <c r="Y6" s="35" t="str">
        <f>IFERROR(INDEX(PRENOTAZIONI!$H:$H,SMALL(PRENOTAZIONI!$AQ:$AQ,3)),"")</f>
        <v/>
      </c>
      <c r="Z6" s="34" t="str">
        <f>IFERROR(INDEX(PRENOTAZIONI!$K:$K,SMALL(PRENOTAZIONI!$AQ:$AQ,3)),"")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SUMPRODUCT((MONTH(PRENOTAZIONI!$A$3:$A$262)=3)*(YEAR(PRENOTAZIONI!$A$3:$A$262)=2026)*(PRENOTAZIONI!$D$3:$D$262="Casa Nicola"))</f>
        <v>0</v>
      </c>
      <c r="AI6" s="114">
        <f>SUMPRODUCT((PRENOTAZIONI!$A$3:$A$262&lt;DATE(2026,4,1))*(PRENOTAZIONI!$B$3:$B$262&gt;DATE(2026,3,1))*(YEAR(PRENOTAZIONI!$A$3:$A$262)=2026)*(PRENOTAZIONI!$D$3:$D$262="Casa Nicola")*((PRENOTAZIONI!$B$3:$B$262*(PRENOTAZIONI!$B$3:$B$262&lt;DATE(2026,4,1))+DATE(2026,4,1)*(PRENOTAZIONI!$B$3:$B$262&gt;=DATE(2026,4,1)))-(PRENOTAZIONI!$A$3:$A$262*(PRENOTAZIONI!$A$3:$A$262&gt;DATE(2026,3,1))+DATE(2026,3,1)*(PRENOTAZIONI!$A$3:$A$262&lt;=DATE(2026,3,1)))))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31" t="str">
        <f>IFERROR(INDEX(PRENOTAZIONI!$A:$A,SMALL(PRENOTAZIONI!$AC:$AC,4)),"")</f>
        <v/>
      </c>
      <c r="B7" s="31" t="str">
        <f>IFERROR(INDEX(PRENOTAZIONI!$B:$B,SMALL(PRENOTAZIONI!$AC:$AC,4)),"")</f>
        <v/>
      </c>
      <c r="C7" s="32" t="str">
        <f t="shared" si="0"/>
        <v/>
      </c>
      <c r="D7" s="34" t="str">
        <f>IFERROR(INDEX(PRENOTAZIONI!$E:$E,SMALL(PRENOTAZIONI!$AC:$AC,4)),"")</f>
        <v/>
      </c>
      <c r="E7" s="34" t="str">
        <f>IFERROR(INDEX(PRENOTAZIONI!$F:$F,SMALL(PRENOTAZIONI!$AC:$AC,4)),"")</f>
        <v/>
      </c>
      <c r="F7" s="34" t="str">
        <f>IFERROR(INDEX(PRENOTAZIONI!$G:$G,SMALL(PRENOTAZIONI!$AC:$AC,4)),"")</f>
        <v/>
      </c>
      <c r="G7" s="35" t="str">
        <f>IFERROR(INDEX(PRENOTAZIONI!$H:$H,SMALL(PRENOTAZIONI!$AC:$AC,4)),"")</f>
        <v/>
      </c>
      <c r="H7" s="146" t="str">
        <f t="shared" si="1"/>
        <v/>
      </c>
      <c r="I7" s="35" t="str">
        <f t="shared" si="2"/>
        <v/>
      </c>
      <c r="J7" s="149" t="str">
        <f t="shared" ref="J7:J35" si="9">IF(H7&lt;&gt;"",H7*0.22,"")</f>
        <v/>
      </c>
      <c r="K7" s="34" t="str">
        <f>IFERROR(INDEX(PRENOTAZIONI!$K:$K,SMALL(PRENOTAZIONI!$AC:$AC,4)),"")</f>
        <v/>
      </c>
      <c r="L7" s="35" t="str">
        <f>IFERROR(INDEX(PRENOTAZIONI!$L:$L,SMALL(PRENOTAZIONI!$AC:$AC,4)),"")</f>
        <v/>
      </c>
      <c r="M7" s="150" t="str">
        <f t="shared" si="3"/>
        <v/>
      </c>
      <c r="N7" s="35" t="str">
        <f t="shared" si="4"/>
        <v/>
      </c>
      <c r="O7" s="35"/>
      <c r="P7" s="43"/>
      <c r="Q7" s="150" t="str">
        <f t="shared" si="5"/>
        <v/>
      </c>
      <c r="R7" s="34" t="str">
        <f>IFERROR(INDEX(PRENOTAZIONI!$R:$R,SMALL(PRENOTAZIONI!$AC:$AC,4)),"")</f>
        <v/>
      </c>
      <c r="S7" s="31"/>
      <c r="T7" s="80" t="str">
        <f>IFERROR(INDEX(PRENOTAZIONI!$A:$A,SMALL(PRENOTAZIONI!$AQ:$AQ,4)),"")</f>
        <v/>
      </c>
      <c r="U7" s="31" t="str">
        <f>IFERROR(INDEX(PRENOTAZIONI!$B:$B,SMALL(PRENOTAZIONI!$AQ:$AQ,4)),"")</f>
        <v/>
      </c>
      <c r="V7" s="32" t="str">
        <f t="shared" si="6"/>
        <v/>
      </c>
      <c r="W7" s="34" t="str">
        <f>IFERROR(INDEX(PRENOTAZIONI!$E:$E,SMALL(PRENOTAZIONI!$AQ:$AQ,4)),"")</f>
        <v/>
      </c>
      <c r="X7" s="34" t="str">
        <f>IFERROR(INDEX(PRENOTAZIONI!$F:$F,SMALL(PRENOTAZIONI!$AQ:$AQ,4)),"")</f>
        <v/>
      </c>
      <c r="Y7" s="35" t="str">
        <f>IFERROR(INDEX(PRENOTAZIONI!$H:$H,SMALL(PRENOTAZIONI!$AQ:$AQ,4)),"")</f>
        <v/>
      </c>
      <c r="Z7" s="34" t="str">
        <f>IFERROR(INDEX(PRENOTAZIONI!$K:$K,SMALL(PRENOTAZIONI!$AQ:$AQ,4)),"")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SUMPRODUCT((MONTH(PRENOTAZIONI!$A$3:$A$262)=4)*(YEAR(PRENOTAZIONI!$A$3:$A$262)=2026)*(PRENOTAZIONI!$D$3:$D$262="Casa Nicola"))</f>
        <v>0</v>
      </c>
      <c r="AI7" s="114">
        <f>SUMPRODUCT((PRENOTAZIONI!$A$3:$A$262&lt;DATE(2026,5,1))*(PRENOTAZIONI!$B$3:$B$262&gt;DATE(2026,4,1))*(YEAR(PRENOTAZIONI!$A$3:$A$262)=2026)*(PRENOTAZIONI!$D$3:$D$262="Casa Nicola")*((PRENOTAZIONI!$B$3:$B$262*(PRENOTAZIONI!$B$3:$B$262&lt;DATE(2026,5,1))+DATE(2026,5,1)*(PRENOTAZIONI!$B$3:$B$262&gt;=DATE(2026,5,1)))-(PRENOTAZIONI!$A$3:$A$262*(PRENOTAZIONI!$A$3:$A$262&gt;DATE(2026,4,1))+DATE(2026,4,1)*(PRENOTAZIONI!$A$3:$A$262&lt;=DATE(2026,4,1)))))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 t="str">
        <f>IFERROR(INDEX(PRENOTAZIONI!$A:$A,SMALL(PRENOTAZIONI!$AC:$AC,5)),"")</f>
        <v/>
      </c>
      <c r="B8" s="31" t="str">
        <f>IFERROR(INDEX(PRENOTAZIONI!$B:$B,SMALL(PRENOTAZIONI!$AC:$AC,5)),"")</f>
        <v/>
      </c>
      <c r="C8" s="32" t="str">
        <f t="shared" si="0"/>
        <v/>
      </c>
      <c r="D8" s="34" t="str">
        <f>IFERROR(INDEX(PRENOTAZIONI!$E:$E,SMALL(PRENOTAZIONI!$AC:$AC,5)),"")</f>
        <v/>
      </c>
      <c r="E8" s="34" t="str">
        <f>IFERROR(INDEX(PRENOTAZIONI!$F:$F,SMALL(PRENOTAZIONI!$AC:$AC,5)),"")</f>
        <v/>
      </c>
      <c r="F8" s="34" t="str">
        <f>IFERROR(INDEX(PRENOTAZIONI!$G:$G,SMALL(PRENOTAZIONI!$AC:$AC,5)),"")</f>
        <v/>
      </c>
      <c r="G8" s="35" t="str">
        <f>IFERROR(INDEX(PRENOTAZIONI!$H:$H,SMALL(PRENOTAZIONI!$AC:$AC,5)),"")</f>
        <v/>
      </c>
      <c r="H8" s="146" t="str">
        <f t="shared" si="1"/>
        <v/>
      </c>
      <c r="I8" s="35" t="str">
        <f t="shared" si="2"/>
        <v/>
      </c>
      <c r="J8" s="149" t="str">
        <f t="shared" si="9"/>
        <v/>
      </c>
      <c r="K8" s="34" t="str">
        <f>IFERROR(INDEX(PRENOTAZIONI!$K:$K,SMALL(PRENOTAZIONI!$AC:$AC,5)),"")</f>
        <v/>
      </c>
      <c r="L8" s="35" t="str">
        <f>IFERROR(INDEX(PRENOTAZIONI!$L:$L,SMALL(PRENOTAZIONI!$AC:$AC,5)),"")</f>
        <v/>
      </c>
      <c r="M8" s="150" t="str">
        <f t="shared" si="3"/>
        <v/>
      </c>
      <c r="N8" s="35" t="str">
        <f t="shared" si="4"/>
        <v/>
      </c>
      <c r="O8" s="35"/>
      <c r="P8" s="43"/>
      <c r="Q8" s="150" t="str">
        <f t="shared" si="5"/>
        <v/>
      </c>
      <c r="R8" s="34" t="str">
        <f>IFERROR(INDEX(PRENOTAZIONI!$R:$R,SMALL(PRENOTAZIONI!$AC:$AC,5)),"")</f>
        <v/>
      </c>
      <c r="S8" s="31"/>
      <c r="T8" s="80" t="str">
        <f>IFERROR(INDEX(PRENOTAZIONI!$A:$A,SMALL(PRENOTAZIONI!$AQ:$AQ,5)),"")</f>
        <v/>
      </c>
      <c r="U8" s="31" t="str">
        <f>IFERROR(INDEX(PRENOTAZIONI!$B:$B,SMALL(PRENOTAZIONI!$AQ:$AQ,5)),"")</f>
        <v/>
      </c>
      <c r="V8" s="32" t="str">
        <f t="shared" si="6"/>
        <v/>
      </c>
      <c r="W8" s="34" t="str">
        <f>IFERROR(INDEX(PRENOTAZIONI!$E:$E,SMALL(PRENOTAZIONI!$AQ:$AQ,5)),"")</f>
        <v/>
      </c>
      <c r="X8" s="34" t="str">
        <f>IFERROR(INDEX(PRENOTAZIONI!$F:$F,SMALL(PRENOTAZIONI!$AQ:$AQ,5)),"")</f>
        <v/>
      </c>
      <c r="Y8" s="35" t="str">
        <f>IFERROR(INDEX(PRENOTAZIONI!$H:$H,SMALL(PRENOTAZIONI!$AQ:$AQ,5)),"")</f>
        <v/>
      </c>
      <c r="Z8" s="34" t="str">
        <f>IFERROR(INDEX(PRENOTAZIONI!$K:$K,SMALL(PRENOTAZIONI!$AQ:$AQ,5)),"")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SUMPRODUCT((MONTH(PRENOTAZIONI!$A$3:$A$262)=5)*(YEAR(PRENOTAZIONI!$A$3:$A$262)=2026)*(PRENOTAZIONI!$D$3:$D$262="Casa Nicola"))</f>
        <v>0</v>
      </c>
      <c r="AI8" s="114">
        <f>SUMPRODUCT((PRENOTAZIONI!$A$3:$A$262&lt;DATE(2026,6,1))*(PRENOTAZIONI!$B$3:$B$262&gt;DATE(2026,5,1))*(YEAR(PRENOTAZIONI!$A$3:$A$262)=2026)*(PRENOTAZIONI!$D$3:$D$262="Casa Nicola")*((PRENOTAZIONI!$B$3:$B$262*(PRENOTAZIONI!$B$3:$B$262&lt;DATE(2026,6,1))+DATE(2026,6,1)*(PRENOTAZIONI!$B$3:$B$262&gt;=DATE(2026,6,1)))-(PRENOTAZIONI!$A$3:$A$262*(PRENOTAZIONI!$A$3:$A$262&gt;DATE(2026,5,1))+DATE(2026,5,1)*(PRENOTAZIONI!$A$3:$A$262&lt;=DATE(2026,5,1)))))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IFERROR(INDEX(PRENOTAZIONI!$A:$A,SMALL(PRENOTAZIONI!$AC:$AC,6)),"")</f>
        <v/>
      </c>
      <c r="B9" s="31" t="str">
        <f>IFERROR(INDEX(PRENOTAZIONI!$B:$B,SMALL(PRENOTAZIONI!$AC:$AC,6)),"")</f>
        <v/>
      </c>
      <c r="C9" s="32" t="str">
        <f t="shared" si="0"/>
        <v/>
      </c>
      <c r="D9" s="34" t="str">
        <f>IFERROR(INDEX(PRENOTAZIONI!$E:$E,SMALL(PRENOTAZIONI!$AC:$AC,6)),"")</f>
        <v/>
      </c>
      <c r="E9" s="34" t="str">
        <f>IFERROR(INDEX(PRENOTAZIONI!$F:$F,SMALL(PRENOTAZIONI!$AC:$AC,6)),"")</f>
        <v/>
      </c>
      <c r="F9" s="34" t="str">
        <f>IFERROR(INDEX(PRENOTAZIONI!$G:$G,SMALL(PRENOTAZIONI!$AC:$AC,6)),"")</f>
        <v/>
      </c>
      <c r="G9" s="35" t="str">
        <f>IFERROR(INDEX(PRENOTAZIONI!$H:$H,SMALL(PRENOTAZIONI!$AC:$AC,6)),"")</f>
        <v/>
      </c>
      <c r="H9" s="146" t="str">
        <f t="shared" si="1"/>
        <v/>
      </c>
      <c r="I9" s="35" t="str">
        <f t="shared" si="2"/>
        <v/>
      </c>
      <c r="J9" s="149" t="str">
        <f t="shared" si="9"/>
        <v/>
      </c>
      <c r="K9" s="34" t="str">
        <f>IFERROR(INDEX(PRENOTAZIONI!$K:$K,SMALL(PRENOTAZIONI!$AC:$AC,6)),"")</f>
        <v/>
      </c>
      <c r="L9" s="35" t="str">
        <f>IFERROR(INDEX(PRENOTAZIONI!$L:$L,SMALL(PRENOTAZIONI!$AC:$AC,6)),"")</f>
        <v/>
      </c>
      <c r="M9" s="150" t="str">
        <f t="shared" si="3"/>
        <v/>
      </c>
      <c r="N9" s="35" t="str">
        <f t="shared" si="4"/>
        <v/>
      </c>
      <c r="O9" s="35"/>
      <c r="P9" s="43"/>
      <c r="Q9" s="150" t="str">
        <f t="shared" si="5"/>
        <v/>
      </c>
      <c r="R9" s="34" t="str">
        <f>IFERROR(INDEX(PRENOTAZIONI!$R:$R,SMALL(PRENOTAZIONI!$AC:$AC,6)),"")</f>
        <v/>
      </c>
      <c r="S9" s="31"/>
      <c r="T9" s="80" t="str">
        <f>IFERROR(INDEX(PRENOTAZIONI!$A:$A,SMALL(PRENOTAZIONI!$AQ:$AQ,6)),"")</f>
        <v/>
      </c>
      <c r="U9" s="31" t="str">
        <f>IFERROR(INDEX(PRENOTAZIONI!$B:$B,SMALL(PRENOTAZIONI!$AQ:$AQ,6)),"")</f>
        <v/>
      </c>
      <c r="V9" s="32" t="str">
        <f t="shared" si="6"/>
        <v/>
      </c>
      <c r="W9" s="34" t="str">
        <f>IFERROR(INDEX(PRENOTAZIONI!$E:$E,SMALL(PRENOTAZIONI!$AQ:$AQ,6)),"")</f>
        <v/>
      </c>
      <c r="X9" s="34" t="str">
        <f>IFERROR(INDEX(PRENOTAZIONI!$F:$F,SMALL(PRENOTAZIONI!$AQ:$AQ,6)),"")</f>
        <v/>
      </c>
      <c r="Y9" s="35" t="str">
        <f>IFERROR(INDEX(PRENOTAZIONI!$H:$H,SMALL(PRENOTAZIONI!$AQ:$AQ,6)),"")</f>
        <v/>
      </c>
      <c r="Z9" s="34" t="str">
        <f>IFERROR(INDEX(PRENOTAZIONI!$K:$K,SMALL(PRENOTAZIONI!$AQ:$AQ,6)),"")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SUMPRODUCT((MONTH(PRENOTAZIONI!$A$3:$A$262)=6)*(YEAR(PRENOTAZIONI!$A$3:$A$262)=2026)*(PRENOTAZIONI!$D$3:$D$262="Casa Nicola"))</f>
        <v>0</v>
      </c>
      <c r="AI9" s="114">
        <f>SUMPRODUCT((PRENOTAZIONI!$A$3:$A$262&lt;DATE(2026,7,1))*(PRENOTAZIONI!$B$3:$B$262&gt;DATE(2026,6,1))*(YEAR(PRENOTAZIONI!$A$3:$A$262)=2026)*(PRENOTAZIONI!$D$3:$D$262="Casa Nicola")*((PRENOTAZIONI!$B$3:$B$262*(PRENOTAZIONI!$B$3:$B$262&lt;DATE(2026,7,1))+DATE(2026,7,1)*(PRENOTAZIONI!$B$3:$B$262&gt;=DATE(2026,7,1)))-(PRENOTAZIONI!$A$3:$A$262*(PRENOTAZIONI!$A$3:$A$262&gt;DATE(2026,6,1))+DATE(2026,6,1)*(PRENOTAZIONI!$A$3:$A$262&lt;=DATE(2026,6,1)))))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60" ht="20" customHeight="1" x14ac:dyDescent="0.2">
      <c r="A10" s="31" t="str">
        <f>IFERROR(INDEX(PRENOTAZIONI!$A:$A,SMALL(PRENOTAZIONI!$AC:$AC,7)),"")</f>
        <v/>
      </c>
      <c r="B10" s="31" t="str">
        <f>IFERROR(INDEX(PRENOTAZIONI!$B:$B,SMALL(PRENOTAZIONI!$AC:$AC,7)),"")</f>
        <v/>
      </c>
      <c r="C10" s="32" t="str">
        <f t="shared" si="0"/>
        <v/>
      </c>
      <c r="D10" s="34" t="str">
        <f>IFERROR(INDEX(PRENOTAZIONI!$E:$E,SMALL(PRENOTAZIONI!$AC:$AC,7)),"")</f>
        <v/>
      </c>
      <c r="E10" s="34" t="str">
        <f>IFERROR(INDEX(PRENOTAZIONI!$F:$F,SMALL(PRENOTAZIONI!$AC:$AC,7)),"")</f>
        <v/>
      </c>
      <c r="F10" s="34" t="str">
        <f>IFERROR(INDEX(PRENOTAZIONI!$G:$G,SMALL(PRENOTAZIONI!$AC:$AC,7)),"")</f>
        <v/>
      </c>
      <c r="G10" s="35" t="str">
        <f>IFERROR(INDEX(PRENOTAZIONI!$H:$H,SMALL(PRENOTAZIONI!$AC:$AC,7)),"")</f>
        <v/>
      </c>
      <c r="H10" s="146" t="str">
        <f t="shared" si="1"/>
        <v/>
      </c>
      <c r="I10" s="35" t="str">
        <f t="shared" si="2"/>
        <v/>
      </c>
      <c r="J10" s="149" t="str">
        <f t="shared" si="9"/>
        <v/>
      </c>
      <c r="K10" s="34" t="str">
        <f>IFERROR(INDEX(PRENOTAZIONI!$K:$K,SMALL(PRENOTAZIONI!$AC:$AC,7)),"")</f>
        <v/>
      </c>
      <c r="L10" s="35" t="str">
        <f>IFERROR(INDEX(PRENOTAZIONI!$L:$L,SMALL(PRENOTAZIONI!$AC:$AC,7)),"")</f>
        <v/>
      </c>
      <c r="M10" s="150" t="str">
        <f t="shared" si="3"/>
        <v/>
      </c>
      <c r="N10" s="35" t="str">
        <f t="shared" si="4"/>
        <v/>
      </c>
      <c r="O10" s="35"/>
      <c r="P10" s="43"/>
      <c r="Q10" s="150" t="str">
        <f t="shared" si="5"/>
        <v/>
      </c>
      <c r="R10" s="34" t="str">
        <f>IFERROR(INDEX(PRENOTAZIONI!$R:$R,SMALL(PRENOTAZIONI!$AC:$AC,7)),"")</f>
        <v/>
      </c>
      <c r="S10" s="31"/>
      <c r="T10" s="80" t="str">
        <f>IFERROR(INDEX(PRENOTAZIONI!$A:$A,SMALL(PRENOTAZIONI!$AQ:$AQ,7)),"")</f>
        <v/>
      </c>
      <c r="U10" s="31" t="str">
        <f>IFERROR(INDEX(PRENOTAZIONI!$B:$B,SMALL(PRENOTAZIONI!$AQ:$AQ,7)),"")</f>
        <v/>
      </c>
      <c r="V10" s="32" t="str">
        <f t="shared" si="6"/>
        <v/>
      </c>
      <c r="W10" s="34" t="str">
        <f>IFERROR(INDEX(PRENOTAZIONI!$E:$E,SMALL(PRENOTAZIONI!$AQ:$AQ,7)),"")</f>
        <v/>
      </c>
      <c r="X10" s="34" t="str">
        <f>IFERROR(INDEX(PRENOTAZIONI!$F:$F,SMALL(PRENOTAZIONI!$AQ:$AQ,7)),"")</f>
        <v/>
      </c>
      <c r="Y10" s="35" t="str">
        <f>IFERROR(INDEX(PRENOTAZIONI!$H:$H,SMALL(PRENOTAZIONI!$AQ:$AQ,7)),"")</f>
        <v/>
      </c>
      <c r="Z10" s="34" t="str">
        <f>IFERROR(INDEX(PRENOTAZIONI!$K:$K,SMALL(PRENOTAZIONI!$AQ:$AQ,7)),"")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SUMPRODUCT((MONTH(PRENOTAZIONI!$A$3:$A$262)=7)*(YEAR(PRENOTAZIONI!$A$3:$A$262)=2026)*(PRENOTAZIONI!$D$3:$D$262="Casa Nicola"))</f>
        <v>1</v>
      </c>
      <c r="AI10" s="114">
        <f>SUMPRODUCT((PRENOTAZIONI!$A$3:$A$262&lt;DATE(2026,8,1))*(PRENOTAZIONI!$B$3:$B$262&gt;DATE(2026,7,1))*(YEAR(PRENOTAZIONI!$A$3:$A$262)=2026)*(PRENOTAZIONI!$D$3:$D$262="Casa Nicola")*((PRENOTAZIONI!$B$3:$B$262*(PRENOTAZIONI!$B$3:$B$262&lt;DATE(2026,8,1))+DATE(2026,8,1)*(PRENOTAZIONI!$B$3:$B$262&gt;=DATE(2026,8,1)))-(PRENOTAZIONI!$A$3:$A$262*(PRENOTAZIONI!$A$3:$A$262&gt;DATE(2026,7,1))+DATE(2026,7,1)*(PRENOTAZIONI!$A$3:$A$262&lt;=DATE(2026,7,1)))))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7</v>
      </c>
      <c r="AJ10" s="151">
        <f>SUMIF(A4:A33,"&gt;="&amp;DATE(2026,7,1),G4:G33)-SUMIF(A4:A33,"&gt;="&amp;DATE(2026,8,1),G4:G33)</f>
        <v>933.72000000000025</v>
      </c>
      <c r="AK10" s="151">
        <f>SUMIF(A4:A33,"&gt;="&amp;DATE(2026,7,1),I4:I33)-SUMIF(A4:A33,"&gt;="&amp;DATE(2026,8,1),I4:I33)</f>
        <v>140.05800000000005</v>
      </c>
      <c r="AL10" s="151">
        <f>SUMIF(A4:A33,"&gt;="&amp;DATE(2026,7,1),L4:L33)-SUMIF(A4:A33,"&gt;="&amp;DATE(2026,8,1),L4:L33)</f>
        <v>35</v>
      </c>
      <c r="AM10" s="151">
        <f>SUMIF(A4:A33,"&gt;="&amp;DATE(2026,7,1),N4:N33)-SUMIF(A4:A33,"&gt;="&amp;DATE(2026,8,1),N4:N33)</f>
        <v>233.43000000000006</v>
      </c>
      <c r="AN10" s="152">
        <f>SUMIF(A4:A33,"&gt;="&amp;DATE(2026,7,1),M4:M33)-SUMIF(A4:A33,"&gt;="&amp;DATE(2026,8,1),M4:M33)</f>
        <v>196.08119999999997</v>
      </c>
      <c r="AO10" s="152">
        <f>SUMIF(A4:A33,"&gt;="&amp;DATE(2026,7,1),J4:J33)-SUMIF(A4:A33,"&gt;="&amp;DATE(2026,8,1),J4:J33)</f>
        <v>30.812759999999997</v>
      </c>
      <c r="AP10" s="153">
        <f>SUMIF(A4:A33,"&gt;="&amp;DATE(2026,7,1),Q4:Q33)-SUMIF(A4:A33,"&gt;="&amp;DATE(2026,8,1),Q4:Q33)</f>
        <v>153.33803999999998</v>
      </c>
    </row>
    <row r="11" spans="1:60" ht="20" customHeight="1" x14ac:dyDescent="0.2">
      <c r="A11" s="31" t="str">
        <f>IFERROR(INDEX(PRENOTAZIONI!$A:$A,SMALL(PRENOTAZIONI!$AC:$AC,8)),"")</f>
        <v/>
      </c>
      <c r="B11" s="31" t="str">
        <f>IFERROR(INDEX(PRENOTAZIONI!$B:$B,SMALL(PRENOTAZIONI!$AC:$AC,8)),"")</f>
        <v/>
      </c>
      <c r="C11" s="32" t="str">
        <f t="shared" si="0"/>
        <v/>
      </c>
      <c r="D11" s="34" t="str">
        <f>IFERROR(INDEX(PRENOTAZIONI!$E:$E,SMALL(PRENOTAZIONI!$AC:$AC,8)),"")</f>
        <v/>
      </c>
      <c r="E11" s="34" t="str">
        <f>IFERROR(INDEX(PRENOTAZIONI!$F:$F,SMALL(PRENOTAZIONI!$AC:$AC,8)),"")</f>
        <v/>
      </c>
      <c r="F11" s="34" t="str">
        <f>IFERROR(INDEX(PRENOTAZIONI!$G:$G,SMALL(PRENOTAZIONI!$AC:$AC,8)),"")</f>
        <v/>
      </c>
      <c r="G11" s="35" t="str">
        <f>IFERROR(INDEX(PRENOTAZIONI!$H:$H,SMALL(PRENOTAZIONI!$AC:$AC,8)),"")</f>
        <v/>
      </c>
      <c r="H11" s="146" t="str">
        <f t="shared" si="1"/>
        <v/>
      </c>
      <c r="I11" s="35" t="str">
        <f t="shared" si="2"/>
        <v/>
      </c>
      <c r="J11" s="149" t="str">
        <f t="shared" si="9"/>
        <v/>
      </c>
      <c r="K11" s="34" t="str">
        <f>IFERROR(INDEX(PRENOTAZIONI!$K:$K,SMALL(PRENOTAZIONI!$AC:$AC,8)),"")</f>
        <v/>
      </c>
      <c r="L11" s="35" t="str">
        <f>IFERROR(INDEX(PRENOTAZIONI!$L:$L,SMALL(PRENOTAZIONI!$AC:$AC,8)),"")</f>
        <v/>
      </c>
      <c r="M11" s="150" t="str">
        <f t="shared" si="3"/>
        <v/>
      </c>
      <c r="N11" s="35" t="str">
        <f t="shared" si="4"/>
        <v/>
      </c>
      <c r="O11" s="35"/>
      <c r="P11" s="43"/>
      <c r="Q11" s="150" t="str">
        <f t="shared" si="5"/>
        <v/>
      </c>
      <c r="R11" s="34" t="str">
        <f>IFERROR(INDEX(PRENOTAZIONI!$R:$R,SMALL(PRENOTAZIONI!$AC:$AC,8)),"")</f>
        <v/>
      </c>
      <c r="S11" s="31"/>
      <c r="T11" s="80" t="str">
        <f>IFERROR(INDEX(PRENOTAZIONI!$A:$A,SMALL(PRENOTAZIONI!$AQ:$AQ,8)),"")</f>
        <v/>
      </c>
      <c r="U11" s="31" t="str">
        <f>IFERROR(INDEX(PRENOTAZIONI!$B:$B,SMALL(PRENOTAZIONI!$AQ:$AQ,8)),"")</f>
        <v/>
      </c>
      <c r="V11" s="32" t="str">
        <f t="shared" si="6"/>
        <v/>
      </c>
      <c r="W11" s="34" t="str">
        <f>IFERROR(INDEX(PRENOTAZIONI!$E:$E,SMALL(PRENOTAZIONI!$AQ:$AQ,8)),"")</f>
        <v/>
      </c>
      <c r="X11" s="34" t="str">
        <f>IFERROR(INDEX(PRENOTAZIONI!$F:$F,SMALL(PRENOTAZIONI!$AQ:$AQ,8)),"")</f>
        <v/>
      </c>
      <c r="Y11" s="35" t="str">
        <f>IFERROR(INDEX(PRENOTAZIONI!$H:$H,SMALL(PRENOTAZIONI!$AQ:$AQ,8)),"")</f>
        <v/>
      </c>
      <c r="Z11" s="34" t="str">
        <f>IFERROR(INDEX(PRENOTAZIONI!$K:$K,SMALL(PRENOTAZIONI!$AQ:$AQ,8)),"")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SUMPRODUCT((MONTH(PRENOTAZIONI!$A$3:$A$262)=8)*(YEAR(PRENOTAZIONI!$A$3:$A$262)=2026)*(PRENOTAZIONI!$D$3:$D$262="Casa Nicola"))</f>
        <v>2</v>
      </c>
      <c r="AI11" s="114">
        <f>SUMPRODUCT((PRENOTAZIONI!$A$3:$A$262&lt;DATE(2026,9,1))*(PRENOTAZIONI!$B$3:$B$262&gt;DATE(2026,8,1))*(YEAR(PRENOTAZIONI!$A$3:$A$262)=2026)*(PRENOTAZIONI!$D$3:$D$262="Casa Nicola")*((PRENOTAZIONI!$B$3:$B$262*(PRENOTAZIONI!$B$3:$B$262&lt;DATE(2026,9,1))+DATE(2026,9,1)*(PRENOTAZIONI!$B$3:$B$262&gt;=DATE(2026,9,1)))-(PRENOTAZIONI!$A$3:$A$262*(PRENOTAZIONI!$A$3:$A$262&gt;DATE(2026,8,1))+DATE(2026,8,1)*(PRENOTAZIONI!$A$3:$A$262&lt;=DATE(2026,8,1)))))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17</v>
      </c>
      <c r="AJ11" s="151">
        <f>SUMIF(A4:A33,"&gt;="&amp;DATE(2026,8,1),G4:G33)-SUMIF(A4:A33,"&gt;="&amp;DATE(2026,9,1),G4:G33)</f>
        <v>1953</v>
      </c>
      <c r="AK11" s="151">
        <f>SUMIF(A4:A33,"&gt;="&amp;DATE(2026,8,1),I4:I33)-SUMIF(A4:A33,"&gt;="&amp;DATE(2026,9,1),I4:I33)</f>
        <v>292.95</v>
      </c>
      <c r="AL11" s="151">
        <f>SUMIF(A4:A33,"&gt;="&amp;DATE(2026,8,1),L4:L33)-SUMIF(A4:A33,"&gt;="&amp;DATE(2026,9,1),L4:L33)</f>
        <v>0</v>
      </c>
      <c r="AM11" s="151">
        <f>SUMIF(A4:A33,"&gt;="&amp;DATE(2026,8,1),N4:N33)-SUMIF(A4:A33,"&gt;="&amp;DATE(2026,9,1),N4:N33)</f>
        <v>488.25</v>
      </c>
      <c r="AN11" s="152">
        <f>SUMIF(A4:A33,"&gt;="&amp;DATE(2026,8,1),M4:M33)-SUMIF(A4:A33,"&gt;="&amp;DATE(2026,9,1),M4:M33)</f>
        <v>410.13</v>
      </c>
      <c r="AO11" s="152">
        <f>SUMIF(A4:A33,"&gt;="&amp;DATE(2026,8,1),J4:J33)-SUMIF(A4:A33,"&gt;="&amp;DATE(2026,9,1),J4:J33)</f>
        <v>64.449000000000012</v>
      </c>
      <c r="AP11" s="153">
        <f>SUMIF(A4:A33,"&gt;="&amp;DATE(2026,8,1),Q4:Q33)-SUMIF(A4:A33,"&gt;="&amp;DATE(2026,9,1),Q4:Q33)</f>
        <v>659.22100000000012</v>
      </c>
    </row>
    <row r="12" spans="1:60" ht="20" customHeight="1" x14ac:dyDescent="0.2">
      <c r="A12" s="31" t="str">
        <f>IFERROR(INDEX(PRENOTAZIONI!$A:$A,SMALL(PRENOTAZIONI!$AC:$AC,9)),"")</f>
        <v/>
      </c>
      <c r="B12" s="31" t="str">
        <f>IFERROR(INDEX(PRENOTAZIONI!$B:$B,SMALL(PRENOTAZIONI!$AC:$AC,9)),"")</f>
        <v/>
      </c>
      <c r="C12" s="32" t="str">
        <f t="shared" si="0"/>
        <v/>
      </c>
      <c r="D12" s="34" t="str">
        <f>IFERROR(INDEX(PRENOTAZIONI!$E:$E,SMALL(PRENOTAZIONI!$AC:$AC,9)),"")</f>
        <v/>
      </c>
      <c r="E12" s="34" t="str">
        <f>IFERROR(INDEX(PRENOTAZIONI!$F:$F,SMALL(PRENOTAZIONI!$AC:$AC,9)),"")</f>
        <v/>
      </c>
      <c r="F12" s="34" t="str">
        <f>IFERROR(INDEX(PRENOTAZIONI!$G:$G,SMALL(PRENOTAZIONI!$AC:$AC,9)),"")</f>
        <v/>
      </c>
      <c r="G12" s="35" t="str">
        <f>IFERROR(INDEX(PRENOTAZIONI!$H:$H,SMALL(PRENOTAZIONI!$AC:$AC,9)),"")</f>
        <v/>
      </c>
      <c r="H12" s="146" t="str">
        <f t="shared" si="1"/>
        <v/>
      </c>
      <c r="I12" s="35" t="str">
        <f t="shared" si="2"/>
        <v/>
      </c>
      <c r="J12" s="149" t="str">
        <f t="shared" si="9"/>
        <v/>
      </c>
      <c r="K12" s="34" t="str">
        <f>IFERROR(INDEX(PRENOTAZIONI!$K:$K,SMALL(PRENOTAZIONI!$AC:$AC,9)),"")</f>
        <v/>
      </c>
      <c r="L12" s="35" t="str">
        <f>IFERROR(INDEX(PRENOTAZIONI!$L:$L,SMALL(PRENOTAZIONI!$AC:$AC,9)),"")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34" t="str">
        <f>IFERROR(INDEX(PRENOTAZIONI!$R:$R,SMALL(PRENOTAZIONI!$AC:$AC,9)),"")</f>
        <v/>
      </c>
      <c r="S12" s="31"/>
      <c r="T12" s="80" t="str">
        <f>IFERROR(INDEX(PRENOTAZIONI!$A:$A,SMALL(PRENOTAZIONI!$AQ:$AQ,9)),"")</f>
        <v/>
      </c>
      <c r="U12" s="31" t="str">
        <f>IFERROR(INDEX(PRENOTAZIONI!$B:$B,SMALL(PRENOTAZIONI!$AQ:$AQ,9)),"")</f>
        <v/>
      </c>
      <c r="V12" s="32" t="str">
        <f t="shared" si="6"/>
        <v/>
      </c>
      <c r="W12" s="34" t="str">
        <f>IFERROR(INDEX(PRENOTAZIONI!$E:$E,SMALL(PRENOTAZIONI!$AQ:$AQ,9)),"")</f>
        <v/>
      </c>
      <c r="X12" s="34" t="str">
        <f>IFERROR(INDEX(PRENOTAZIONI!$F:$F,SMALL(PRENOTAZIONI!$AQ:$AQ,9)),"")</f>
        <v/>
      </c>
      <c r="Y12" s="35" t="str">
        <f>IFERROR(INDEX(PRENOTAZIONI!$H:$H,SMALL(PRENOTAZIONI!$AQ:$AQ,9)),"")</f>
        <v/>
      </c>
      <c r="Z12" s="34" t="str">
        <f>IFERROR(INDEX(PRENOTAZIONI!$K:$K,SMALL(PRENOTAZIONI!$AQ:$AQ,9)),"")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SUMPRODUCT((MONTH(PRENOTAZIONI!$A$3:$A$262)=9)*(YEAR(PRENOTAZIONI!$A$3:$A$262)=2026)*(PRENOTAZIONI!$D$3:$D$262="Casa Nicola"))</f>
        <v>0</v>
      </c>
      <c r="AI12" s="114">
        <f>SUMPRODUCT((PRENOTAZIONI!$A$3:$A$262&lt;DATE(2026,10,1))*(PRENOTAZIONI!$B$3:$B$262&gt;DATE(2026,9,1))*(YEAR(PRENOTAZIONI!$A$3:$A$262)=2026)*(PRENOTAZIONI!$D$3:$D$262="Casa Nicol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IFERROR(INDEX(PRENOTAZIONI!$A:$A,SMALL(PRENOTAZIONI!$AC:$AC,10)),"")</f>
        <v/>
      </c>
      <c r="B13" s="31" t="str">
        <f>IFERROR(INDEX(PRENOTAZIONI!$B:$B,SMALL(PRENOTAZIONI!$AC:$AC,10)),"")</f>
        <v/>
      </c>
      <c r="C13" s="32" t="str">
        <f t="shared" si="0"/>
        <v/>
      </c>
      <c r="D13" s="34" t="str">
        <f>IFERROR(INDEX(PRENOTAZIONI!$E:$E,SMALL(PRENOTAZIONI!$AC:$AC,10)),"")</f>
        <v/>
      </c>
      <c r="E13" s="34" t="str">
        <f>IFERROR(INDEX(PRENOTAZIONI!$F:$F,SMALL(PRENOTAZIONI!$AC:$AC,10)),"")</f>
        <v/>
      </c>
      <c r="F13" s="34" t="str">
        <f>IFERROR(INDEX(PRENOTAZIONI!$G:$G,SMALL(PRENOTAZIONI!$AC:$AC,10)),"")</f>
        <v/>
      </c>
      <c r="G13" s="35" t="str">
        <f>IFERROR(INDEX(PRENOTAZIONI!$H:$H,SMALL(PRENOTAZIONI!$AC:$AC,10)),"")</f>
        <v/>
      </c>
      <c r="H13" s="146" t="str">
        <f t="shared" si="1"/>
        <v/>
      </c>
      <c r="I13" s="35" t="str">
        <f t="shared" si="2"/>
        <v/>
      </c>
      <c r="J13" s="149" t="str">
        <f t="shared" si="9"/>
        <v/>
      </c>
      <c r="K13" s="34" t="str">
        <f>IFERROR(INDEX(PRENOTAZIONI!$K:$K,SMALL(PRENOTAZIONI!$AC:$AC,10)),"")</f>
        <v/>
      </c>
      <c r="L13" s="35" t="str">
        <f>IFERROR(INDEX(PRENOTAZIONI!$L:$L,SMALL(PRENOTAZIONI!$AC:$AC,10)),"")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34" t="str">
        <f>IFERROR(INDEX(PRENOTAZIONI!$R:$R,SMALL(PRENOTAZIONI!$AC:$AC,10)),"")</f>
        <v/>
      </c>
      <c r="S13" s="31"/>
      <c r="T13" s="80" t="str">
        <f>IFERROR(INDEX(PRENOTAZIONI!$A:$A,SMALL(PRENOTAZIONI!$AQ:$AQ,10)),"")</f>
        <v/>
      </c>
      <c r="U13" s="31" t="str">
        <f>IFERROR(INDEX(PRENOTAZIONI!$B:$B,SMALL(PRENOTAZIONI!$AQ:$AQ,10)),"")</f>
        <v/>
      </c>
      <c r="V13" s="32" t="str">
        <f t="shared" si="6"/>
        <v/>
      </c>
      <c r="W13" s="34" t="str">
        <f>IFERROR(INDEX(PRENOTAZIONI!$E:$E,SMALL(PRENOTAZIONI!$AQ:$AQ,10)),"")</f>
        <v/>
      </c>
      <c r="X13" s="34" t="str">
        <f>IFERROR(INDEX(PRENOTAZIONI!$F:$F,SMALL(PRENOTAZIONI!$AQ:$AQ,10)),"")</f>
        <v/>
      </c>
      <c r="Y13" s="35" t="str">
        <f>IFERROR(INDEX(PRENOTAZIONI!$H:$H,SMALL(PRENOTAZIONI!$AQ:$AQ,10)),"")</f>
        <v/>
      </c>
      <c r="Z13" s="34" t="str">
        <f>IFERROR(INDEX(PRENOTAZIONI!$K:$K,SMALL(PRENOTAZIONI!$AQ:$AQ,10)),"")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SUMPRODUCT((MONTH(PRENOTAZIONI!$A$3:$A$262)=10)*(YEAR(PRENOTAZIONI!$A$3:$A$262)=2026)*(PRENOTAZIONI!$D$3:$D$262="Casa Nicola"))</f>
        <v>0</v>
      </c>
      <c r="AI13" s="114">
        <f>SUMPRODUCT((PRENOTAZIONI!$A$3:$A$262&lt;DATE(2026,11,1))*(PRENOTAZIONI!$B$3:$B$262&gt;DATE(2026,10,1))*(YEAR(PRENOTAZIONI!$A$3:$A$262)=2026)*(PRENOTAZIONI!$D$3:$D$262="Casa Nicol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IFERROR(INDEX(PRENOTAZIONI!$A:$A,SMALL(PRENOTAZIONI!$AC:$AC,11)),"")</f>
        <v/>
      </c>
      <c r="B14" s="31" t="str">
        <f>IFERROR(INDEX(PRENOTAZIONI!$B:$B,SMALL(PRENOTAZIONI!$AC:$AC,11)),"")</f>
        <v/>
      </c>
      <c r="C14" s="32" t="str">
        <f t="shared" si="0"/>
        <v/>
      </c>
      <c r="D14" s="34" t="str">
        <f>IFERROR(INDEX(PRENOTAZIONI!$E:$E,SMALL(PRENOTAZIONI!$AC:$AC,11)),"")</f>
        <v/>
      </c>
      <c r="E14" s="34" t="str">
        <f>IFERROR(INDEX(PRENOTAZIONI!$F:$F,SMALL(PRENOTAZIONI!$AC:$AC,11)),"")</f>
        <v/>
      </c>
      <c r="F14" s="34" t="str">
        <f>IFERROR(INDEX(PRENOTAZIONI!$G:$G,SMALL(PRENOTAZIONI!$AC:$AC,11)),"")</f>
        <v/>
      </c>
      <c r="G14" s="35" t="str">
        <f>IFERROR(INDEX(PRENOTAZIONI!$H:$H,SMALL(PRENOTAZIONI!$AC:$AC,11)),"")</f>
        <v/>
      </c>
      <c r="H14" s="146" t="str">
        <f t="shared" si="1"/>
        <v/>
      </c>
      <c r="I14" s="35" t="str">
        <f t="shared" si="2"/>
        <v/>
      </c>
      <c r="J14" s="149" t="str">
        <f t="shared" si="9"/>
        <v/>
      </c>
      <c r="K14" s="34" t="str">
        <f>IFERROR(INDEX(PRENOTAZIONI!$K:$K,SMALL(PRENOTAZIONI!$AC:$AC,11)),"")</f>
        <v/>
      </c>
      <c r="L14" s="35" t="str">
        <f>IFERROR(INDEX(PRENOTAZIONI!$L:$L,SMALL(PRENOTAZIONI!$AC:$AC,11)),"")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34" t="str">
        <f>IFERROR(INDEX(PRENOTAZIONI!$R:$R,SMALL(PRENOTAZIONI!$AC:$AC,11)),"")</f>
        <v/>
      </c>
      <c r="S14" s="31"/>
      <c r="T14" s="80" t="str">
        <f>IFERROR(INDEX(PRENOTAZIONI!$A:$A,SMALL(PRENOTAZIONI!$AQ:$AQ,11)),"")</f>
        <v/>
      </c>
      <c r="U14" s="31" t="str">
        <f>IFERROR(INDEX(PRENOTAZIONI!$B:$B,SMALL(PRENOTAZIONI!$AQ:$AQ,11)),"")</f>
        <v/>
      </c>
      <c r="V14" s="32" t="str">
        <f t="shared" si="6"/>
        <v/>
      </c>
      <c r="W14" s="34" t="str">
        <f>IFERROR(INDEX(PRENOTAZIONI!$E:$E,SMALL(PRENOTAZIONI!$AQ:$AQ,11)),"")</f>
        <v/>
      </c>
      <c r="X14" s="34" t="str">
        <f>IFERROR(INDEX(PRENOTAZIONI!$F:$F,SMALL(PRENOTAZIONI!$AQ:$AQ,11)),"")</f>
        <v/>
      </c>
      <c r="Y14" s="35" t="str">
        <f>IFERROR(INDEX(PRENOTAZIONI!$H:$H,SMALL(PRENOTAZIONI!$AQ:$AQ,11)),"")</f>
        <v/>
      </c>
      <c r="Z14" s="34" t="str">
        <f>IFERROR(INDEX(PRENOTAZIONI!$K:$K,SMALL(PRENOTAZIONI!$AQ:$AQ,11)),"")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SUMPRODUCT((MONTH(PRENOTAZIONI!$A$3:$A$262)=11)*(YEAR(PRENOTAZIONI!$A$3:$A$262)=2026)*(PRENOTAZIONI!$D$3:$D$262="Casa Nicola"))</f>
        <v>0</v>
      </c>
      <c r="AI14" s="114">
        <f>SUMPRODUCT((PRENOTAZIONI!$A$3:$A$262&lt;DATE(2026,12,1))*(PRENOTAZIONI!$B$3:$B$262&gt;DATE(2026,11,1))*(YEAR(PRENOTAZIONI!$A$3:$A$262)=2026)*(PRENOTAZIONI!$D$3:$D$262="Casa Nicol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IFERROR(INDEX(PRENOTAZIONI!$A:$A,SMALL(PRENOTAZIONI!$AC:$AC,12)),"")</f>
        <v/>
      </c>
      <c r="B15" s="31" t="str">
        <f>IFERROR(INDEX(PRENOTAZIONI!$B:$B,SMALL(PRENOTAZIONI!$AC:$AC,12)),"")</f>
        <v/>
      </c>
      <c r="C15" s="32" t="str">
        <f t="shared" si="0"/>
        <v/>
      </c>
      <c r="D15" s="34" t="str">
        <f>IFERROR(INDEX(PRENOTAZIONI!$E:$E,SMALL(PRENOTAZIONI!$AC:$AC,12)),"")</f>
        <v/>
      </c>
      <c r="E15" s="34" t="str">
        <f>IFERROR(INDEX(PRENOTAZIONI!$F:$F,SMALL(PRENOTAZIONI!$AC:$AC,12)),"")</f>
        <v/>
      </c>
      <c r="F15" s="34" t="str">
        <f>IFERROR(INDEX(PRENOTAZIONI!$G:$G,SMALL(PRENOTAZIONI!$AC:$AC,12)),"")</f>
        <v/>
      </c>
      <c r="G15" s="35" t="str">
        <f>IFERROR(INDEX(PRENOTAZIONI!$H:$H,SMALL(PRENOTAZIONI!$AC:$AC,12)),"")</f>
        <v/>
      </c>
      <c r="H15" s="146" t="str">
        <f t="shared" si="1"/>
        <v/>
      </c>
      <c r="I15" s="35" t="str">
        <f t="shared" si="2"/>
        <v/>
      </c>
      <c r="J15" s="149" t="str">
        <f t="shared" si="9"/>
        <v/>
      </c>
      <c r="K15" s="34" t="str">
        <f>IFERROR(INDEX(PRENOTAZIONI!$K:$K,SMALL(PRENOTAZIONI!$AC:$AC,12)),"")</f>
        <v/>
      </c>
      <c r="L15" s="35" t="str">
        <f>IFERROR(INDEX(PRENOTAZIONI!$L:$L,SMALL(PRENOTAZIONI!$AC:$AC,12)),"")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34" t="str">
        <f>IFERROR(INDEX(PRENOTAZIONI!$R:$R,SMALL(PRENOTAZIONI!$AC:$AC,12)),"")</f>
        <v/>
      </c>
      <c r="S15" s="31"/>
      <c r="T15" s="80" t="str">
        <f>IFERROR(INDEX(PRENOTAZIONI!$A:$A,SMALL(PRENOTAZIONI!$AQ:$AQ,12)),"")</f>
        <v/>
      </c>
      <c r="U15" s="31" t="str">
        <f>IFERROR(INDEX(PRENOTAZIONI!$B:$B,SMALL(PRENOTAZIONI!$AQ:$AQ,12)),"")</f>
        <v/>
      </c>
      <c r="V15" s="32" t="str">
        <f t="shared" si="6"/>
        <v/>
      </c>
      <c r="W15" s="34" t="str">
        <f>IFERROR(INDEX(PRENOTAZIONI!$E:$E,SMALL(PRENOTAZIONI!$AQ:$AQ,12)),"")</f>
        <v/>
      </c>
      <c r="X15" s="34" t="str">
        <f>IFERROR(INDEX(PRENOTAZIONI!$F:$F,SMALL(PRENOTAZIONI!$AQ:$AQ,12)),"")</f>
        <v/>
      </c>
      <c r="Y15" s="35" t="str">
        <f>IFERROR(INDEX(PRENOTAZIONI!$H:$H,SMALL(PRENOTAZIONI!$AQ:$AQ,12)),"")</f>
        <v/>
      </c>
      <c r="Z15" s="34" t="str">
        <f>IFERROR(INDEX(PRENOTAZIONI!$K:$K,SMALL(PRENOTAZIONI!$AQ:$AQ,12)),"")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SUMPRODUCT((MONTH(PRENOTAZIONI!$A$3:$A$262)=12)*(YEAR(PRENOTAZIONI!$A$3:$A$262)=2026)*(PRENOTAZIONI!$D$3:$D$262="Casa Nicola"))</f>
        <v>0</v>
      </c>
      <c r="AI15" s="114">
        <f>SUMPRODUCT((PRENOTAZIONI!$A$3:$A$262&lt;DATE(2027,1,1))*(PRENOTAZIONI!$B$3:$B$262&gt;DATE(2026,12,1))*(YEAR(PRENOTAZIONI!$A$3:$A$262)=2026)*(PRENOTAZIONI!$D$3:$D$262="Casa Nicol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IFERROR(INDEX(PRENOTAZIONI!$A:$A,SMALL(PRENOTAZIONI!$AC:$AC,13)),"")</f>
        <v/>
      </c>
      <c r="B16" s="31" t="str">
        <f>IFERROR(INDEX(PRENOTAZIONI!$B:$B,SMALL(PRENOTAZIONI!$AC:$AC,13)),"")</f>
        <v/>
      </c>
      <c r="C16" s="32" t="str">
        <f t="shared" si="0"/>
        <v/>
      </c>
      <c r="D16" s="34" t="str">
        <f>IFERROR(INDEX(PRENOTAZIONI!$E:$E,SMALL(PRENOTAZIONI!$AC:$AC,13)),"")</f>
        <v/>
      </c>
      <c r="E16" s="34" t="str">
        <f>IFERROR(INDEX(PRENOTAZIONI!$F:$F,SMALL(PRENOTAZIONI!$AC:$AC,13)),"")</f>
        <v/>
      </c>
      <c r="F16" s="34" t="str">
        <f>IFERROR(INDEX(PRENOTAZIONI!$G:$G,SMALL(PRENOTAZIONI!$AC:$AC,13)),"")</f>
        <v/>
      </c>
      <c r="G16" s="35" t="str">
        <f>IFERROR(INDEX(PRENOTAZIONI!$H:$H,SMALL(PRENOTAZIONI!$AC:$AC,13)),"")</f>
        <v/>
      </c>
      <c r="H16" s="146" t="str">
        <f t="shared" si="1"/>
        <v/>
      </c>
      <c r="I16" s="35" t="str">
        <f t="shared" si="2"/>
        <v/>
      </c>
      <c r="J16" s="149" t="str">
        <f t="shared" si="9"/>
        <v/>
      </c>
      <c r="K16" s="34" t="str">
        <f>IFERROR(INDEX(PRENOTAZIONI!$K:$K,SMALL(PRENOTAZIONI!$AC:$AC,13)),"")</f>
        <v/>
      </c>
      <c r="L16" s="35" t="str">
        <f>IFERROR(INDEX(PRENOTAZIONI!$L:$L,SMALL(PRENOTAZIONI!$AC:$AC,13)),"")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34" t="str">
        <f>IFERROR(INDEX(PRENOTAZIONI!$R:$R,SMALL(PRENOTAZIONI!$AC:$AC,13)),"")</f>
        <v/>
      </c>
      <c r="S16" s="31"/>
      <c r="T16" s="80" t="str">
        <f>IFERROR(INDEX(PRENOTAZIONI!$A:$A,SMALL(PRENOTAZIONI!$AQ:$AQ,13)),"")</f>
        <v/>
      </c>
      <c r="U16" s="31" t="str">
        <f>IFERROR(INDEX(PRENOTAZIONI!$B:$B,SMALL(PRENOTAZIONI!$AQ:$AQ,13)),"")</f>
        <v/>
      </c>
      <c r="V16" s="32" t="str">
        <f t="shared" si="6"/>
        <v/>
      </c>
      <c r="W16" s="34" t="str">
        <f>IFERROR(INDEX(PRENOTAZIONI!$E:$E,SMALL(PRENOTAZIONI!$AQ:$AQ,13)),"")</f>
        <v/>
      </c>
      <c r="X16" s="34" t="str">
        <f>IFERROR(INDEX(PRENOTAZIONI!$F:$F,SMALL(PRENOTAZIONI!$AQ:$AQ,13)),"")</f>
        <v/>
      </c>
      <c r="Y16" s="35" t="str">
        <f>IFERROR(INDEX(PRENOTAZIONI!$H:$H,SMALL(PRENOTAZIONI!$AQ:$AQ,13)),"")</f>
        <v/>
      </c>
      <c r="Z16" s="34" t="str">
        <f>IFERROR(INDEX(PRENOTAZIONI!$K:$K,SMALL(PRENOTAZIONI!$AQ:$AQ,13)),"")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3</v>
      </c>
      <c r="AI16" s="116">
        <f t="shared" si="10"/>
        <v>24</v>
      </c>
      <c r="AJ16" s="116">
        <f t="shared" si="10"/>
        <v>2886.7200000000003</v>
      </c>
      <c r="AK16" s="116">
        <f t="shared" si="10"/>
        <v>433.00800000000004</v>
      </c>
      <c r="AL16" s="116">
        <f t="shared" si="10"/>
        <v>35</v>
      </c>
      <c r="AM16" s="116">
        <f t="shared" si="10"/>
        <v>721.68000000000006</v>
      </c>
      <c r="AN16" s="116">
        <f t="shared" si="10"/>
        <v>606.21119999999996</v>
      </c>
      <c r="AO16" s="117">
        <f t="shared" si="10"/>
        <v>95.26176000000001</v>
      </c>
      <c r="AP16" s="117">
        <f t="shared" si="10"/>
        <v>812.5590400000001</v>
      </c>
    </row>
    <row r="17" spans="1:42" ht="22" customHeight="1" x14ac:dyDescent="0.2">
      <c r="A17" s="31" t="str">
        <f>IFERROR(INDEX(PRENOTAZIONI!$A:$A,SMALL(PRENOTAZIONI!$AC:$AC,14)),"")</f>
        <v/>
      </c>
      <c r="B17" s="31" t="str">
        <f>IFERROR(INDEX(PRENOTAZIONI!$B:$B,SMALL(PRENOTAZIONI!$AC:$AC,14)),"")</f>
        <v/>
      </c>
      <c r="C17" s="32" t="str">
        <f t="shared" si="0"/>
        <v/>
      </c>
      <c r="D17" s="34" t="str">
        <f>IFERROR(INDEX(PRENOTAZIONI!$E:$E,SMALL(PRENOTAZIONI!$AC:$AC,14)),"")</f>
        <v/>
      </c>
      <c r="E17" s="34" t="str">
        <f>IFERROR(INDEX(PRENOTAZIONI!$F:$F,SMALL(PRENOTAZIONI!$AC:$AC,14)),"")</f>
        <v/>
      </c>
      <c r="F17" s="34" t="str">
        <f>IFERROR(INDEX(PRENOTAZIONI!$G:$G,SMALL(PRENOTAZIONI!$AC:$AC,14)),"")</f>
        <v/>
      </c>
      <c r="G17" s="35" t="str">
        <f>IFERROR(INDEX(PRENOTAZIONI!$H:$H,SMALL(PRENOTAZIONI!$AC:$AC,14)),"")</f>
        <v/>
      </c>
      <c r="H17" s="146" t="str">
        <f t="shared" si="1"/>
        <v/>
      </c>
      <c r="I17" s="35" t="str">
        <f t="shared" si="2"/>
        <v/>
      </c>
      <c r="J17" s="149" t="str">
        <f t="shared" si="9"/>
        <v/>
      </c>
      <c r="K17" s="34" t="str">
        <f>IFERROR(INDEX(PRENOTAZIONI!$K:$K,SMALL(PRENOTAZIONI!$AC:$AC,14)),"")</f>
        <v/>
      </c>
      <c r="L17" s="35" t="str">
        <f>IFERROR(INDEX(PRENOTAZIONI!$L:$L,SMALL(PRENOTAZIONI!$AC:$AC,14)),"")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34" t="str">
        <f>IFERROR(INDEX(PRENOTAZIONI!$R:$R,SMALL(PRENOTAZIONI!$AC:$AC,14)),"")</f>
        <v/>
      </c>
      <c r="S17" s="31"/>
      <c r="T17" s="80" t="str">
        <f>IFERROR(INDEX(PRENOTAZIONI!$A:$A,SMALL(PRENOTAZIONI!$AQ:$AQ,14)),"")</f>
        <v/>
      </c>
      <c r="U17" s="31" t="str">
        <f>IFERROR(INDEX(PRENOTAZIONI!$B:$B,SMALL(PRENOTAZIONI!$AQ:$AQ,14)),"")</f>
        <v/>
      </c>
      <c r="V17" s="32" t="str">
        <f t="shared" si="6"/>
        <v/>
      </c>
      <c r="W17" s="34" t="str">
        <f>IFERROR(INDEX(PRENOTAZIONI!$E:$E,SMALL(PRENOTAZIONI!$AQ:$AQ,14)),"")</f>
        <v/>
      </c>
      <c r="X17" s="34" t="str">
        <f>IFERROR(INDEX(PRENOTAZIONI!$F:$F,SMALL(PRENOTAZIONI!$AQ:$AQ,14)),"")</f>
        <v/>
      </c>
      <c r="Y17" s="35" t="str">
        <f>IFERROR(INDEX(PRENOTAZIONI!$H:$H,SMALL(PRENOTAZIONI!$AQ:$AQ,14)),"")</f>
        <v/>
      </c>
      <c r="Z17" s="34" t="str">
        <f>IFERROR(INDEX(PRENOTAZIONI!$K:$K,SMALL(PRENOTAZIONI!$AQ:$AQ,14)),"")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IFERROR(INDEX(PRENOTAZIONI!$A:$A,SMALL(PRENOTAZIONI!$AC:$AC,15)),"")</f>
        <v/>
      </c>
      <c r="B18" s="31" t="str">
        <f>IFERROR(INDEX(PRENOTAZIONI!$B:$B,SMALL(PRENOTAZIONI!$AC:$AC,15)),"")</f>
        <v/>
      </c>
      <c r="C18" s="32" t="str">
        <f t="shared" si="0"/>
        <v/>
      </c>
      <c r="D18" s="34" t="str">
        <f>IFERROR(INDEX(PRENOTAZIONI!$E:$E,SMALL(PRENOTAZIONI!$AC:$AC,15)),"")</f>
        <v/>
      </c>
      <c r="E18" s="34" t="str">
        <f>IFERROR(INDEX(PRENOTAZIONI!$F:$F,SMALL(PRENOTAZIONI!$AC:$AC,15)),"")</f>
        <v/>
      </c>
      <c r="F18" s="34" t="str">
        <f>IFERROR(INDEX(PRENOTAZIONI!$G:$G,SMALL(PRENOTAZIONI!$AC:$AC,15)),"")</f>
        <v/>
      </c>
      <c r="G18" s="35" t="str">
        <f>IFERROR(INDEX(PRENOTAZIONI!$H:$H,SMALL(PRENOTAZIONI!$AC:$AC,15)),"")</f>
        <v/>
      </c>
      <c r="H18" s="146" t="str">
        <f t="shared" si="1"/>
        <v/>
      </c>
      <c r="I18" s="35" t="str">
        <f t="shared" si="2"/>
        <v/>
      </c>
      <c r="J18" s="149" t="str">
        <f t="shared" si="9"/>
        <v/>
      </c>
      <c r="K18" s="34" t="str">
        <f>IFERROR(INDEX(PRENOTAZIONI!$K:$K,SMALL(PRENOTAZIONI!$AC:$AC,15)),"")</f>
        <v/>
      </c>
      <c r="L18" s="35" t="str">
        <f>IFERROR(INDEX(PRENOTAZIONI!$L:$L,SMALL(PRENOTAZIONI!$AC:$AC,15)),"")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34" t="str">
        <f>IFERROR(INDEX(PRENOTAZIONI!$R:$R,SMALL(PRENOTAZIONI!$AC:$AC,15)),"")</f>
        <v/>
      </c>
      <c r="S18" s="31"/>
      <c r="T18" s="80" t="str">
        <f>IFERROR(INDEX(PRENOTAZIONI!$A:$A,SMALL(PRENOTAZIONI!$AQ:$AQ,15)),"")</f>
        <v/>
      </c>
      <c r="U18" s="31" t="str">
        <f>IFERROR(INDEX(PRENOTAZIONI!$B:$B,SMALL(PRENOTAZIONI!$AQ:$AQ,15)),"")</f>
        <v/>
      </c>
      <c r="V18" s="32" t="str">
        <f t="shared" si="6"/>
        <v/>
      </c>
      <c r="W18" s="34" t="str">
        <f>IFERROR(INDEX(PRENOTAZIONI!$E:$E,SMALL(PRENOTAZIONI!$AQ:$AQ,15)),"")</f>
        <v/>
      </c>
      <c r="X18" s="34" t="str">
        <f>IFERROR(INDEX(PRENOTAZIONI!$F:$F,SMALL(PRENOTAZIONI!$AQ:$AQ,15)),"")</f>
        <v/>
      </c>
      <c r="Y18" s="35" t="str">
        <f>IFERROR(INDEX(PRENOTAZIONI!$H:$H,SMALL(PRENOTAZIONI!$AQ:$AQ,15)),"")</f>
        <v/>
      </c>
      <c r="Z18" s="34" t="str">
        <f>IFERROR(INDEX(PRENOTAZIONI!$K:$K,SMALL(PRENOTAZIONI!$AQ:$AQ,15)),"")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IFERROR(INDEX(PRENOTAZIONI!$A:$A,SMALL(PRENOTAZIONI!$AC:$AC,16)),"")</f>
        <v/>
      </c>
      <c r="B19" s="31" t="str">
        <f>IFERROR(INDEX(PRENOTAZIONI!$B:$B,SMALL(PRENOTAZIONI!$AC:$AC,16)),"")</f>
        <v/>
      </c>
      <c r="C19" s="32" t="str">
        <f t="shared" si="0"/>
        <v/>
      </c>
      <c r="D19" s="34" t="str">
        <f>IFERROR(INDEX(PRENOTAZIONI!$E:$E,SMALL(PRENOTAZIONI!$AC:$AC,16)),"")</f>
        <v/>
      </c>
      <c r="E19" s="34" t="str">
        <f>IFERROR(INDEX(PRENOTAZIONI!$F:$F,SMALL(PRENOTAZIONI!$AC:$AC,16)),"")</f>
        <v/>
      </c>
      <c r="F19" s="34" t="str">
        <f>IFERROR(INDEX(PRENOTAZIONI!$G:$G,SMALL(PRENOTAZIONI!$AC:$AC,16)),"")</f>
        <v/>
      </c>
      <c r="G19" s="35" t="str">
        <f>IFERROR(INDEX(PRENOTAZIONI!$H:$H,SMALL(PRENOTAZIONI!$AC:$AC,16)),"")</f>
        <v/>
      </c>
      <c r="H19" s="146" t="str">
        <f t="shared" si="1"/>
        <v/>
      </c>
      <c r="I19" s="35" t="str">
        <f t="shared" si="2"/>
        <v/>
      </c>
      <c r="J19" s="149" t="str">
        <f t="shared" si="9"/>
        <v/>
      </c>
      <c r="K19" s="34" t="str">
        <f>IFERROR(INDEX(PRENOTAZIONI!$K:$K,SMALL(PRENOTAZIONI!$AC:$AC,16)),"")</f>
        <v/>
      </c>
      <c r="L19" s="35" t="str">
        <f>IFERROR(INDEX(PRENOTAZIONI!$L:$L,SMALL(PRENOTAZIONI!$AC:$AC,16)),"")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34" t="str">
        <f>IFERROR(INDEX(PRENOTAZIONI!$R:$R,SMALL(PRENOTAZIONI!$AC:$AC,16)),"")</f>
        <v/>
      </c>
      <c r="S19" s="31"/>
      <c r="T19" s="80" t="str">
        <f>IFERROR(INDEX(PRENOTAZIONI!$A:$A,SMALL(PRENOTAZIONI!$AQ:$AQ,16)),"")</f>
        <v/>
      </c>
      <c r="U19" s="31" t="str">
        <f>IFERROR(INDEX(PRENOTAZIONI!$B:$B,SMALL(PRENOTAZIONI!$AQ:$AQ,16)),"")</f>
        <v/>
      </c>
      <c r="V19" s="32" t="str">
        <f t="shared" si="6"/>
        <v/>
      </c>
      <c r="W19" s="34" t="str">
        <f>IFERROR(INDEX(PRENOTAZIONI!$E:$E,SMALL(PRENOTAZIONI!$AQ:$AQ,16)),"")</f>
        <v/>
      </c>
      <c r="X19" s="34" t="str">
        <f>IFERROR(INDEX(PRENOTAZIONI!$F:$F,SMALL(PRENOTAZIONI!$AQ:$AQ,16)),"")</f>
        <v/>
      </c>
      <c r="Y19" s="35" t="str">
        <f>IFERROR(INDEX(PRENOTAZIONI!$H:$H,SMALL(PRENOTAZIONI!$AQ:$AQ,16)),"")</f>
        <v/>
      </c>
      <c r="Z19" s="34" t="str">
        <f>IFERROR(INDEX(PRENOTAZIONI!$K:$K,SMALL(PRENOTAZIONI!$AQ:$AQ,16)),"")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IFERROR(INDEX(PRENOTAZIONI!$A:$A,SMALL(PRENOTAZIONI!$AC:$AC,17)),"")</f>
        <v/>
      </c>
      <c r="B20" s="31" t="str">
        <f>IFERROR(INDEX(PRENOTAZIONI!$B:$B,SMALL(PRENOTAZIONI!$AC:$AC,17)),"")</f>
        <v/>
      </c>
      <c r="C20" s="32" t="str">
        <f t="shared" si="0"/>
        <v/>
      </c>
      <c r="D20" s="34" t="str">
        <f>IFERROR(INDEX(PRENOTAZIONI!$E:$E,SMALL(PRENOTAZIONI!$AC:$AC,17)),"")</f>
        <v/>
      </c>
      <c r="E20" s="34" t="str">
        <f>IFERROR(INDEX(PRENOTAZIONI!$F:$F,SMALL(PRENOTAZIONI!$AC:$AC,17)),"")</f>
        <v/>
      </c>
      <c r="F20" s="34" t="str">
        <f>IFERROR(INDEX(PRENOTAZIONI!$G:$G,SMALL(PRENOTAZIONI!$AC:$AC,17)),"")</f>
        <v/>
      </c>
      <c r="G20" s="35" t="str">
        <f>IFERROR(INDEX(PRENOTAZIONI!$H:$H,SMALL(PRENOTAZIONI!$AC:$AC,17)),"")</f>
        <v/>
      </c>
      <c r="H20" s="146" t="str">
        <f t="shared" si="1"/>
        <v/>
      </c>
      <c r="I20" s="35"/>
      <c r="J20" s="149" t="str">
        <f t="shared" si="9"/>
        <v/>
      </c>
      <c r="K20" s="34" t="str">
        <f>IFERROR(INDEX(PRENOTAZIONI!$K:$K,SMALL(PRENOTAZIONI!$AC:$AC,17)),"")</f>
        <v/>
      </c>
      <c r="L20" s="35" t="str">
        <f>IFERROR(INDEX(PRENOTAZIONI!$L:$L,SMALL(PRENOTAZIONI!$AC:$AC,17)),"")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34" t="str">
        <f>IFERROR(INDEX(PRENOTAZIONI!$R:$R,SMALL(PRENOTAZIONI!$AC:$AC,17)),"")</f>
        <v/>
      </c>
      <c r="S20" s="31"/>
      <c r="T20" s="80" t="str">
        <f>IFERROR(INDEX(PRENOTAZIONI!$A:$A,SMALL(PRENOTAZIONI!$AQ:$AQ,17)),"")</f>
        <v/>
      </c>
      <c r="U20" s="31" t="str">
        <f>IFERROR(INDEX(PRENOTAZIONI!$B:$B,SMALL(PRENOTAZIONI!$AQ:$AQ,17)),"")</f>
        <v/>
      </c>
      <c r="V20" s="32" t="str">
        <f t="shared" si="6"/>
        <v/>
      </c>
      <c r="W20" s="34" t="str">
        <f>IFERROR(INDEX(PRENOTAZIONI!$E:$E,SMALL(PRENOTAZIONI!$AQ:$AQ,17)),"")</f>
        <v/>
      </c>
      <c r="X20" s="34" t="str">
        <f>IFERROR(INDEX(PRENOTAZIONI!$F:$F,SMALL(PRENOTAZIONI!$AQ:$AQ,17)),"")</f>
        <v/>
      </c>
      <c r="Y20" s="35" t="str">
        <f>IFERROR(INDEX(PRENOTAZIONI!$H:$H,SMALL(PRENOTAZIONI!$AQ:$AQ,17)),"")</f>
        <v/>
      </c>
      <c r="Z20" s="34" t="str">
        <f>IFERROR(INDEX(PRENOTAZIONI!$K:$K,SMALL(PRENOTAZIONI!$AQ:$AQ,17)),"")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IFERROR(INDEX(PRENOTAZIONI!$A:$A,SMALL(PRENOTAZIONI!$AC:$AC,18)),"")</f>
        <v/>
      </c>
      <c r="B21" s="31" t="str">
        <f>IFERROR(INDEX(PRENOTAZIONI!$B:$B,SMALL(PRENOTAZIONI!$AC:$AC,18)),"")</f>
        <v/>
      </c>
      <c r="C21" s="32" t="str">
        <f t="shared" si="0"/>
        <v/>
      </c>
      <c r="D21" s="34" t="str">
        <f>IFERROR(INDEX(PRENOTAZIONI!$E:$E,SMALL(PRENOTAZIONI!$AC:$AC,18)),"")</f>
        <v/>
      </c>
      <c r="E21" s="34" t="str">
        <f>IFERROR(INDEX(PRENOTAZIONI!$F:$F,SMALL(PRENOTAZIONI!$AC:$AC,18)),"")</f>
        <v/>
      </c>
      <c r="F21" s="34" t="str">
        <f>IFERROR(INDEX(PRENOTAZIONI!$G:$G,SMALL(PRENOTAZIONI!$AC:$AC,18)),"")</f>
        <v/>
      </c>
      <c r="G21" s="35" t="str">
        <f>IFERROR(INDEX(PRENOTAZIONI!$H:$H,SMALL(PRENOTAZIONI!$AC:$AC,18)),"")</f>
        <v/>
      </c>
      <c r="H21" s="146" t="str">
        <f t="shared" si="1"/>
        <v/>
      </c>
      <c r="I21" s="35" t="str">
        <f t="shared" si="2"/>
        <v/>
      </c>
      <c r="J21" s="149" t="str">
        <f t="shared" si="9"/>
        <v/>
      </c>
      <c r="K21" s="34" t="str">
        <f>IFERROR(INDEX(PRENOTAZIONI!$K:$K,SMALL(PRENOTAZIONI!$AC:$AC,18)),"")</f>
        <v/>
      </c>
      <c r="L21" s="35" t="str">
        <f>IFERROR(INDEX(PRENOTAZIONI!$L:$L,SMALL(PRENOTAZIONI!$AC:$AC,18)),"")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34" t="str">
        <f>IFERROR(INDEX(PRENOTAZIONI!$R:$R,SMALL(PRENOTAZIONI!$AC:$AC,18)),"")</f>
        <v/>
      </c>
      <c r="S21" s="31"/>
      <c r="T21" s="80" t="str">
        <f>IFERROR(INDEX(PRENOTAZIONI!$A:$A,SMALL(PRENOTAZIONI!$AQ:$AQ,18)),"")</f>
        <v/>
      </c>
      <c r="U21" s="31" t="str">
        <f>IFERROR(INDEX(PRENOTAZIONI!$B:$B,SMALL(PRENOTAZIONI!$AQ:$AQ,18)),"")</f>
        <v/>
      </c>
      <c r="V21" s="32" t="str">
        <f t="shared" si="6"/>
        <v/>
      </c>
      <c r="W21" s="34" t="str">
        <f>IFERROR(INDEX(PRENOTAZIONI!$E:$E,SMALL(PRENOTAZIONI!$AQ:$AQ,18)),"")</f>
        <v/>
      </c>
      <c r="X21" s="34" t="str">
        <f>IFERROR(INDEX(PRENOTAZIONI!$F:$F,SMALL(PRENOTAZIONI!$AQ:$AQ,18)),"")</f>
        <v/>
      </c>
      <c r="Y21" s="35" t="str">
        <f>IFERROR(INDEX(PRENOTAZIONI!$H:$H,SMALL(PRENOTAZIONI!$AQ:$AQ,18)),"")</f>
        <v/>
      </c>
      <c r="Z21" s="34" t="str">
        <f>IFERROR(INDEX(PRENOTAZIONI!$K:$K,SMALL(PRENOTAZIONI!$AQ:$AQ,18)),"")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IFERROR(INDEX(PRENOTAZIONI!$A:$A,SMALL(PRENOTAZIONI!$AC:$AC,19)),"")</f>
        <v/>
      </c>
      <c r="B22" s="31" t="str">
        <f>IFERROR(INDEX(PRENOTAZIONI!$B:$B,SMALL(PRENOTAZIONI!$AC:$AC,19)),"")</f>
        <v/>
      </c>
      <c r="C22" s="32" t="str">
        <f t="shared" si="0"/>
        <v/>
      </c>
      <c r="D22" s="34" t="str">
        <f>IFERROR(INDEX(PRENOTAZIONI!$E:$E,SMALL(PRENOTAZIONI!$AC:$AC,19)),"")</f>
        <v/>
      </c>
      <c r="E22" s="34" t="str">
        <f>IFERROR(INDEX(PRENOTAZIONI!$F:$F,SMALL(PRENOTAZIONI!$AC:$AC,19)),"")</f>
        <v/>
      </c>
      <c r="F22" s="34" t="str">
        <f>IFERROR(INDEX(PRENOTAZIONI!$G:$G,SMALL(PRENOTAZIONI!$AC:$AC,19)),"")</f>
        <v/>
      </c>
      <c r="G22" s="35" t="str">
        <f>IFERROR(INDEX(PRENOTAZIONI!$H:$H,SMALL(PRENOTAZIONI!$AC:$AC,19)),"")</f>
        <v/>
      </c>
      <c r="H22" s="146" t="str">
        <f t="shared" si="1"/>
        <v/>
      </c>
      <c r="I22" s="35" t="str">
        <f t="shared" si="2"/>
        <v/>
      </c>
      <c r="J22" s="149" t="str">
        <f t="shared" si="9"/>
        <v/>
      </c>
      <c r="K22" s="34" t="str">
        <f>IFERROR(INDEX(PRENOTAZIONI!$K:$K,SMALL(PRENOTAZIONI!$AC:$AC,19)),"")</f>
        <v/>
      </c>
      <c r="L22" s="35" t="str">
        <f>IFERROR(INDEX(PRENOTAZIONI!$L:$L,SMALL(PRENOTAZIONI!$AC:$AC,19)),"")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34" t="str">
        <f>IFERROR(INDEX(PRENOTAZIONI!$R:$R,SMALL(PRENOTAZIONI!$AC:$AC,19)),"")</f>
        <v/>
      </c>
      <c r="S22" s="31"/>
      <c r="T22" s="80" t="str">
        <f>IFERROR(INDEX(PRENOTAZIONI!$A:$A,SMALL(PRENOTAZIONI!$AQ:$AQ,19)),"")</f>
        <v/>
      </c>
      <c r="U22" s="31" t="str">
        <f>IFERROR(INDEX(PRENOTAZIONI!$B:$B,SMALL(PRENOTAZIONI!$AQ:$AQ,19)),"")</f>
        <v/>
      </c>
      <c r="V22" s="32" t="str">
        <f t="shared" si="6"/>
        <v/>
      </c>
      <c r="W22" s="34" t="str">
        <f>IFERROR(INDEX(PRENOTAZIONI!$E:$E,SMALL(PRENOTAZIONI!$AQ:$AQ,19)),"")</f>
        <v/>
      </c>
      <c r="X22" s="34" t="str">
        <f>IFERROR(INDEX(PRENOTAZIONI!$F:$F,SMALL(PRENOTAZIONI!$AQ:$AQ,19)),"")</f>
        <v/>
      </c>
      <c r="Y22" s="35" t="str">
        <f>IFERROR(INDEX(PRENOTAZIONI!$H:$H,SMALL(PRENOTAZIONI!$AQ:$AQ,19)),"")</f>
        <v/>
      </c>
      <c r="Z22" s="34" t="str">
        <f>IFERROR(INDEX(PRENOTAZIONI!$K:$K,SMALL(PRENOTAZIONI!$AQ:$AQ,19)),"")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IFERROR(INDEX(PRENOTAZIONI!$A:$A,SMALL(PRENOTAZIONI!$AC:$AC,20)),"")</f>
        <v/>
      </c>
      <c r="B23" s="31" t="str">
        <f>IFERROR(INDEX(PRENOTAZIONI!$B:$B,SMALL(PRENOTAZIONI!$AC:$AC,20)),"")</f>
        <v/>
      </c>
      <c r="C23" s="32" t="str">
        <f t="shared" si="0"/>
        <v/>
      </c>
      <c r="D23" s="34" t="str">
        <f>IFERROR(INDEX(PRENOTAZIONI!$E:$E,SMALL(PRENOTAZIONI!$AC:$AC,20)),"")</f>
        <v/>
      </c>
      <c r="E23" s="34" t="str">
        <f>IFERROR(INDEX(PRENOTAZIONI!$F:$F,SMALL(PRENOTAZIONI!$AC:$AC,20)),"")</f>
        <v/>
      </c>
      <c r="F23" s="34" t="str">
        <f>IFERROR(INDEX(PRENOTAZIONI!$G:$G,SMALL(PRENOTAZIONI!$AC:$AC,20)),"")</f>
        <v/>
      </c>
      <c r="G23" s="35" t="str">
        <f>IFERROR(INDEX(PRENOTAZIONI!$H:$H,SMALL(PRENOTAZIONI!$AC:$AC,20)),"")</f>
        <v/>
      </c>
      <c r="H23" s="146" t="str">
        <f t="shared" si="1"/>
        <v/>
      </c>
      <c r="I23" s="35" t="str">
        <f t="shared" si="2"/>
        <v/>
      </c>
      <c r="J23" s="149" t="str">
        <f t="shared" si="9"/>
        <v/>
      </c>
      <c r="K23" s="34" t="str">
        <f>IFERROR(INDEX(PRENOTAZIONI!$K:$K,SMALL(PRENOTAZIONI!$AC:$AC,20)),"")</f>
        <v/>
      </c>
      <c r="L23" s="35" t="str">
        <f>IFERROR(INDEX(PRENOTAZIONI!$L:$L,SMALL(PRENOTAZIONI!$AC:$AC,20)),"")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34" t="str">
        <f>IFERROR(INDEX(PRENOTAZIONI!$R:$R,SMALL(PRENOTAZIONI!$AC:$AC,20)),"")</f>
        <v/>
      </c>
      <c r="S23" s="31"/>
      <c r="T23" s="80" t="str">
        <f>IFERROR(INDEX(PRENOTAZIONI!$A:$A,SMALL(PRENOTAZIONI!$AQ:$AQ,20)),"")</f>
        <v/>
      </c>
      <c r="U23" s="31" t="str">
        <f>IFERROR(INDEX(PRENOTAZIONI!$B:$B,SMALL(PRENOTAZIONI!$AQ:$AQ,20)),"")</f>
        <v/>
      </c>
      <c r="V23" s="32" t="str">
        <f t="shared" si="6"/>
        <v/>
      </c>
      <c r="W23" s="34" t="str">
        <f>IFERROR(INDEX(PRENOTAZIONI!$E:$E,SMALL(PRENOTAZIONI!$AQ:$AQ,20)),"")</f>
        <v/>
      </c>
      <c r="X23" s="34" t="str">
        <f>IFERROR(INDEX(PRENOTAZIONI!$F:$F,SMALL(PRENOTAZIONI!$AQ:$AQ,20)),"")</f>
        <v/>
      </c>
      <c r="Y23" s="35" t="str">
        <f>IFERROR(INDEX(PRENOTAZIONI!$H:$H,SMALL(PRENOTAZIONI!$AQ:$AQ,20)),"")</f>
        <v/>
      </c>
      <c r="Z23" s="34" t="str">
        <f>IFERROR(INDEX(PRENOTAZIONI!$K:$K,SMALL(PRENOTAZIONI!$AQ:$AQ,20)),"")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IFERROR(INDEX(PRENOTAZIONI!$A:$A,SMALL(PRENOTAZIONI!$AC:$AC,21)),"")</f>
        <v/>
      </c>
      <c r="B24" s="31" t="str">
        <f>IFERROR(INDEX(PRENOTAZIONI!$B:$B,SMALL(PRENOTAZIONI!$AC:$AC,21)),"")</f>
        <v/>
      </c>
      <c r="C24" s="32" t="str">
        <f t="shared" si="0"/>
        <v/>
      </c>
      <c r="D24" s="34" t="str">
        <f>IFERROR(INDEX(PRENOTAZIONI!$E:$E,SMALL(PRENOTAZIONI!$AC:$AC,21)),"")</f>
        <v/>
      </c>
      <c r="E24" s="34" t="str">
        <f>IFERROR(INDEX(PRENOTAZIONI!$F:$F,SMALL(PRENOTAZIONI!$AC:$AC,21)),"")</f>
        <v/>
      </c>
      <c r="F24" s="34" t="str">
        <f>IFERROR(INDEX(PRENOTAZIONI!$G:$G,SMALL(PRENOTAZIONI!$AC:$AC,21)),"")</f>
        <v/>
      </c>
      <c r="G24" s="35" t="str">
        <f>IFERROR(INDEX(PRENOTAZIONI!$H:$H,SMALL(PRENOTAZIONI!$AC:$AC,21)),"")</f>
        <v/>
      </c>
      <c r="H24" s="146" t="str">
        <f t="shared" si="1"/>
        <v/>
      </c>
      <c r="I24" s="35" t="str">
        <f t="shared" si="2"/>
        <v/>
      </c>
      <c r="J24" s="149" t="str">
        <f t="shared" si="9"/>
        <v/>
      </c>
      <c r="K24" s="34" t="str">
        <f>IFERROR(INDEX(PRENOTAZIONI!$K:$K,SMALL(PRENOTAZIONI!$AC:$AC,21)),"")</f>
        <v/>
      </c>
      <c r="L24" s="35" t="str">
        <f>IFERROR(INDEX(PRENOTAZIONI!$L:$L,SMALL(PRENOTAZIONI!$AC:$AC,21)),"")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34" t="str">
        <f>IFERROR(INDEX(PRENOTAZIONI!$R:$R,SMALL(PRENOTAZIONI!$AC:$AC,21)),"")</f>
        <v/>
      </c>
      <c r="S24" s="31"/>
      <c r="T24" s="80" t="str">
        <f>IFERROR(INDEX(PRENOTAZIONI!$A:$A,SMALL(PRENOTAZIONI!$AQ:$AQ,21)),"")</f>
        <v/>
      </c>
      <c r="U24" s="31" t="str">
        <f>IFERROR(INDEX(PRENOTAZIONI!$B:$B,SMALL(PRENOTAZIONI!$AQ:$AQ,21)),"")</f>
        <v/>
      </c>
      <c r="V24" s="32" t="str">
        <f t="shared" si="6"/>
        <v/>
      </c>
      <c r="W24" s="34" t="str">
        <f>IFERROR(INDEX(PRENOTAZIONI!$E:$E,SMALL(PRENOTAZIONI!$AQ:$AQ,21)),"")</f>
        <v/>
      </c>
      <c r="X24" s="34" t="str">
        <f>IFERROR(INDEX(PRENOTAZIONI!$F:$F,SMALL(PRENOTAZIONI!$AQ:$AQ,21)),"")</f>
        <v/>
      </c>
      <c r="Y24" s="35" t="str">
        <f>IFERROR(INDEX(PRENOTAZIONI!$H:$H,SMALL(PRENOTAZIONI!$AQ:$AQ,21)),"")</f>
        <v/>
      </c>
      <c r="Z24" s="34" t="str">
        <f>IFERROR(INDEX(PRENOTAZIONI!$K:$K,SMALL(PRENOTAZIONI!$AQ:$AQ,21)),"")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IFERROR(INDEX(PRENOTAZIONI!$A:$A,SMALL(PRENOTAZIONI!$AC:$AC,22)),"")</f>
        <v/>
      </c>
      <c r="B25" s="31" t="str">
        <f>IFERROR(INDEX(PRENOTAZIONI!$B:$B,SMALL(PRENOTAZIONI!$AC:$AC,22)),"")</f>
        <v/>
      </c>
      <c r="C25" s="32" t="str">
        <f t="shared" si="0"/>
        <v/>
      </c>
      <c r="D25" s="34" t="str">
        <f>IFERROR(INDEX(PRENOTAZIONI!$E:$E,SMALL(PRENOTAZIONI!$AC:$AC,22)),"")</f>
        <v/>
      </c>
      <c r="E25" s="34" t="str">
        <f>IFERROR(INDEX(PRENOTAZIONI!$F:$F,SMALL(PRENOTAZIONI!$AC:$AC,22)),"")</f>
        <v/>
      </c>
      <c r="F25" s="34" t="str">
        <f>IFERROR(INDEX(PRENOTAZIONI!$G:$G,SMALL(PRENOTAZIONI!$AC:$AC,22)),"")</f>
        <v/>
      </c>
      <c r="G25" s="35" t="str">
        <f>IFERROR(INDEX(PRENOTAZIONI!$H:$H,SMALL(PRENOTAZIONI!$AC:$AC,22)),"")</f>
        <v/>
      </c>
      <c r="H25" s="146" t="str">
        <f t="shared" si="1"/>
        <v/>
      </c>
      <c r="I25" s="35" t="str">
        <f t="shared" si="2"/>
        <v/>
      </c>
      <c r="J25" s="149" t="str">
        <f t="shared" si="9"/>
        <v/>
      </c>
      <c r="K25" s="34" t="str">
        <f>IFERROR(INDEX(PRENOTAZIONI!$K:$K,SMALL(PRENOTAZIONI!$AC:$AC,22)),"")</f>
        <v/>
      </c>
      <c r="L25" s="35" t="str">
        <f>IFERROR(INDEX(PRENOTAZIONI!$L:$L,SMALL(PRENOTAZIONI!$AC:$AC,22)),"")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34" t="str">
        <f>IFERROR(INDEX(PRENOTAZIONI!$R:$R,SMALL(PRENOTAZIONI!$AC:$AC,22)),"")</f>
        <v/>
      </c>
      <c r="S25" s="31"/>
      <c r="T25" s="80" t="str">
        <f>IFERROR(INDEX(PRENOTAZIONI!$A:$A,SMALL(PRENOTAZIONI!$AQ:$AQ,22)),"")</f>
        <v/>
      </c>
      <c r="U25" s="31" t="str">
        <f>IFERROR(INDEX(PRENOTAZIONI!$B:$B,SMALL(PRENOTAZIONI!$AQ:$AQ,22)),"")</f>
        <v/>
      </c>
      <c r="V25" s="32" t="str">
        <f t="shared" si="6"/>
        <v/>
      </c>
      <c r="W25" s="34" t="str">
        <f>IFERROR(INDEX(PRENOTAZIONI!$E:$E,SMALL(PRENOTAZIONI!$AQ:$AQ,22)),"")</f>
        <v/>
      </c>
      <c r="X25" s="34" t="str">
        <f>IFERROR(INDEX(PRENOTAZIONI!$F:$F,SMALL(PRENOTAZIONI!$AQ:$AQ,22)),"")</f>
        <v/>
      </c>
      <c r="Y25" s="35" t="str">
        <f>IFERROR(INDEX(PRENOTAZIONI!$H:$H,SMALL(PRENOTAZIONI!$AQ:$AQ,22)),"")</f>
        <v/>
      </c>
      <c r="Z25" s="34" t="str">
        <f>IFERROR(INDEX(PRENOTAZIONI!$K:$K,SMALL(PRENOTAZIONI!$AQ:$AQ,22)),"")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IFERROR(INDEX(PRENOTAZIONI!$A:$A,SMALL(PRENOTAZIONI!$AC:$AC,23)),"")</f>
        <v/>
      </c>
      <c r="B26" s="31" t="str">
        <f>IFERROR(INDEX(PRENOTAZIONI!$B:$B,SMALL(PRENOTAZIONI!$AC:$AC,23)),"")</f>
        <v/>
      </c>
      <c r="C26" s="32" t="str">
        <f t="shared" si="0"/>
        <v/>
      </c>
      <c r="D26" s="34" t="str">
        <f>IFERROR(INDEX(PRENOTAZIONI!$E:$E,SMALL(PRENOTAZIONI!$AC:$AC,23)),"")</f>
        <v/>
      </c>
      <c r="E26" s="34" t="str">
        <f>IFERROR(INDEX(PRENOTAZIONI!$F:$F,SMALL(PRENOTAZIONI!$AC:$AC,23)),"")</f>
        <v/>
      </c>
      <c r="F26" s="34" t="str">
        <f>IFERROR(INDEX(PRENOTAZIONI!$G:$G,SMALL(PRENOTAZIONI!$AC:$AC,23)),"")</f>
        <v/>
      </c>
      <c r="G26" s="35" t="str">
        <f>IFERROR(INDEX(PRENOTAZIONI!$H:$H,SMALL(PRENOTAZIONI!$AC:$AC,23)),"")</f>
        <v/>
      </c>
      <c r="H26" s="146" t="str">
        <f t="shared" si="1"/>
        <v/>
      </c>
      <c r="I26" s="35" t="str">
        <f t="shared" si="2"/>
        <v/>
      </c>
      <c r="J26" s="149" t="str">
        <f t="shared" si="9"/>
        <v/>
      </c>
      <c r="K26" s="34" t="str">
        <f>IFERROR(INDEX(PRENOTAZIONI!$K:$K,SMALL(PRENOTAZIONI!$AC:$AC,23)),"")</f>
        <v/>
      </c>
      <c r="L26" s="35" t="str">
        <f>IFERROR(INDEX(PRENOTAZIONI!$L:$L,SMALL(PRENOTAZIONI!$AC:$AC,23)),"")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34" t="str">
        <f>IFERROR(INDEX(PRENOTAZIONI!$R:$R,SMALL(PRENOTAZIONI!$AC:$AC,23)),"")</f>
        <v/>
      </c>
      <c r="S26" s="31"/>
      <c r="T26" s="80" t="str">
        <f>IFERROR(INDEX(PRENOTAZIONI!$A:$A,SMALL(PRENOTAZIONI!$AQ:$AQ,23)),"")</f>
        <v/>
      </c>
      <c r="U26" s="31" t="str">
        <f>IFERROR(INDEX(PRENOTAZIONI!$B:$B,SMALL(PRENOTAZIONI!$AQ:$AQ,23)),"")</f>
        <v/>
      </c>
      <c r="V26" s="32" t="str">
        <f t="shared" si="6"/>
        <v/>
      </c>
      <c r="W26" s="34" t="str">
        <f>IFERROR(INDEX(PRENOTAZIONI!$E:$E,SMALL(PRENOTAZIONI!$AQ:$AQ,23)),"")</f>
        <v/>
      </c>
      <c r="X26" s="34" t="str">
        <f>IFERROR(INDEX(PRENOTAZIONI!$F:$F,SMALL(PRENOTAZIONI!$AQ:$AQ,23)),"")</f>
        <v/>
      </c>
      <c r="Y26" s="35" t="str">
        <f>IFERROR(INDEX(PRENOTAZIONI!$H:$H,SMALL(PRENOTAZIONI!$AQ:$AQ,23)),"")</f>
        <v/>
      </c>
      <c r="Z26" s="34" t="str">
        <f>IFERROR(INDEX(PRENOTAZIONI!$K:$K,SMALL(PRENOTAZIONI!$AQ:$AQ,23)),"")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IFERROR(INDEX(PRENOTAZIONI!$A:$A,SMALL(PRENOTAZIONI!$AC:$AC,24)),"")</f>
        <v/>
      </c>
      <c r="B27" s="31" t="str">
        <f>IFERROR(INDEX(PRENOTAZIONI!$B:$B,SMALL(PRENOTAZIONI!$AC:$AC,24)),"")</f>
        <v/>
      </c>
      <c r="C27" s="32" t="str">
        <f t="shared" si="0"/>
        <v/>
      </c>
      <c r="D27" s="34" t="str">
        <f>IFERROR(INDEX(PRENOTAZIONI!$E:$E,SMALL(PRENOTAZIONI!$AC:$AC,24)),"")</f>
        <v/>
      </c>
      <c r="E27" s="34" t="str">
        <f>IFERROR(INDEX(PRENOTAZIONI!$F:$F,SMALL(PRENOTAZIONI!$AC:$AC,24)),"")</f>
        <v/>
      </c>
      <c r="F27" s="34" t="str">
        <f>IFERROR(INDEX(PRENOTAZIONI!$G:$G,SMALL(PRENOTAZIONI!$AC:$AC,24)),"")</f>
        <v/>
      </c>
      <c r="G27" s="35" t="str">
        <f>IFERROR(INDEX(PRENOTAZIONI!$H:$H,SMALL(PRENOTAZIONI!$AC:$AC,24)),"")</f>
        <v/>
      </c>
      <c r="H27" s="146" t="str">
        <f t="shared" si="1"/>
        <v/>
      </c>
      <c r="I27" s="35" t="str">
        <f t="shared" si="2"/>
        <v/>
      </c>
      <c r="J27" s="149" t="str">
        <f t="shared" si="9"/>
        <v/>
      </c>
      <c r="K27" s="34" t="str">
        <f>IFERROR(INDEX(PRENOTAZIONI!$K:$K,SMALL(PRENOTAZIONI!$AC:$AC,24)),"")</f>
        <v/>
      </c>
      <c r="L27" s="35" t="str">
        <f>IFERROR(INDEX(PRENOTAZIONI!$L:$L,SMALL(PRENOTAZIONI!$AC:$AC,24)),"")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34" t="str">
        <f>IFERROR(INDEX(PRENOTAZIONI!$R:$R,SMALL(PRENOTAZIONI!$AC:$AC,24)),"")</f>
        <v/>
      </c>
      <c r="S27" s="31"/>
      <c r="T27" s="80" t="str">
        <f>IFERROR(INDEX(PRENOTAZIONI!$A:$A,SMALL(PRENOTAZIONI!$AQ:$AQ,24)),"")</f>
        <v/>
      </c>
      <c r="U27" s="31" t="str">
        <f>IFERROR(INDEX(PRENOTAZIONI!$B:$B,SMALL(PRENOTAZIONI!$AQ:$AQ,24)),"")</f>
        <v/>
      </c>
      <c r="V27" s="32" t="str">
        <f t="shared" si="6"/>
        <v/>
      </c>
      <c r="W27" s="34" t="str">
        <f>IFERROR(INDEX(PRENOTAZIONI!$E:$E,SMALL(PRENOTAZIONI!$AQ:$AQ,24)),"")</f>
        <v/>
      </c>
      <c r="X27" s="34" t="str">
        <f>IFERROR(INDEX(PRENOTAZIONI!$F:$F,SMALL(PRENOTAZIONI!$AQ:$AQ,24)),"")</f>
        <v/>
      </c>
      <c r="Y27" s="35" t="str">
        <f>IFERROR(INDEX(PRENOTAZIONI!$H:$H,SMALL(PRENOTAZIONI!$AQ:$AQ,24)),"")</f>
        <v/>
      </c>
      <c r="Z27" s="34" t="str">
        <f>IFERROR(INDEX(PRENOTAZIONI!$K:$K,SMALL(PRENOTAZIONI!$AQ:$AQ,24)),"")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IFERROR(INDEX(PRENOTAZIONI!$A:$A,SMALL(PRENOTAZIONI!$AC:$AC,25)),"")</f>
        <v/>
      </c>
      <c r="B28" s="31" t="str">
        <f>IFERROR(INDEX(PRENOTAZIONI!$B:$B,SMALL(PRENOTAZIONI!$AC:$AC,25)),"")</f>
        <v/>
      </c>
      <c r="C28" s="32" t="str">
        <f t="shared" si="0"/>
        <v/>
      </c>
      <c r="D28" s="34" t="str">
        <f>IFERROR(INDEX(PRENOTAZIONI!$E:$E,SMALL(PRENOTAZIONI!$AC:$AC,25)),"")</f>
        <v/>
      </c>
      <c r="E28" s="34" t="str">
        <f>IFERROR(INDEX(PRENOTAZIONI!$F:$F,SMALL(PRENOTAZIONI!$AC:$AC,25)),"")</f>
        <v/>
      </c>
      <c r="F28" s="34" t="str">
        <f>IFERROR(INDEX(PRENOTAZIONI!$G:$G,SMALL(PRENOTAZIONI!$AC:$AC,25)),"")</f>
        <v/>
      </c>
      <c r="G28" s="35" t="str">
        <f>IFERROR(INDEX(PRENOTAZIONI!$H:$H,SMALL(PRENOTAZIONI!$AC:$AC,25)),"")</f>
        <v/>
      </c>
      <c r="H28" s="146" t="str">
        <f t="shared" si="1"/>
        <v/>
      </c>
      <c r="I28" s="35" t="str">
        <f t="shared" si="2"/>
        <v/>
      </c>
      <c r="J28" s="149" t="str">
        <f t="shared" si="9"/>
        <v/>
      </c>
      <c r="K28" s="34" t="str">
        <f>IFERROR(INDEX(PRENOTAZIONI!$K:$K,SMALL(PRENOTAZIONI!$AC:$AC,25)),"")</f>
        <v/>
      </c>
      <c r="L28" s="35" t="str">
        <f>IFERROR(INDEX(PRENOTAZIONI!$L:$L,SMALL(PRENOTAZIONI!$AC:$AC,25)),"")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34" t="str">
        <f>IFERROR(INDEX(PRENOTAZIONI!$R:$R,SMALL(PRENOTAZIONI!$AC:$AC,25)),"")</f>
        <v/>
      </c>
      <c r="S28" s="31"/>
      <c r="T28" s="80" t="str">
        <f>IFERROR(INDEX(PRENOTAZIONI!$A:$A,SMALL(PRENOTAZIONI!$AQ:$AQ,25)),"")</f>
        <v/>
      </c>
      <c r="U28" s="31" t="str">
        <f>IFERROR(INDEX(PRENOTAZIONI!$B:$B,SMALL(PRENOTAZIONI!$AQ:$AQ,25)),"")</f>
        <v/>
      </c>
      <c r="V28" s="32" t="str">
        <f t="shared" si="6"/>
        <v/>
      </c>
      <c r="W28" s="34" t="str">
        <f>IFERROR(INDEX(PRENOTAZIONI!$E:$E,SMALL(PRENOTAZIONI!$AQ:$AQ,25)),"")</f>
        <v/>
      </c>
      <c r="X28" s="34" t="str">
        <f>IFERROR(INDEX(PRENOTAZIONI!$F:$F,SMALL(PRENOTAZIONI!$AQ:$AQ,25)),"")</f>
        <v/>
      </c>
      <c r="Y28" s="35" t="str">
        <f>IFERROR(INDEX(PRENOTAZIONI!$H:$H,SMALL(PRENOTAZIONI!$AQ:$AQ,25)),"")</f>
        <v/>
      </c>
      <c r="Z28" s="34" t="str">
        <f>IFERROR(INDEX(PRENOTAZIONI!$K:$K,SMALL(PRENOTAZIONI!$AQ:$AQ,25)),"")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IFERROR(INDEX(PRENOTAZIONI!$A:$A,SMALL(PRENOTAZIONI!$AC:$AC,26)),"")</f>
        <v/>
      </c>
      <c r="B29" s="31" t="str">
        <f>IFERROR(INDEX(PRENOTAZIONI!$B:$B,SMALL(PRENOTAZIONI!$AC:$AC,26)),"")</f>
        <v/>
      </c>
      <c r="C29" s="32" t="str">
        <f t="shared" si="0"/>
        <v/>
      </c>
      <c r="D29" s="34" t="str">
        <f>IFERROR(INDEX(PRENOTAZIONI!$E:$E,SMALL(PRENOTAZIONI!$AC:$AC,26)),"")</f>
        <v/>
      </c>
      <c r="E29" s="34" t="str">
        <f>IFERROR(INDEX(PRENOTAZIONI!$F:$F,SMALL(PRENOTAZIONI!$AC:$AC,26)),"")</f>
        <v/>
      </c>
      <c r="F29" s="34" t="str">
        <f>IFERROR(INDEX(PRENOTAZIONI!$G:$G,SMALL(PRENOTAZIONI!$AC:$AC,26)),"")</f>
        <v/>
      </c>
      <c r="G29" s="35" t="str">
        <f>IFERROR(INDEX(PRENOTAZIONI!$H:$H,SMALL(PRENOTAZIONI!$AC:$AC,26)),"")</f>
        <v/>
      </c>
      <c r="H29" s="146" t="str">
        <f t="shared" si="1"/>
        <v/>
      </c>
      <c r="I29" s="35" t="str">
        <f t="shared" si="2"/>
        <v/>
      </c>
      <c r="J29" s="149" t="str">
        <f t="shared" si="9"/>
        <v/>
      </c>
      <c r="K29" s="34" t="str">
        <f>IFERROR(INDEX(PRENOTAZIONI!$K:$K,SMALL(PRENOTAZIONI!$AC:$AC,26)),"")</f>
        <v/>
      </c>
      <c r="L29" s="35" t="str">
        <f>IFERROR(INDEX(PRENOTAZIONI!$L:$L,SMALL(PRENOTAZIONI!$AC:$AC,26)),"")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34" t="str">
        <f>IFERROR(INDEX(PRENOTAZIONI!$R:$R,SMALL(PRENOTAZIONI!$AC:$AC,26)),"")</f>
        <v/>
      </c>
      <c r="S29" s="31"/>
      <c r="T29" s="80" t="str">
        <f>IFERROR(INDEX(PRENOTAZIONI!$A:$A,SMALL(PRENOTAZIONI!$AQ:$AQ,26)),"")</f>
        <v/>
      </c>
      <c r="U29" s="31" t="str">
        <f>IFERROR(INDEX(PRENOTAZIONI!$B:$B,SMALL(PRENOTAZIONI!$AQ:$AQ,26)),"")</f>
        <v/>
      </c>
      <c r="V29" s="32" t="str">
        <f t="shared" si="6"/>
        <v/>
      </c>
      <c r="W29" s="34" t="str">
        <f>IFERROR(INDEX(PRENOTAZIONI!$E:$E,SMALL(PRENOTAZIONI!$AQ:$AQ,26)),"")</f>
        <v/>
      </c>
      <c r="X29" s="34" t="str">
        <f>IFERROR(INDEX(PRENOTAZIONI!$F:$F,SMALL(PRENOTAZIONI!$AQ:$AQ,26)),"")</f>
        <v/>
      </c>
      <c r="Y29" s="35" t="str">
        <f>IFERROR(INDEX(PRENOTAZIONI!$H:$H,SMALL(PRENOTAZIONI!$AQ:$AQ,26)),"")</f>
        <v/>
      </c>
      <c r="Z29" s="34" t="str">
        <f>IFERROR(INDEX(PRENOTAZIONI!$K:$K,SMALL(PRENOTAZIONI!$AQ:$AQ,26)),"")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IFERROR(INDEX(PRENOTAZIONI!$A:$A,SMALL(PRENOTAZIONI!$AC:$AC,27)),"")</f>
        <v/>
      </c>
      <c r="B30" s="31" t="str">
        <f>IFERROR(INDEX(PRENOTAZIONI!$B:$B,SMALL(PRENOTAZIONI!$AC:$AC,27)),"")</f>
        <v/>
      </c>
      <c r="C30" s="32" t="str">
        <f t="shared" si="0"/>
        <v/>
      </c>
      <c r="D30" s="34" t="str">
        <f>IFERROR(INDEX(PRENOTAZIONI!$E:$E,SMALL(PRENOTAZIONI!$AC:$AC,27)),"")</f>
        <v/>
      </c>
      <c r="E30" s="34" t="str">
        <f>IFERROR(INDEX(PRENOTAZIONI!$F:$F,SMALL(PRENOTAZIONI!$AC:$AC,27)),"")</f>
        <v/>
      </c>
      <c r="F30" s="34" t="str">
        <f>IFERROR(INDEX(PRENOTAZIONI!$G:$G,SMALL(PRENOTAZIONI!$AC:$AC,27)),"")</f>
        <v/>
      </c>
      <c r="G30" s="35" t="str">
        <f>IFERROR(INDEX(PRENOTAZIONI!$H:$H,SMALL(PRENOTAZIONI!$AC:$AC,27)),"")</f>
        <v/>
      </c>
      <c r="H30" s="146" t="str">
        <f t="shared" si="1"/>
        <v/>
      </c>
      <c r="I30" s="35" t="str">
        <f t="shared" si="2"/>
        <v/>
      </c>
      <c r="J30" s="149" t="str">
        <f t="shared" si="9"/>
        <v/>
      </c>
      <c r="K30" s="34" t="str">
        <f>IFERROR(INDEX(PRENOTAZIONI!$K:$K,SMALL(PRENOTAZIONI!$AC:$AC,27)),"")</f>
        <v/>
      </c>
      <c r="L30" s="35" t="str">
        <f>IFERROR(INDEX(PRENOTAZIONI!$L:$L,SMALL(PRENOTAZIONI!$AC:$AC,27)),"")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34" t="str">
        <f>IFERROR(INDEX(PRENOTAZIONI!$R:$R,SMALL(PRENOTAZIONI!$AC:$AC,27)),"")</f>
        <v/>
      </c>
      <c r="S30" s="31"/>
      <c r="T30" s="80" t="str">
        <f>IFERROR(INDEX(PRENOTAZIONI!$A:$A,SMALL(PRENOTAZIONI!$AQ:$AQ,27)),"")</f>
        <v/>
      </c>
      <c r="U30" s="31" t="str">
        <f>IFERROR(INDEX(PRENOTAZIONI!$B:$B,SMALL(PRENOTAZIONI!$AQ:$AQ,27)),"")</f>
        <v/>
      </c>
      <c r="V30" s="32" t="str">
        <f t="shared" si="6"/>
        <v/>
      </c>
      <c r="W30" s="34" t="str">
        <f>IFERROR(INDEX(PRENOTAZIONI!$E:$E,SMALL(PRENOTAZIONI!$AQ:$AQ,27)),"")</f>
        <v/>
      </c>
      <c r="X30" s="34" t="str">
        <f>IFERROR(INDEX(PRENOTAZIONI!$F:$F,SMALL(PRENOTAZIONI!$AQ:$AQ,27)),"")</f>
        <v/>
      </c>
      <c r="Y30" s="35" t="str">
        <f>IFERROR(INDEX(PRENOTAZIONI!$H:$H,SMALL(PRENOTAZIONI!$AQ:$AQ,27)),"")</f>
        <v/>
      </c>
      <c r="Z30" s="34" t="str">
        <f>IFERROR(INDEX(PRENOTAZIONI!$K:$K,SMALL(PRENOTAZIONI!$AQ:$AQ,27)),"")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IFERROR(INDEX(PRENOTAZIONI!$A:$A,SMALL(PRENOTAZIONI!$AC:$AC,28)),"")</f>
        <v/>
      </c>
      <c r="B31" s="31" t="str">
        <f>IFERROR(INDEX(PRENOTAZIONI!$B:$B,SMALL(PRENOTAZIONI!$AC:$AC,28)),"")</f>
        <v/>
      </c>
      <c r="C31" s="32" t="str">
        <f t="shared" si="0"/>
        <v/>
      </c>
      <c r="D31" s="34" t="str">
        <f>IFERROR(INDEX(PRENOTAZIONI!$E:$E,SMALL(PRENOTAZIONI!$AC:$AC,28)),"")</f>
        <v/>
      </c>
      <c r="E31" s="34" t="str">
        <f>IFERROR(INDEX(PRENOTAZIONI!$F:$F,SMALL(PRENOTAZIONI!$AC:$AC,28)),"")</f>
        <v/>
      </c>
      <c r="F31" s="34" t="str">
        <f>IFERROR(INDEX(PRENOTAZIONI!$G:$G,SMALL(PRENOTAZIONI!$AC:$AC,28)),"")</f>
        <v/>
      </c>
      <c r="G31" s="35" t="str">
        <f>IFERROR(INDEX(PRENOTAZIONI!$H:$H,SMALL(PRENOTAZIONI!$AC:$AC,28)),"")</f>
        <v/>
      </c>
      <c r="H31" s="146" t="str">
        <f t="shared" si="1"/>
        <v/>
      </c>
      <c r="I31" s="35" t="str">
        <f t="shared" si="2"/>
        <v/>
      </c>
      <c r="J31" s="149" t="str">
        <f t="shared" si="9"/>
        <v/>
      </c>
      <c r="K31" s="34" t="str">
        <f>IFERROR(INDEX(PRENOTAZIONI!$K:$K,SMALL(PRENOTAZIONI!$AC:$AC,28)),"")</f>
        <v/>
      </c>
      <c r="L31" s="35" t="str">
        <f>IFERROR(INDEX(PRENOTAZIONI!$L:$L,SMALL(PRENOTAZIONI!$AC:$AC,28)),"")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34" t="str">
        <f>IFERROR(INDEX(PRENOTAZIONI!$R:$R,SMALL(PRENOTAZIONI!$AC:$AC,28)),"")</f>
        <v/>
      </c>
      <c r="S31" s="31"/>
      <c r="T31" s="80" t="str">
        <f>IFERROR(INDEX(PRENOTAZIONI!$A:$A,SMALL(PRENOTAZIONI!$AQ:$AQ,28)),"")</f>
        <v/>
      </c>
      <c r="U31" s="31" t="str">
        <f>IFERROR(INDEX(PRENOTAZIONI!$B:$B,SMALL(PRENOTAZIONI!$AQ:$AQ,28)),"")</f>
        <v/>
      </c>
      <c r="V31" s="32" t="str">
        <f t="shared" si="6"/>
        <v/>
      </c>
      <c r="W31" s="34" t="str">
        <f>IFERROR(INDEX(PRENOTAZIONI!$E:$E,SMALL(PRENOTAZIONI!$AQ:$AQ,28)),"")</f>
        <v/>
      </c>
      <c r="X31" s="34" t="str">
        <f>IFERROR(INDEX(PRENOTAZIONI!$F:$F,SMALL(PRENOTAZIONI!$AQ:$AQ,28)),"")</f>
        <v/>
      </c>
      <c r="Y31" s="35" t="str">
        <f>IFERROR(INDEX(PRENOTAZIONI!$H:$H,SMALL(PRENOTAZIONI!$AQ:$AQ,28)),"")</f>
        <v/>
      </c>
      <c r="Z31" s="34" t="str">
        <f>IFERROR(INDEX(PRENOTAZIONI!$K:$K,SMALL(PRENOTAZIONI!$AQ:$AQ,28)),"")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IFERROR(INDEX(PRENOTAZIONI!$A:$A,SMALL(PRENOTAZIONI!$AC:$AC,29)),"")</f>
        <v/>
      </c>
      <c r="B32" s="31" t="str">
        <f>IFERROR(INDEX(PRENOTAZIONI!$B:$B,SMALL(PRENOTAZIONI!$AC:$AC,29)),"")</f>
        <v/>
      </c>
      <c r="C32" s="32" t="str">
        <f t="shared" si="0"/>
        <v/>
      </c>
      <c r="D32" s="34" t="str">
        <f>IFERROR(INDEX(PRENOTAZIONI!$E:$E,SMALL(PRENOTAZIONI!$AC:$AC,29)),"")</f>
        <v/>
      </c>
      <c r="E32" s="34" t="str">
        <f>IFERROR(INDEX(PRENOTAZIONI!$F:$F,SMALL(PRENOTAZIONI!$AC:$AC,29)),"")</f>
        <v/>
      </c>
      <c r="F32" s="34" t="str">
        <f>IFERROR(INDEX(PRENOTAZIONI!$G:$G,SMALL(PRENOTAZIONI!$AC:$AC,29)),"")</f>
        <v/>
      </c>
      <c r="G32" s="35" t="str">
        <f>IFERROR(INDEX(PRENOTAZIONI!$H:$H,SMALL(PRENOTAZIONI!$AC:$AC,29)),"")</f>
        <v/>
      </c>
      <c r="H32" s="146" t="str">
        <f t="shared" si="1"/>
        <v/>
      </c>
      <c r="I32" s="35" t="str">
        <f t="shared" si="2"/>
        <v/>
      </c>
      <c r="J32" s="149" t="str">
        <f t="shared" si="9"/>
        <v/>
      </c>
      <c r="K32" s="34" t="str">
        <f>IFERROR(INDEX(PRENOTAZIONI!$K:$K,SMALL(PRENOTAZIONI!$AC:$AC,29)),"")</f>
        <v/>
      </c>
      <c r="L32" s="35" t="str">
        <f>IFERROR(INDEX(PRENOTAZIONI!$L:$L,SMALL(PRENOTAZIONI!$AC:$AC,29)),"")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34" t="str">
        <f>IFERROR(INDEX(PRENOTAZIONI!$R:$R,SMALL(PRENOTAZIONI!$AC:$AC,29)),"")</f>
        <v/>
      </c>
      <c r="S32" s="31"/>
      <c r="T32" s="80" t="str">
        <f>IFERROR(INDEX(PRENOTAZIONI!$A:$A,SMALL(PRENOTAZIONI!$AQ:$AQ,29)),"")</f>
        <v/>
      </c>
      <c r="U32" s="31" t="str">
        <f>IFERROR(INDEX(PRENOTAZIONI!$B:$B,SMALL(PRENOTAZIONI!$AQ:$AQ,29)),"")</f>
        <v/>
      </c>
      <c r="V32" s="32" t="str">
        <f t="shared" si="6"/>
        <v/>
      </c>
      <c r="W32" s="34" t="str">
        <f>IFERROR(INDEX(PRENOTAZIONI!$E:$E,SMALL(PRENOTAZIONI!$AQ:$AQ,29)),"")</f>
        <v/>
      </c>
      <c r="X32" s="34" t="str">
        <f>IFERROR(INDEX(PRENOTAZIONI!$F:$F,SMALL(PRENOTAZIONI!$AQ:$AQ,29)),"")</f>
        <v/>
      </c>
      <c r="Y32" s="35" t="str">
        <f>IFERROR(INDEX(PRENOTAZIONI!$H:$H,SMALL(PRENOTAZIONI!$AQ:$AQ,29)),"")</f>
        <v/>
      </c>
      <c r="Z32" s="34" t="str">
        <f>IFERROR(INDEX(PRENOTAZIONI!$K:$K,SMALL(PRENOTAZIONI!$AQ:$AQ,29)),"")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IFERROR(INDEX(PRENOTAZIONI!$A:$A,SMALL(PRENOTAZIONI!$AC:$AC,30)),"")</f>
        <v/>
      </c>
      <c r="B33" s="31" t="str">
        <f>IFERROR(INDEX(PRENOTAZIONI!$B:$B,SMALL(PRENOTAZIONI!$AC:$AC,30)),"")</f>
        <v/>
      </c>
      <c r="C33" s="32" t="str">
        <f t="shared" si="0"/>
        <v/>
      </c>
      <c r="D33" s="34" t="str">
        <f>IFERROR(INDEX(PRENOTAZIONI!$E:$E,SMALL(PRENOTAZIONI!$AC:$AC,30)),"")</f>
        <v/>
      </c>
      <c r="E33" s="34" t="str">
        <f>IFERROR(INDEX(PRENOTAZIONI!$F:$F,SMALL(PRENOTAZIONI!$AC:$AC,30)),"")</f>
        <v/>
      </c>
      <c r="F33" s="34" t="str">
        <f>IFERROR(INDEX(PRENOTAZIONI!$G:$G,SMALL(PRENOTAZIONI!$AC:$AC,30)),"")</f>
        <v/>
      </c>
      <c r="G33" s="35" t="str">
        <f>IFERROR(INDEX(PRENOTAZIONI!$H:$H,SMALL(PRENOTAZIONI!$AC:$AC,30)),"")</f>
        <v/>
      </c>
      <c r="H33" s="146" t="str">
        <f t="shared" si="1"/>
        <v/>
      </c>
      <c r="I33" s="35" t="str">
        <f t="shared" si="2"/>
        <v/>
      </c>
      <c r="J33" s="149" t="str">
        <f t="shared" si="9"/>
        <v/>
      </c>
      <c r="K33" s="34" t="str">
        <f>IFERROR(INDEX(PRENOTAZIONI!$K:$K,SMALL(PRENOTAZIONI!$AC:$AC,30)),"")</f>
        <v/>
      </c>
      <c r="L33" s="35" t="str">
        <f>IFERROR(INDEX(PRENOTAZIONI!$L:$L,SMALL(PRENOTAZIONI!$AC:$AC,30)),"")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34" t="str">
        <f>IFERROR(INDEX(PRENOTAZIONI!$R:$R,SMALL(PRENOTAZIONI!$AC:$AC,30)),"")</f>
        <v/>
      </c>
      <c r="S33" s="31"/>
      <c r="T33" s="80" t="str">
        <f>IFERROR(INDEX(PRENOTAZIONI!$A:$A,SMALL(PRENOTAZIONI!$AQ:$AQ,30)),"")</f>
        <v/>
      </c>
      <c r="U33" s="31" t="str">
        <f>IFERROR(INDEX(PRENOTAZIONI!$B:$B,SMALL(PRENOTAZIONI!$AQ:$AQ,30)),"")</f>
        <v/>
      </c>
      <c r="V33" s="32" t="str">
        <f t="shared" si="6"/>
        <v/>
      </c>
      <c r="W33" s="34" t="str">
        <f>IFERROR(INDEX(PRENOTAZIONI!$E:$E,SMALL(PRENOTAZIONI!$AQ:$AQ,30)),"")</f>
        <v/>
      </c>
      <c r="X33" s="34" t="str">
        <f>IFERROR(INDEX(PRENOTAZIONI!$F:$F,SMALL(PRENOTAZIONI!$AQ:$AQ,30)),"")</f>
        <v/>
      </c>
      <c r="Y33" s="35" t="str">
        <f>IFERROR(INDEX(PRENOTAZIONI!$H:$H,SMALL(PRENOTAZIONI!$AQ:$AQ,30)),"")</f>
        <v/>
      </c>
      <c r="Z33" s="34" t="str">
        <f>IFERROR(INDEX(PRENOTAZIONI!$K:$K,SMALL(PRENOTAZIONI!$AQ:$AQ,30)),"")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IFERROR(INDEX(PRENOTAZIONI!$A:$A,SMALL(PRENOTAZIONI!$AC:$AC,31)),"")</f>
        <v/>
      </c>
      <c r="B34" s="31" t="str">
        <f>IFERROR(INDEX(PRENOTAZIONI!$B:$B,SMALL(PRENOTAZIONI!$AC:$AC,31)),"")</f>
        <v/>
      </c>
      <c r="C34" s="32" t="str">
        <f t="shared" si="0"/>
        <v/>
      </c>
      <c r="D34" s="34" t="str">
        <f>IFERROR(INDEX(PRENOTAZIONI!$E:$E,SMALL(PRENOTAZIONI!$AC:$AC,31)),"")</f>
        <v/>
      </c>
      <c r="E34" s="34" t="str">
        <f>IFERROR(INDEX(PRENOTAZIONI!$F:$F,SMALL(PRENOTAZIONI!$AC:$AC,31)),"")</f>
        <v/>
      </c>
      <c r="F34" s="34" t="str">
        <f>IFERROR(INDEX(PRENOTAZIONI!$G:$G,SMALL(PRENOTAZIONI!$AC:$AC,31)),"")</f>
        <v/>
      </c>
      <c r="G34" s="35" t="str">
        <f>IFERROR(INDEX(PRENOTAZIONI!$H:$H,SMALL(PRENOTAZIONI!$AC:$AC,31)),"")</f>
        <v/>
      </c>
      <c r="H34" s="146" t="str">
        <f t="shared" si="1"/>
        <v/>
      </c>
      <c r="I34" s="35" t="str">
        <f t="shared" si="2"/>
        <v/>
      </c>
      <c r="J34" s="149" t="str">
        <f t="shared" si="9"/>
        <v/>
      </c>
      <c r="K34" s="34" t="str">
        <f>IFERROR(INDEX(PRENOTAZIONI!$K:$K,SMALL(PRENOTAZIONI!$AC:$AC,31)),"")</f>
        <v/>
      </c>
      <c r="L34" s="35" t="str">
        <f>IFERROR(INDEX(PRENOTAZIONI!$L:$L,SMALL(PRENOTAZIONI!$AC:$AC,31)),"")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34" t="str">
        <f>IFERROR(INDEX(PRENOTAZIONI!$R:$R,SMALL(PRENOTAZIONI!$AC:$AC,31)),"")</f>
        <v/>
      </c>
      <c r="S34" s="20"/>
      <c r="T34" s="85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IFERROR(INDEX(PRENOTAZIONI!$A:$A,SMALL(PRENOTAZIONI!$AC:$AC,32)),"")</f>
        <v/>
      </c>
      <c r="B35" s="31" t="str">
        <f>IFERROR(INDEX(PRENOTAZIONI!$B:$B,SMALL(PRENOTAZIONI!$AC:$AC,32)),"")</f>
        <v/>
      </c>
      <c r="C35" s="32" t="str">
        <f t="shared" si="0"/>
        <v/>
      </c>
      <c r="D35" s="34" t="str">
        <f>IFERROR(INDEX(PRENOTAZIONI!$E:$E,SMALL(PRENOTAZIONI!$AC:$AC,32)),"")</f>
        <v/>
      </c>
      <c r="E35" s="34" t="str">
        <f>IFERROR(INDEX(PRENOTAZIONI!$F:$F,SMALL(PRENOTAZIONI!$AC:$AC,32)),"")</f>
        <v/>
      </c>
      <c r="F35" s="34" t="str">
        <f>IFERROR(INDEX(PRENOTAZIONI!$G:$G,SMALL(PRENOTAZIONI!$AC:$AC,32)),"")</f>
        <v/>
      </c>
      <c r="G35" s="35" t="str">
        <f>IFERROR(INDEX(PRENOTAZIONI!$H:$H,SMALL(PRENOTAZIONI!$AC:$AC,32)),"")</f>
        <v/>
      </c>
      <c r="H35" s="146" t="str">
        <f t="shared" si="1"/>
        <v/>
      </c>
      <c r="I35" s="35" t="str">
        <f t="shared" si="2"/>
        <v/>
      </c>
      <c r="J35" s="149" t="str">
        <f t="shared" si="9"/>
        <v/>
      </c>
      <c r="K35" s="34" t="str">
        <f>IFERROR(INDEX(PRENOTAZIONI!$K:$K,SMALL(PRENOTAZIONI!$AC:$AC,32)),"")</f>
        <v/>
      </c>
      <c r="L35" s="35" t="str">
        <f>IFERROR(INDEX(PRENOTAZIONI!$L:$L,SMALL(PRENOTAZIONI!$AC:$AC,32)),"")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34" t="str">
        <f>IFERROR(INDEX(PRENOTAZIONI!$R:$R,SMALL(PRENOTAZIONI!$AC:$AC,32)),"")</f>
        <v/>
      </c>
      <c r="T35" s="77"/>
    </row>
    <row r="36" spans="1:30" ht="22" customHeight="1" x14ac:dyDescent="0.25">
      <c r="A36" s="31" t="str">
        <f>IFERROR(INDEX(PRENOTAZIONI!$A:$A,SMALL(PRENOTAZIONI!$AC:$AC,33)),"")</f>
        <v/>
      </c>
      <c r="B36" s="31" t="str">
        <f>IFERROR(INDEX(PRENOTAZIONI!$B:$B,SMALL(PRENOTAZIONI!$AC:$AC,33)),"")</f>
        <v/>
      </c>
      <c r="C36" s="32" t="str">
        <f t="shared" ref="C36:C63" si="11">IF(A36&lt;&gt;"",B36-A36,"")</f>
        <v/>
      </c>
      <c r="D36" s="34" t="str">
        <f>IFERROR(INDEX(PRENOTAZIONI!$E:$E,SMALL(PRENOTAZIONI!$AC:$AC,33)),"")</f>
        <v/>
      </c>
      <c r="E36" s="34" t="str">
        <f>IFERROR(INDEX(PRENOTAZIONI!$F:$F,SMALL(PRENOTAZIONI!$AC:$AC,33)),"")</f>
        <v/>
      </c>
      <c r="F36" s="34" t="str">
        <f>IFERROR(INDEX(PRENOTAZIONI!$G:$G,SMALL(PRENOTAZIONI!$AC:$AC,33)),"")</f>
        <v/>
      </c>
      <c r="G36" s="35" t="str">
        <f>IFERROR(INDEX(PRENOTAZIONI!$H:$H,SMALL(PRENOTAZIONI!$AC:$AC,33)),"")</f>
        <v/>
      </c>
      <c r="H36" s="146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ref="J36:J63" si="14">IF(H36&lt;&gt;"",H36*0.22,"")</f>
        <v/>
      </c>
      <c r="K36" s="34" t="str">
        <f>IFERROR(INDEX(PRENOTAZIONI!$K:$K,SMALL(PRENOTAZIONI!$AC:$AC,33)),"")</f>
        <v/>
      </c>
      <c r="L36" s="35" t="str">
        <f>IFERROR(INDEX(PRENOTAZIONI!$L:$L,SMALL(PRENOTAZIONI!$AC:$AC,33)),"")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34" t="str">
        <f>IFERROR(INDEX(PRENOTAZIONI!$R:$R,SMALL(PRENOTAZIONI!$AC:$AC,33)),"")</f>
        <v/>
      </c>
      <c r="T36" s="77"/>
    </row>
    <row r="37" spans="1:30" ht="22" customHeight="1" x14ac:dyDescent="0.25">
      <c r="A37" s="31" t="str">
        <f>IFERROR(INDEX(PRENOTAZIONI!$A:$A,SMALL(PRENOTAZIONI!$AC:$AC,34)),"")</f>
        <v/>
      </c>
      <c r="B37" s="31" t="str">
        <f>IFERROR(INDEX(PRENOTAZIONI!$B:$B,SMALL(PRENOTAZIONI!$AC:$AC,34)),"")</f>
        <v/>
      </c>
      <c r="C37" s="32" t="str">
        <f t="shared" si="11"/>
        <v/>
      </c>
      <c r="D37" s="34" t="str">
        <f>IFERROR(INDEX(PRENOTAZIONI!$E:$E,SMALL(PRENOTAZIONI!$AC:$AC,34)),"")</f>
        <v/>
      </c>
      <c r="E37" s="34" t="str">
        <f>IFERROR(INDEX(PRENOTAZIONI!$F:$F,SMALL(PRENOTAZIONI!$AC:$AC,34)),"")</f>
        <v/>
      </c>
      <c r="F37" s="34" t="str">
        <f>IFERROR(INDEX(PRENOTAZIONI!$G:$G,SMALL(PRENOTAZIONI!$AC:$AC,34)),"")</f>
        <v/>
      </c>
      <c r="G37" s="35" t="str">
        <f>IFERROR(INDEX(PRENOTAZIONI!$H:$H,SMALL(PRENOTAZIONI!$AC:$AC,34)),"")</f>
        <v/>
      </c>
      <c r="H37" s="146" t="str">
        <f t="shared" si="12"/>
        <v/>
      </c>
      <c r="I37" s="35" t="str">
        <f t="shared" si="13"/>
        <v/>
      </c>
      <c r="J37" s="149" t="str">
        <f t="shared" si="14"/>
        <v/>
      </c>
      <c r="K37" s="34" t="str">
        <f>IFERROR(INDEX(PRENOTAZIONI!$K:$K,SMALL(PRENOTAZIONI!$AC:$AC,34)),"")</f>
        <v/>
      </c>
      <c r="L37" s="35" t="str">
        <f>IFERROR(INDEX(PRENOTAZIONI!$L:$L,SMALL(PRENOTAZIONI!$AC:$AC,34)),"")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34" t="str">
        <f>IFERROR(INDEX(PRENOTAZIONI!$R:$R,SMALL(PRENOTAZIONI!$AC:$AC,34)),"")</f>
        <v/>
      </c>
      <c r="T37" s="77"/>
    </row>
    <row r="38" spans="1:30" ht="22" customHeight="1" x14ac:dyDescent="0.25">
      <c r="A38" s="31" t="str">
        <f>IFERROR(INDEX(PRENOTAZIONI!$A:$A,SMALL(PRENOTAZIONI!$AC:$AC,35)),"")</f>
        <v/>
      </c>
      <c r="B38" s="31" t="str">
        <f>IFERROR(INDEX(PRENOTAZIONI!$B:$B,SMALL(PRENOTAZIONI!$AC:$AC,35)),"")</f>
        <v/>
      </c>
      <c r="C38" s="32" t="str">
        <f t="shared" si="11"/>
        <v/>
      </c>
      <c r="D38" s="34" t="str">
        <f>IFERROR(INDEX(PRENOTAZIONI!$E:$E,SMALL(PRENOTAZIONI!$AC:$AC,35)),"")</f>
        <v/>
      </c>
      <c r="E38" s="34" t="str">
        <f>IFERROR(INDEX(PRENOTAZIONI!$F:$F,SMALL(PRENOTAZIONI!$AC:$AC,35)),"")</f>
        <v/>
      </c>
      <c r="F38" s="34" t="str">
        <f>IFERROR(INDEX(PRENOTAZIONI!$G:$G,SMALL(PRENOTAZIONI!$AC:$AC,35)),"")</f>
        <v/>
      </c>
      <c r="G38" s="35" t="str">
        <f>IFERROR(INDEX(PRENOTAZIONI!$H:$H,SMALL(PRENOTAZIONI!$AC:$AC,35)),"")</f>
        <v/>
      </c>
      <c r="H38" s="146" t="str">
        <f t="shared" si="12"/>
        <v/>
      </c>
      <c r="I38" s="35" t="str">
        <f t="shared" si="13"/>
        <v/>
      </c>
      <c r="J38" s="149" t="str">
        <f t="shared" si="14"/>
        <v/>
      </c>
      <c r="K38" s="34" t="str">
        <f>IFERROR(INDEX(PRENOTAZIONI!$K:$K,SMALL(PRENOTAZIONI!$AC:$AC,35)),"")</f>
        <v/>
      </c>
      <c r="L38" s="35" t="str">
        <f>IFERROR(INDEX(PRENOTAZIONI!$L:$L,SMALL(PRENOTAZIONI!$AC:$AC,35)),"")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34" t="str">
        <f>IFERROR(INDEX(PRENOTAZIONI!$R:$R,SMALL(PRENOTAZIONI!$AC:$AC,35)),"")</f>
        <v/>
      </c>
      <c r="T38" s="77"/>
    </row>
    <row r="39" spans="1:30" ht="22" customHeight="1" x14ac:dyDescent="0.25">
      <c r="A39" s="31" t="str">
        <f>IFERROR(INDEX(PRENOTAZIONI!$A:$A,SMALL(PRENOTAZIONI!$AC:$AC,36)),"")</f>
        <v/>
      </c>
      <c r="B39" s="31" t="str">
        <f>IFERROR(INDEX(PRENOTAZIONI!$B:$B,SMALL(PRENOTAZIONI!$AC:$AC,36)),"")</f>
        <v/>
      </c>
      <c r="C39" s="32" t="str">
        <f t="shared" si="11"/>
        <v/>
      </c>
      <c r="D39" s="34" t="str">
        <f>IFERROR(INDEX(PRENOTAZIONI!$E:$E,SMALL(PRENOTAZIONI!$AC:$AC,36)),"")</f>
        <v/>
      </c>
      <c r="E39" s="34" t="str">
        <f>IFERROR(INDEX(PRENOTAZIONI!$F:$F,SMALL(PRENOTAZIONI!$AC:$AC,36)),"")</f>
        <v/>
      </c>
      <c r="F39" s="34" t="str">
        <f>IFERROR(INDEX(PRENOTAZIONI!$G:$G,SMALL(PRENOTAZIONI!$AC:$AC,36)),"")</f>
        <v/>
      </c>
      <c r="G39" s="35" t="str">
        <f>IFERROR(INDEX(PRENOTAZIONI!$H:$H,SMALL(PRENOTAZIONI!$AC:$AC,36)),"")</f>
        <v/>
      </c>
      <c r="H39" s="146" t="str">
        <f t="shared" si="12"/>
        <v/>
      </c>
      <c r="I39" s="35" t="str">
        <f t="shared" si="13"/>
        <v/>
      </c>
      <c r="J39" s="149" t="str">
        <f t="shared" si="14"/>
        <v/>
      </c>
      <c r="K39" s="34" t="str">
        <f>IFERROR(INDEX(PRENOTAZIONI!$K:$K,SMALL(PRENOTAZIONI!$AC:$AC,36)),"")</f>
        <v/>
      </c>
      <c r="L39" s="35" t="str">
        <f>IFERROR(INDEX(PRENOTAZIONI!$L:$L,SMALL(PRENOTAZIONI!$AC:$AC,36)),"")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34" t="str">
        <f>IFERROR(INDEX(PRENOTAZIONI!$R:$R,SMALL(PRENOTAZIONI!$AC:$AC,36)),"")</f>
        <v/>
      </c>
      <c r="T39" s="77"/>
    </row>
    <row r="40" spans="1:30" ht="22" customHeight="1" x14ac:dyDescent="0.25">
      <c r="A40" s="31" t="str">
        <f>IFERROR(INDEX(PRENOTAZIONI!$A:$A,SMALL(PRENOTAZIONI!$AC:$AC,37)),"")</f>
        <v/>
      </c>
      <c r="B40" s="31" t="str">
        <f>IFERROR(INDEX(PRENOTAZIONI!$B:$B,SMALL(PRENOTAZIONI!$AC:$AC,37)),"")</f>
        <v/>
      </c>
      <c r="C40" s="32" t="str">
        <f t="shared" si="11"/>
        <v/>
      </c>
      <c r="D40" s="34" t="str">
        <f>IFERROR(INDEX(PRENOTAZIONI!$E:$E,SMALL(PRENOTAZIONI!$AC:$AC,37)),"")</f>
        <v/>
      </c>
      <c r="E40" s="34" t="str">
        <f>IFERROR(INDEX(PRENOTAZIONI!$F:$F,SMALL(PRENOTAZIONI!$AC:$AC,37)),"")</f>
        <v/>
      </c>
      <c r="F40" s="34" t="str">
        <f>IFERROR(INDEX(PRENOTAZIONI!$G:$G,SMALL(PRENOTAZIONI!$AC:$AC,37)),"")</f>
        <v/>
      </c>
      <c r="G40" s="35" t="str">
        <f>IFERROR(INDEX(PRENOTAZIONI!$H:$H,SMALL(PRENOTAZIONI!$AC:$AC,37)),"")</f>
        <v/>
      </c>
      <c r="H40" s="146" t="str">
        <f t="shared" si="12"/>
        <v/>
      </c>
      <c r="I40" s="35" t="str">
        <f t="shared" si="13"/>
        <v/>
      </c>
      <c r="J40" s="149" t="str">
        <f t="shared" si="14"/>
        <v/>
      </c>
      <c r="K40" s="34" t="str">
        <f>IFERROR(INDEX(PRENOTAZIONI!$K:$K,SMALL(PRENOTAZIONI!$AC:$AC,37)),"")</f>
        <v/>
      </c>
      <c r="L40" s="35" t="str">
        <f>IFERROR(INDEX(PRENOTAZIONI!$L:$L,SMALL(PRENOTAZIONI!$AC:$AC,37)),"")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34" t="str">
        <f>IFERROR(INDEX(PRENOTAZIONI!$R:$R,SMALL(PRENOTAZIONI!$AC:$AC,37)),"")</f>
        <v/>
      </c>
      <c r="T40" s="77"/>
    </row>
    <row r="41" spans="1:30" ht="22" customHeight="1" x14ac:dyDescent="0.25">
      <c r="A41" s="31" t="str">
        <f>IFERROR(INDEX(PRENOTAZIONI!$A:$A,SMALL(PRENOTAZIONI!$AC:$AC,38)),"")</f>
        <v/>
      </c>
      <c r="B41" s="31" t="str">
        <f>IFERROR(INDEX(PRENOTAZIONI!$B:$B,SMALL(PRENOTAZIONI!$AC:$AC,38)),"")</f>
        <v/>
      </c>
      <c r="C41" s="32" t="str">
        <f t="shared" si="11"/>
        <v/>
      </c>
      <c r="D41" s="34" t="str">
        <f>IFERROR(INDEX(PRENOTAZIONI!$E:$E,SMALL(PRENOTAZIONI!$AC:$AC,38)),"")</f>
        <v/>
      </c>
      <c r="E41" s="34" t="str">
        <f>IFERROR(INDEX(PRENOTAZIONI!$F:$F,SMALL(PRENOTAZIONI!$AC:$AC,38)),"")</f>
        <v/>
      </c>
      <c r="F41" s="34" t="str">
        <f>IFERROR(INDEX(PRENOTAZIONI!$G:$G,SMALL(PRENOTAZIONI!$AC:$AC,38)),"")</f>
        <v/>
      </c>
      <c r="G41" s="35" t="str">
        <f>IFERROR(INDEX(PRENOTAZIONI!$H:$H,SMALL(PRENOTAZIONI!$AC:$AC,38)),"")</f>
        <v/>
      </c>
      <c r="H41" s="146" t="str">
        <f t="shared" si="12"/>
        <v/>
      </c>
      <c r="I41" s="35" t="str">
        <f t="shared" si="13"/>
        <v/>
      </c>
      <c r="J41" s="149" t="str">
        <f t="shared" si="14"/>
        <v/>
      </c>
      <c r="K41" s="34" t="str">
        <f>IFERROR(INDEX(PRENOTAZIONI!$K:$K,SMALL(PRENOTAZIONI!$AC:$AC,38)),"")</f>
        <v/>
      </c>
      <c r="L41" s="35" t="str">
        <f>IFERROR(INDEX(PRENOTAZIONI!$L:$L,SMALL(PRENOTAZIONI!$AC:$AC,38)),"")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34" t="str">
        <f>IFERROR(INDEX(PRENOTAZIONI!$R:$R,SMALL(PRENOTAZIONI!$AC:$AC,38)),"")</f>
        <v/>
      </c>
      <c r="T41" s="77"/>
    </row>
    <row r="42" spans="1:30" ht="22" customHeight="1" x14ac:dyDescent="0.25">
      <c r="A42" s="31" t="str">
        <f>IFERROR(INDEX(PRENOTAZIONI!$A:$A,SMALL(PRENOTAZIONI!$AC:$AC,39)),"")</f>
        <v/>
      </c>
      <c r="B42" s="31" t="str">
        <f>IFERROR(INDEX(PRENOTAZIONI!$B:$B,SMALL(PRENOTAZIONI!$AC:$AC,39)),"")</f>
        <v/>
      </c>
      <c r="C42" s="32" t="str">
        <f t="shared" si="11"/>
        <v/>
      </c>
      <c r="D42" s="34" t="str">
        <f>IFERROR(INDEX(PRENOTAZIONI!$E:$E,SMALL(PRENOTAZIONI!$AC:$AC,39)),"")</f>
        <v/>
      </c>
      <c r="E42" s="34" t="str">
        <f>IFERROR(INDEX(PRENOTAZIONI!$F:$F,SMALL(PRENOTAZIONI!$AC:$AC,39)),"")</f>
        <v/>
      </c>
      <c r="F42" s="34" t="str">
        <f>IFERROR(INDEX(PRENOTAZIONI!$G:$G,SMALL(PRENOTAZIONI!$AC:$AC,39)),"")</f>
        <v/>
      </c>
      <c r="G42" s="35" t="str">
        <f>IFERROR(INDEX(PRENOTAZIONI!$H:$H,SMALL(PRENOTAZIONI!$AC:$AC,39)),"")</f>
        <v/>
      </c>
      <c r="H42" s="146" t="str">
        <f t="shared" si="12"/>
        <v/>
      </c>
      <c r="I42" s="35" t="str">
        <f t="shared" si="13"/>
        <v/>
      </c>
      <c r="J42" s="149" t="str">
        <f t="shared" si="14"/>
        <v/>
      </c>
      <c r="K42" s="34" t="str">
        <f>IFERROR(INDEX(PRENOTAZIONI!$K:$K,SMALL(PRENOTAZIONI!$AC:$AC,39)),"")</f>
        <v/>
      </c>
      <c r="L42" s="35" t="str">
        <f>IFERROR(INDEX(PRENOTAZIONI!$L:$L,SMALL(PRENOTAZIONI!$AC:$AC,39)),"")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34" t="str">
        <f>IFERROR(INDEX(PRENOTAZIONI!$R:$R,SMALL(PRENOTAZIONI!$AC:$AC,39)),"")</f>
        <v/>
      </c>
      <c r="T42" s="77"/>
    </row>
    <row r="43" spans="1:30" ht="22" customHeight="1" x14ac:dyDescent="0.25">
      <c r="A43" s="31" t="str">
        <f>IFERROR(INDEX(PRENOTAZIONI!$A:$A,SMALL(PRENOTAZIONI!$AC:$AC,40)),"")</f>
        <v/>
      </c>
      <c r="B43" s="31" t="str">
        <f>IFERROR(INDEX(PRENOTAZIONI!$B:$B,SMALL(PRENOTAZIONI!$AC:$AC,40)),"")</f>
        <v/>
      </c>
      <c r="C43" s="32" t="str">
        <f t="shared" si="11"/>
        <v/>
      </c>
      <c r="D43" s="34" t="str">
        <f>IFERROR(INDEX(PRENOTAZIONI!$E:$E,SMALL(PRENOTAZIONI!$AC:$AC,40)),"")</f>
        <v/>
      </c>
      <c r="E43" s="34" t="str">
        <f>IFERROR(INDEX(PRENOTAZIONI!$F:$F,SMALL(PRENOTAZIONI!$AC:$AC,40)),"")</f>
        <v/>
      </c>
      <c r="F43" s="34" t="str">
        <f>IFERROR(INDEX(PRENOTAZIONI!$G:$G,SMALL(PRENOTAZIONI!$AC:$AC,40)),"")</f>
        <v/>
      </c>
      <c r="G43" s="35" t="str">
        <f>IFERROR(INDEX(PRENOTAZIONI!$H:$H,SMALL(PRENOTAZIONI!$AC:$AC,40)),"")</f>
        <v/>
      </c>
      <c r="H43" s="146" t="str">
        <f t="shared" si="12"/>
        <v/>
      </c>
      <c r="I43" s="35" t="str">
        <f t="shared" si="13"/>
        <v/>
      </c>
      <c r="J43" s="149" t="str">
        <f t="shared" si="14"/>
        <v/>
      </c>
      <c r="K43" s="34" t="str">
        <f>IFERROR(INDEX(PRENOTAZIONI!$K:$K,SMALL(PRENOTAZIONI!$AC:$AC,40)),"")</f>
        <v/>
      </c>
      <c r="L43" s="35" t="str">
        <f>IFERROR(INDEX(PRENOTAZIONI!$L:$L,SMALL(PRENOTAZIONI!$AC:$AC,40)),"")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34" t="str">
        <f>IFERROR(INDEX(PRENOTAZIONI!$R:$R,SMALL(PRENOTAZIONI!$AC:$AC,40)),"")</f>
        <v/>
      </c>
      <c r="T43" s="77"/>
    </row>
    <row r="44" spans="1:30" ht="22" customHeight="1" x14ac:dyDescent="0.25">
      <c r="A44" s="31" t="str">
        <f>IFERROR(INDEX(PRENOTAZIONI!$A:$A,SMALL(PRENOTAZIONI!$AC:$AC,41)),"")</f>
        <v/>
      </c>
      <c r="B44" s="31" t="str">
        <f>IFERROR(INDEX(PRENOTAZIONI!$B:$B,SMALL(PRENOTAZIONI!$AC:$AC,41)),"")</f>
        <v/>
      </c>
      <c r="C44" s="32" t="str">
        <f t="shared" si="11"/>
        <v/>
      </c>
      <c r="D44" s="34" t="str">
        <f>IFERROR(INDEX(PRENOTAZIONI!$E:$E,SMALL(PRENOTAZIONI!$AC:$AC,41)),"")</f>
        <v/>
      </c>
      <c r="E44" s="34" t="str">
        <f>IFERROR(INDEX(PRENOTAZIONI!$F:$F,SMALL(PRENOTAZIONI!$AC:$AC,41)),"")</f>
        <v/>
      </c>
      <c r="F44" s="34" t="str">
        <f>IFERROR(INDEX(PRENOTAZIONI!$G:$G,SMALL(PRENOTAZIONI!$AC:$AC,41)),"")</f>
        <v/>
      </c>
      <c r="G44" s="35" t="str">
        <f>IFERROR(INDEX(PRENOTAZIONI!$H:$H,SMALL(PRENOTAZIONI!$AC:$AC,41)),"")</f>
        <v/>
      </c>
      <c r="H44" s="146" t="str">
        <f t="shared" si="12"/>
        <v/>
      </c>
      <c r="I44" s="35" t="str">
        <f t="shared" si="13"/>
        <v/>
      </c>
      <c r="J44" s="149" t="str">
        <f t="shared" si="14"/>
        <v/>
      </c>
      <c r="K44" s="34" t="str">
        <f>IFERROR(INDEX(PRENOTAZIONI!$K:$K,SMALL(PRENOTAZIONI!$AC:$AC,41)),"")</f>
        <v/>
      </c>
      <c r="L44" s="35" t="str">
        <f>IFERROR(INDEX(PRENOTAZIONI!$L:$L,SMALL(PRENOTAZIONI!$AC:$AC,41)),"")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34" t="str">
        <f>IFERROR(INDEX(PRENOTAZIONI!$R:$R,SMALL(PRENOTAZIONI!$AC:$AC,41)),"")</f>
        <v/>
      </c>
      <c r="T44" s="77"/>
    </row>
    <row r="45" spans="1:30" ht="22" customHeight="1" x14ac:dyDescent="0.25">
      <c r="A45" s="31" t="str">
        <f>IFERROR(INDEX(PRENOTAZIONI!$A:$A,SMALL(PRENOTAZIONI!$AC:$AC,42)),"")</f>
        <v/>
      </c>
      <c r="B45" s="31" t="str">
        <f>IFERROR(INDEX(PRENOTAZIONI!$B:$B,SMALL(PRENOTAZIONI!$AC:$AC,42)),"")</f>
        <v/>
      </c>
      <c r="C45" s="32" t="str">
        <f t="shared" si="11"/>
        <v/>
      </c>
      <c r="D45" s="34" t="str">
        <f>IFERROR(INDEX(PRENOTAZIONI!$E:$E,SMALL(PRENOTAZIONI!$AC:$AC,42)),"")</f>
        <v/>
      </c>
      <c r="E45" s="34" t="str">
        <f>IFERROR(INDEX(PRENOTAZIONI!$F:$F,SMALL(PRENOTAZIONI!$AC:$AC,42)),"")</f>
        <v/>
      </c>
      <c r="F45" s="34" t="str">
        <f>IFERROR(INDEX(PRENOTAZIONI!$G:$G,SMALL(PRENOTAZIONI!$AC:$AC,42)),"")</f>
        <v/>
      </c>
      <c r="G45" s="35" t="str">
        <f>IFERROR(INDEX(PRENOTAZIONI!$H:$H,SMALL(PRENOTAZIONI!$AC:$AC,42)),"")</f>
        <v/>
      </c>
      <c r="H45" s="146" t="str">
        <f t="shared" si="12"/>
        <v/>
      </c>
      <c r="I45" s="35" t="str">
        <f t="shared" si="13"/>
        <v/>
      </c>
      <c r="J45" s="149" t="str">
        <f t="shared" si="14"/>
        <v/>
      </c>
      <c r="K45" s="34" t="str">
        <f>IFERROR(INDEX(PRENOTAZIONI!$K:$K,SMALL(PRENOTAZIONI!$AC:$AC,42)),"")</f>
        <v/>
      </c>
      <c r="L45" s="35" t="str">
        <f>IFERROR(INDEX(PRENOTAZIONI!$L:$L,SMALL(PRENOTAZIONI!$AC:$AC,42)),"")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34" t="str">
        <f>IFERROR(INDEX(PRENOTAZIONI!$R:$R,SMALL(PRENOTAZIONI!$AC:$AC,42)),"")</f>
        <v/>
      </c>
      <c r="T45" s="77"/>
    </row>
    <row r="46" spans="1:30" ht="22" customHeight="1" x14ac:dyDescent="0.25">
      <c r="A46" s="31" t="str">
        <f>IFERROR(INDEX(PRENOTAZIONI!$A:$A,SMALL(PRENOTAZIONI!$AC:$AC,43)),"")</f>
        <v/>
      </c>
      <c r="B46" s="31" t="str">
        <f>IFERROR(INDEX(PRENOTAZIONI!$B:$B,SMALL(PRENOTAZIONI!$AC:$AC,43)),"")</f>
        <v/>
      </c>
      <c r="C46" s="32" t="str">
        <f t="shared" si="11"/>
        <v/>
      </c>
      <c r="D46" s="34" t="str">
        <f>IFERROR(INDEX(PRENOTAZIONI!$E:$E,SMALL(PRENOTAZIONI!$AC:$AC,43)),"")</f>
        <v/>
      </c>
      <c r="E46" s="34" t="str">
        <f>IFERROR(INDEX(PRENOTAZIONI!$F:$F,SMALL(PRENOTAZIONI!$AC:$AC,43)),"")</f>
        <v/>
      </c>
      <c r="F46" s="34" t="str">
        <f>IFERROR(INDEX(PRENOTAZIONI!$G:$G,SMALL(PRENOTAZIONI!$AC:$AC,43)),"")</f>
        <v/>
      </c>
      <c r="G46" s="35" t="str">
        <f>IFERROR(INDEX(PRENOTAZIONI!$H:$H,SMALL(PRENOTAZIONI!$AC:$AC,43)),"")</f>
        <v/>
      </c>
      <c r="H46" s="146" t="str">
        <f t="shared" si="12"/>
        <v/>
      </c>
      <c r="I46" s="35" t="str">
        <f t="shared" si="13"/>
        <v/>
      </c>
      <c r="J46" s="149" t="str">
        <f t="shared" si="14"/>
        <v/>
      </c>
      <c r="K46" s="34" t="str">
        <f>IFERROR(INDEX(PRENOTAZIONI!$K:$K,SMALL(PRENOTAZIONI!$AC:$AC,43)),"")</f>
        <v/>
      </c>
      <c r="L46" s="35" t="str">
        <f>IFERROR(INDEX(PRENOTAZIONI!$L:$L,SMALL(PRENOTAZIONI!$AC:$AC,43)),"")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34" t="str">
        <f>IFERROR(INDEX(PRENOTAZIONI!$R:$R,SMALL(PRENOTAZIONI!$AC:$AC,43)),"")</f>
        <v/>
      </c>
      <c r="T46" s="77"/>
    </row>
    <row r="47" spans="1:30" ht="22" customHeight="1" x14ac:dyDescent="0.25">
      <c r="A47" s="31" t="str">
        <f>IFERROR(INDEX(PRENOTAZIONI!$A:$A,SMALL(PRENOTAZIONI!$AC:$AC,44)),"")</f>
        <v/>
      </c>
      <c r="B47" s="31" t="str">
        <f>IFERROR(INDEX(PRENOTAZIONI!$B:$B,SMALL(PRENOTAZIONI!$AC:$AC,44)),"")</f>
        <v/>
      </c>
      <c r="C47" s="32" t="str">
        <f t="shared" si="11"/>
        <v/>
      </c>
      <c r="D47" s="34" t="str">
        <f>IFERROR(INDEX(PRENOTAZIONI!$E:$E,SMALL(PRENOTAZIONI!$AC:$AC,44)),"")</f>
        <v/>
      </c>
      <c r="E47" s="34" t="str">
        <f>IFERROR(INDEX(PRENOTAZIONI!$F:$F,SMALL(PRENOTAZIONI!$AC:$AC,44)),"")</f>
        <v/>
      </c>
      <c r="F47" s="34" t="str">
        <f>IFERROR(INDEX(PRENOTAZIONI!$G:$G,SMALL(PRENOTAZIONI!$AC:$AC,44)),"")</f>
        <v/>
      </c>
      <c r="G47" s="35" t="str">
        <f>IFERROR(INDEX(PRENOTAZIONI!$H:$H,SMALL(PRENOTAZIONI!$AC:$AC,44)),"")</f>
        <v/>
      </c>
      <c r="H47" s="146" t="str">
        <f t="shared" si="12"/>
        <v/>
      </c>
      <c r="I47" s="35" t="str">
        <f t="shared" si="13"/>
        <v/>
      </c>
      <c r="J47" s="149" t="str">
        <f t="shared" si="14"/>
        <v/>
      </c>
      <c r="K47" s="34" t="str">
        <f>IFERROR(INDEX(PRENOTAZIONI!$K:$K,SMALL(PRENOTAZIONI!$AC:$AC,44)),"")</f>
        <v/>
      </c>
      <c r="L47" s="35" t="str">
        <f>IFERROR(INDEX(PRENOTAZIONI!$L:$L,SMALL(PRENOTAZIONI!$AC:$AC,44)),"")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34" t="str">
        <f>IFERROR(INDEX(PRENOTAZIONI!$R:$R,SMALL(PRENOTAZIONI!$AC:$AC,44)),"")</f>
        <v/>
      </c>
      <c r="T47" s="77"/>
    </row>
    <row r="48" spans="1:30" ht="22" customHeight="1" x14ac:dyDescent="0.25">
      <c r="A48" s="31" t="str">
        <f>IFERROR(INDEX(PRENOTAZIONI!$A:$A,SMALL(PRENOTAZIONI!$AC:$AC,45)),"")</f>
        <v/>
      </c>
      <c r="B48" s="31" t="str">
        <f>IFERROR(INDEX(PRENOTAZIONI!$B:$B,SMALL(PRENOTAZIONI!$AC:$AC,45)),"")</f>
        <v/>
      </c>
      <c r="C48" s="32" t="str">
        <f t="shared" si="11"/>
        <v/>
      </c>
      <c r="D48" s="34" t="str">
        <f>IFERROR(INDEX(PRENOTAZIONI!$E:$E,SMALL(PRENOTAZIONI!$AC:$AC,45)),"")</f>
        <v/>
      </c>
      <c r="E48" s="34" t="str">
        <f>IFERROR(INDEX(PRENOTAZIONI!$F:$F,SMALL(PRENOTAZIONI!$AC:$AC,45)),"")</f>
        <v/>
      </c>
      <c r="F48" s="34" t="str">
        <f>IFERROR(INDEX(PRENOTAZIONI!$G:$G,SMALL(PRENOTAZIONI!$AC:$AC,45)),"")</f>
        <v/>
      </c>
      <c r="G48" s="35" t="str">
        <f>IFERROR(INDEX(PRENOTAZIONI!$H:$H,SMALL(PRENOTAZIONI!$AC:$AC,45)),"")</f>
        <v/>
      </c>
      <c r="H48" s="146" t="str">
        <f t="shared" si="12"/>
        <v/>
      </c>
      <c r="I48" s="35" t="str">
        <f t="shared" si="13"/>
        <v/>
      </c>
      <c r="J48" s="149" t="str">
        <f t="shared" si="14"/>
        <v/>
      </c>
      <c r="K48" s="34" t="str">
        <f>IFERROR(INDEX(PRENOTAZIONI!$K:$K,SMALL(PRENOTAZIONI!$AC:$AC,45)),"")</f>
        <v/>
      </c>
      <c r="L48" s="35" t="str">
        <f>IFERROR(INDEX(PRENOTAZIONI!$L:$L,SMALL(PRENOTAZIONI!$AC:$AC,45)),"")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34" t="str">
        <f>IFERROR(INDEX(PRENOTAZIONI!$R:$R,SMALL(PRENOTAZIONI!$AC:$AC,45)),"")</f>
        <v/>
      </c>
      <c r="T48" s="77"/>
    </row>
    <row r="49" spans="1:20" ht="22" customHeight="1" x14ac:dyDescent="0.25">
      <c r="A49" s="31" t="str">
        <f>IFERROR(INDEX(PRENOTAZIONI!$A:$A,SMALL(PRENOTAZIONI!$AC:$AC,46)),"")</f>
        <v/>
      </c>
      <c r="B49" s="31" t="str">
        <f>IFERROR(INDEX(PRENOTAZIONI!$B:$B,SMALL(PRENOTAZIONI!$AC:$AC,46)),"")</f>
        <v/>
      </c>
      <c r="C49" s="32" t="str">
        <f t="shared" si="11"/>
        <v/>
      </c>
      <c r="D49" s="34" t="str">
        <f>IFERROR(INDEX(PRENOTAZIONI!$E:$E,SMALL(PRENOTAZIONI!$AC:$AC,46)),"")</f>
        <v/>
      </c>
      <c r="E49" s="34" t="str">
        <f>IFERROR(INDEX(PRENOTAZIONI!$F:$F,SMALL(PRENOTAZIONI!$AC:$AC,46)),"")</f>
        <v/>
      </c>
      <c r="F49" s="34" t="str">
        <f>IFERROR(INDEX(PRENOTAZIONI!$G:$G,SMALL(PRENOTAZIONI!$AC:$AC,46)),"")</f>
        <v/>
      </c>
      <c r="G49" s="35" t="str">
        <f>IFERROR(INDEX(PRENOTAZIONI!$H:$H,SMALL(PRENOTAZIONI!$AC:$AC,46)),"")</f>
        <v/>
      </c>
      <c r="H49" s="146" t="str">
        <f t="shared" si="12"/>
        <v/>
      </c>
      <c r="I49" s="35" t="str">
        <f t="shared" si="13"/>
        <v/>
      </c>
      <c r="J49" s="149" t="str">
        <f t="shared" si="14"/>
        <v/>
      </c>
      <c r="K49" s="34" t="str">
        <f>IFERROR(INDEX(PRENOTAZIONI!$K:$K,SMALL(PRENOTAZIONI!$AC:$AC,46)),"")</f>
        <v/>
      </c>
      <c r="L49" s="35" t="str">
        <f>IFERROR(INDEX(PRENOTAZIONI!$L:$L,SMALL(PRENOTAZIONI!$AC:$AC,46)),"")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34" t="str">
        <f>IFERROR(INDEX(PRENOTAZIONI!$R:$R,SMALL(PRENOTAZIONI!$AC:$AC,46)),"")</f>
        <v/>
      </c>
      <c r="T49" s="77"/>
    </row>
    <row r="50" spans="1:20" ht="22" customHeight="1" x14ac:dyDescent="0.25">
      <c r="A50" s="31" t="str">
        <f>IFERROR(INDEX(PRENOTAZIONI!$A:$A,SMALL(PRENOTAZIONI!$AC:$AC,47)),"")</f>
        <v/>
      </c>
      <c r="B50" s="31" t="str">
        <f>IFERROR(INDEX(PRENOTAZIONI!$B:$B,SMALL(PRENOTAZIONI!$AC:$AC,47)),"")</f>
        <v/>
      </c>
      <c r="C50" s="32" t="str">
        <f t="shared" si="11"/>
        <v/>
      </c>
      <c r="D50" s="34" t="str">
        <f>IFERROR(INDEX(PRENOTAZIONI!$E:$E,SMALL(PRENOTAZIONI!$AC:$AC,47)),"")</f>
        <v/>
      </c>
      <c r="E50" s="34" t="str">
        <f>IFERROR(INDEX(PRENOTAZIONI!$F:$F,SMALL(PRENOTAZIONI!$AC:$AC,47)),"")</f>
        <v/>
      </c>
      <c r="F50" s="34" t="str">
        <f>IFERROR(INDEX(PRENOTAZIONI!$G:$G,SMALL(PRENOTAZIONI!$AC:$AC,47)),"")</f>
        <v/>
      </c>
      <c r="G50" s="35" t="str">
        <f>IFERROR(INDEX(PRENOTAZIONI!$H:$H,SMALL(PRENOTAZIONI!$AC:$AC,47)),"")</f>
        <v/>
      </c>
      <c r="H50" s="146" t="str">
        <f t="shared" si="12"/>
        <v/>
      </c>
      <c r="I50" s="35" t="str">
        <f t="shared" si="13"/>
        <v/>
      </c>
      <c r="J50" s="149" t="str">
        <f t="shared" si="14"/>
        <v/>
      </c>
      <c r="K50" s="34" t="str">
        <f>IFERROR(INDEX(PRENOTAZIONI!$K:$K,SMALL(PRENOTAZIONI!$AC:$AC,47)),"")</f>
        <v/>
      </c>
      <c r="L50" s="35" t="str">
        <f>IFERROR(INDEX(PRENOTAZIONI!$L:$L,SMALL(PRENOTAZIONI!$AC:$AC,47)),"")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34" t="str">
        <f>IFERROR(INDEX(PRENOTAZIONI!$R:$R,SMALL(PRENOTAZIONI!$AC:$AC,47)),"")</f>
        <v/>
      </c>
      <c r="T50" s="77"/>
    </row>
    <row r="51" spans="1:20" ht="22" customHeight="1" x14ac:dyDescent="0.25">
      <c r="A51" s="31" t="str">
        <f>IFERROR(INDEX(PRENOTAZIONI!$A:$A,SMALL(PRENOTAZIONI!$AC:$AC,48)),"")</f>
        <v/>
      </c>
      <c r="B51" s="31" t="str">
        <f>IFERROR(INDEX(PRENOTAZIONI!$B:$B,SMALL(PRENOTAZIONI!$AC:$AC,48)),"")</f>
        <v/>
      </c>
      <c r="C51" s="32" t="str">
        <f t="shared" si="11"/>
        <v/>
      </c>
      <c r="D51" s="34" t="str">
        <f>IFERROR(INDEX(PRENOTAZIONI!$E:$E,SMALL(PRENOTAZIONI!$AC:$AC,48)),"")</f>
        <v/>
      </c>
      <c r="E51" s="34" t="str">
        <f>IFERROR(INDEX(PRENOTAZIONI!$F:$F,SMALL(PRENOTAZIONI!$AC:$AC,48)),"")</f>
        <v/>
      </c>
      <c r="F51" s="34" t="str">
        <f>IFERROR(INDEX(PRENOTAZIONI!$G:$G,SMALL(PRENOTAZIONI!$AC:$AC,48)),"")</f>
        <v/>
      </c>
      <c r="G51" s="35" t="str">
        <f>IFERROR(INDEX(PRENOTAZIONI!$H:$H,SMALL(PRENOTAZIONI!$AC:$AC,48)),"")</f>
        <v/>
      </c>
      <c r="H51" s="146" t="str">
        <f t="shared" si="12"/>
        <v/>
      </c>
      <c r="I51" s="35" t="str">
        <f t="shared" si="13"/>
        <v/>
      </c>
      <c r="J51" s="149" t="str">
        <f t="shared" si="14"/>
        <v/>
      </c>
      <c r="K51" s="34" t="str">
        <f>IFERROR(INDEX(PRENOTAZIONI!$K:$K,SMALL(PRENOTAZIONI!$AC:$AC,48)),"")</f>
        <v/>
      </c>
      <c r="L51" s="35" t="str">
        <f>IFERROR(INDEX(PRENOTAZIONI!$L:$L,SMALL(PRENOTAZIONI!$AC:$AC,48)),"")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34" t="str">
        <f>IFERROR(INDEX(PRENOTAZIONI!$R:$R,SMALL(PRENOTAZIONI!$AC:$AC,48)),"")</f>
        <v/>
      </c>
      <c r="T51" s="77"/>
    </row>
    <row r="52" spans="1:20" ht="22" customHeight="1" x14ac:dyDescent="0.25">
      <c r="A52" s="31" t="str">
        <f>IFERROR(INDEX(PRENOTAZIONI!$A:$A,SMALL(PRENOTAZIONI!$AC:$AC,49)),"")</f>
        <v/>
      </c>
      <c r="B52" s="31" t="str">
        <f>IFERROR(INDEX(PRENOTAZIONI!$B:$B,SMALL(PRENOTAZIONI!$AC:$AC,49)),"")</f>
        <v/>
      </c>
      <c r="C52" s="32" t="str">
        <f t="shared" si="11"/>
        <v/>
      </c>
      <c r="D52" s="34" t="str">
        <f>IFERROR(INDEX(PRENOTAZIONI!$E:$E,SMALL(PRENOTAZIONI!$AC:$AC,49)),"")</f>
        <v/>
      </c>
      <c r="E52" s="34" t="str">
        <f>IFERROR(INDEX(PRENOTAZIONI!$F:$F,SMALL(PRENOTAZIONI!$AC:$AC,49)),"")</f>
        <v/>
      </c>
      <c r="F52" s="34" t="str">
        <f>IFERROR(INDEX(PRENOTAZIONI!$G:$G,SMALL(PRENOTAZIONI!$AC:$AC,49)),"")</f>
        <v/>
      </c>
      <c r="G52" s="35" t="str">
        <f>IFERROR(INDEX(PRENOTAZIONI!$H:$H,SMALL(PRENOTAZIONI!$AC:$AC,49)),"")</f>
        <v/>
      </c>
      <c r="H52" s="146" t="str">
        <f t="shared" si="12"/>
        <v/>
      </c>
      <c r="I52" s="35" t="str">
        <f t="shared" si="13"/>
        <v/>
      </c>
      <c r="J52" s="149" t="str">
        <f t="shared" si="14"/>
        <v/>
      </c>
      <c r="K52" s="34" t="str">
        <f>IFERROR(INDEX(PRENOTAZIONI!$K:$K,SMALL(PRENOTAZIONI!$AC:$AC,49)),"")</f>
        <v/>
      </c>
      <c r="L52" s="35" t="str">
        <f>IFERROR(INDEX(PRENOTAZIONI!$L:$L,SMALL(PRENOTAZIONI!$AC:$AC,49)),"")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34" t="str">
        <f>IFERROR(INDEX(PRENOTAZIONI!$R:$R,SMALL(PRENOTAZIONI!$AC:$AC,49)),"")</f>
        <v/>
      </c>
      <c r="T52" s="77"/>
    </row>
    <row r="53" spans="1:20" ht="22" customHeight="1" x14ac:dyDescent="0.25">
      <c r="A53" s="31" t="str">
        <f>IFERROR(INDEX(PRENOTAZIONI!$A:$A,SMALL(PRENOTAZIONI!$AC:$AC,50)),"")</f>
        <v/>
      </c>
      <c r="B53" s="31" t="str">
        <f>IFERROR(INDEX(PRENOTAZIONI!$B:$B,SMALL(PRENOTAZIONI!$AC:$AC,50)),"")</f>
        <v/>
      </c>
      <c r="C53" s="32" t="str">
        <f t="shared" si="11"/>
        <v/>
      </c>
      <c r="D53" s="34" t="str">
        <f>IFERROR(INDEX(PRENOTAZIONI!$E:$E,SMALL(PRENOTAZIONI!$AC:$AC,50)),"")</f>
        <v/>
      </c>
      <c r="E53" s="34" t="str">
        <f>IFERROR(INDEX(PRENOTAZIONI!$F:$F,SMALL(PRENOTAZIONI!$AC:$AC,50)),"")</f>
        <v/>
      </c>
      <c r="F53" s="34" t="str">
        <f>IFERROR(INDEX(PRENOTAZIONI!$G:$G,SMALL(PRENOTAZIONI!$AC:$AC,50)),"")</f>
        <v/>
      </c>
      <c r="G53" s="35" t="str">
        <f>IFERROR(INDEX(PRENOTAZIONI!$H:$H,SMALL(PRENOTAZIONI!$AC:$AC,50)),"")</f>
        <v/>
      </c>
      <c r="H53" s="146" t="str">
        <f t="shared" si="12"/>
        <v/>
      </c>
      <c r="I53" s="35" t="str">
        <f t="shared" si="13"/>
        <v/>
      </c>
      <c r="J53" s="149" t="str">
        <f t="shared" si="14"/>
        <v/>
      </c>
      <c r="K53" s="34" t="str">
        <f>IFERROR(INDEX(PRENOTAZIONI!$K:$K,SMALL(PRENOTAZIONI!$AC:$AC,50)),"")</f>
        <v/>
      </c>
      <c r="L53" s="35" t="str">
        <f>IFERROR(INDEX(PRENOTAZIONI!$L:$L,SMALL(PRENOTAZIONI!$AC:$AC,50)),"")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34" t="str">
        <f>IFERROR(INDEX(PRENOTAZIONI!$R:$R,SMALL(PRENOTAZIONI!$AC:$AC,50)),"")</f>
        <v/>
      </c>
      <c r="T53" s="77"/>
    </row>
    <row r="54" spans="1:20" ht="22" customHeight="1" x14ac:dyDescent="0.25">
      <c r="A54" s="31" t="str">
        <f>IFERROR(INDEX(PRENOTAZIONI!$A:$A,SMALL(PRENOTAZIONI!$AC:$AC,51)),"")</f>
        <v/>
      </c>
      <c r="B54" s="31" t="str">
        <f>IFERROR(INDEX(PRENOTAZIONI!$B:$B,SMALL(PRENOTAZIONI!$AC:$AC,51)),"")</f>
        <v/>
      </c>
      <c r="C54" s="32" t="str">
        <f t="shared" si="11"/>
        <v/>
      </c>
      <c r="D54" s="34" t="str">
        <f>IFERROR(INDEX(PRENOTAZIONI!$E:$E,SMALL(PRENOTAZIONI!$AC:$AC,51)),"")</f>
        <v/>
      </c>
      <c r="E54" s="34" t="str">
        <f>IFERROR(INDEX(PRENOTAZIONI!$F:$F,SMALL(PRENOTAZIONI!$AC:$AC,51)),"")</f>
        <v/>
      </c>
      <c r="F54" s="34" t="str">
        <f>IFERROR(INDEX(PRENOTAZIONI!$G:$G,SMALL(PRENOTAZIONI!$AC:$AC,51)),"")</f>
        <v/>
      </c>
      <c r="G54" s="35" t="str">
        <f>IFERROR(INDEX(PRENOTAZIONI!$H:$H,SMALL(PRENOTAZIONI!$AC:$AC,51)),"")</f>
        <v/>
      </c>
      <c r="H54" s="146" t="str">
        <f t="shared" si="12"/>
        <v/>
      </c>
      <c r="I54" s="35" t="str">
        <f t="shared" si="13"/>
        <v/>
      </c>
      <c r="J54" s="149" t="str">
        <f t="shared" si="14"/>
        <v/>
      </c>
      <c r="K54" s="34" t="str">
        <f>IFERROR(INDEX(PRENOTAZIONI!$K:$K,SMALL(PRENOTAZIONI!$AC:$AC,51)),"")</f>
        <v/>
      </c>
      <c r="L54" s="35" t="str">
        <f>IFERROR(INDEX(PRENOTAZIONI!$L:$L,SMALL(PRENOTAZIONI!$AC:$AC,51)),"")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34" t="str">
        <f>IFERROR(INDEX(PRENOTAZIONI!$R:$R,SMALL(PRENOTAZIONI!$AC:$AC,51)),"")</f>
        <v/>
      </c>
      <c r="T54" s="77"/>
    </row>
    <row r="55" spans="1:20" ht="22" customHeight="1" x14ac:dyDescent="0.25">
      <c r="A55" s="31" t="str">
        <f>IFERROR(INDEX(PRENOTAZIONI!$A:$A,SMALL(PRENOTAZIONI!$AC:$AC,52)),"")</f>
        <v/>
      </c>
      <c r="B55" s="31" t="str">
        <f>IFERROR(INDEX(PRENOTAZIONI!$B:$B,SMALL(PRENOTAZIONI!$AC:$AC,52)),"")</f>
        <v/>
      </c>
      <c r="C55" s="32" t="str">
        <f t="shared" si="11"/>
        <v/>
      </c>
      <c r="D55" s="34" t="str">
        <f>IFERROR(INDEX(PRENOTAZIONI!$E:$E,SMALL(PRENOTAZIONI!$AC:$AC,52)),"")</f>
        <v/>
      </c>
      <c r="E55" s="34" t="str">
        <f>IFERROR(INDEX(PRENOTAZIONI!$F:$F,SMALL(PRENOTAZIONI!$AC:$AC,52)),"")</f>
        <v/>
      </c>
      <c r="F55" s="34" t="str">
        <f>IFERROR(INDEX(PRENOTAZIONI!$G:$G,SMALL(PRENOTAZIONI!$AC:$AC,52)),"")</f>
        <v/>
      </c>
      <c r="G55" s="35" t="str">
        <f>IFERROR(INDEX(PRENOTAZIONI!$H:$H,SMALL(PRENOTAZIONI!$AC:$AC,52)),"")</f>
        <v/>
      </c>
      <c r="H55" s="146" t="str">
        <f t="shared" si="12"/>
        <v/>
      </c>
      <c r="I55" s="35" t="str">
        <f t="shared" si="13"/>
        <v/>
      </c>
      <c r="J55" s="149" t="str">
        <f t="shared" si="14"/>
        <v/>
      </c>
      <c r="K55" s="34" t="str">
        <f>IFERROR(INDEX(PRENOTAZIONI!$K:$K,SMALL(PRENOTAZIONI!$AC:$AC,52)),"")</f>
        <v/>
      </c>
      <c r="L55" s="35" t="str">
        <f>IFERROR(INDEX(PRENOTAZIONI!$L:$L,SMALL(PRENOTAZIONI!$AC:$AC,52)),"")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34" t="str">
        <f>IFERROR(INDEX(PRENOTAZIONI!$R:$R,SMALL(PRENOTAZIONI!$AC:$AC,52)),"")</f>
        <v/>
      </c>
      <c r="T55" s="77"/>
    </row>
    <row r="56" spans="1:20" ht="22" customHeight="1" x14ac:dyDescent="0.25">
      <c r="A56" s="31" t="str">
        <f>IFERROR(INDEX(PRENOTAZIONI!$A:$A,SMALL(PRENOTAZIONI!$AC:$AC,53)),"")</f>
        <v/>
      </c>
      <c r="B56" s="31" t="str">
        <f>IFERROR(INDEX(PRENOTAZIONI!$B:$B,SMALL(PRENOTAZIONI!$AC:$AC,53)),"")</f>
        <v/>
      </c>
      <c r="C56" s="32" t="str">
        <f t="shared" si="11"/>
        <v/>
      </c>
      <c r="D56" s="34" t="str">
        <f>IFERROR(INDEX(PRENOTAZIONI!$E:$E,SMALL(PRENOTAZIONI!$AC:$AC,53)),"")</f>
        <v/>
      </c>
      <c r="E56" s="34" t="str">
        <f>IFERROR(INDEX(PRENOTAZIONI!$F:$F,SMALL(PRENOTAZIONI!$AC:$AC,53)),"")</f>
        <v/>
      </c>
      <c r="F56" s="34" t="str">
        <f>IFERROR(INDEX(PRENOTAZIONI!$G:$G,SMALL(PRENOTAZIONI!$AC:$AC,53)),"")</f>
        <v/>
      </c>
      <c r="G56" s="35" t="str">
        <f>IFERROR(INDEX(PRENOTAZIONI!$H:$H,SMALL(PRENOTAZIONI!$AC:$AC,53)),"")</f>
        <v/>
      </c>
      <c r="H56" s="146" t="str">
        <f t="shared" si="12"/>
        <v/>
      </c>
      <c r="I56" s="35" t="str">
        <f t="shared" si="13"/>
        <v/>
      </c>
      <c r="J56" s="149" t="str">
        <f t="shared" si="14"/>
        <v/>
      </c>
      <c r="K56" s="34" t="str">
        <f>IFERROR(INDEX(PRENOTAZIONI!$K:$K,SMALL(PRENOTAZIONI!$AC:$AC,53)),"")</f>
        <v/>
      </c>
      <c r="L56" s="35" t="str">
        <f>IFERROR(INDEX(PRENOTAZIONI!$L:$L,SMALL(PRENOTAZIONI!$AC:$AC,53)),"")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34" t="str">
        <f>IFERROR(INDEX(PRENOTAZIONI!$R:$R,SMALL(PRENOTAZIONI!$AC:$AC,53)),"")</f>
        <v/>
      </c>
      <c r="T56" s="77"/>
    </row>
    <row r="57" spans="1:20" ht="22" customHeight="1" x14ac:dyDescent="0.25">
      <c r="A57" s="31" t="str">
        <f>IFERROR(INDEX(PRENOTAZIONI!$A:$A,SMALL(PRENOTAZIONI!$AC:$AC,54)),"")</f>
        <v/>
      </c>
      <c r="B57" s="31" t="str">
        <f>IFERROR(INDEX(PRENOTAZIONI!$B:$B,SMALL(PRENOTAZIONI!$AC:$AC,54)),"")</f>
        <v/>
      </c>
      <c r="C57" s="32" t="str">
        <f t="shared" si="11"/>
        <v/>
      </c>
      <c r="D57" s="34" t="str">
        <f>IFERROR(INDEX(PRENOTAZIONI!$E:$E,SMALL(PRENOTAZIONI!$AC:$AC,54)),"")</f>
        <v/>
      </c>
      <c r="E57" s="34" t="str">
        <f>IFERROR(INDEX(PRENOTAZIONI!$F:$F,SMALL(PRENOTAZIONI!$AC:$AC,54)),"")</f>
        <v/>
      </c>
      <c r="F57" s="34" t="str">
        <f>IFERROR(INDEX(PRENOTAZIONI!$G:$G,SMALL(PRENOTAZIONI!$AC:$AC,54)),"")</f>
        <v/>
      </c>
      <c r="G57" s="35" t="str">
        <f>IFERROR(INDEX(PRENOTAZIONI!$H:$H,SMALL(PRENOTAZIONI!$AC:$AC,54)),"")</f>
        <v/>
      </c>
      <c r="H57" s="146" t="str">
        <f t="shared" si="12"/>
        <v/>
      </c>
      <c r="I57" s="35" t="str">
        <f t="shared" si="13"/>
        <v/>
      </c>
      <c r="J57" s="149" t="str">
        <f t="shared" si="14"/>
        <v/>
      </c>
      <c r="K57" s="34" t="str">
        <f>IFERROR(INDEX(PRENOTAZIONI!$K:$K,SMALL(PRENOTAZIONI!$AC:$AC,54)),"")</f>
        <v/>
      </c>
      <c r="L57" s="35" t="str">
        <f>IFERROR(INDEX(PRENOTAZIONI!$L:$L,SMALL(PRENOTAZIONI!$AC:$AC,54)),"")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34" t="str">
        <f>IFERROR(INDEX(PRENOTAZIONI!$R:$R,SMALL(PRENOTAZIONI!$AC:$AC,54)),"")</f>
        <v/>
      </c>
      <c r="T57" s="77"/>
    </row>
    <row r="58" spans="1:20" ht="22" customHeight="1" x14ac:dyDescent="0.25">
      <c r="A58" s="31" t="str">
        <f>IFERROR(INDEX(PRENOTAZIONI!$A:$A,SMALL(PRENOTAZIONI!$AC:$AC,55)),"")</f>
        <v/>
      </c>
      <c r="B58" s="31" t="str">
        <f>IFERROR(INDEX(PRENOTAZIONI!$B:$B,SMALL(PRENOTAZIONI!$AC:$AC,55)),"")</f>
        <v/>
      </c>
      <c r="C58" s="32" t="str">
        <f t="shared" si="11"/>
        <v/>
      </c>
      <c r="D58" s="34" t="str">
        <f>IFERROR(INDEX(PRENOTAZIONI!$E:$E,SMALL(PRENOTAZIONI!$AC:$AC,55)),"")</f>
        <v/>
      </c>
      <c r="E58" s="34" t="str">
        <f>IFERROR(INDEX(PRENOTAZIONI!$F:$F,SMALL(PRENOTAZIONI!$AC:$AC,55)),"")</f>
        <v/>
      </c>
      <c r="F58" s="34" t="str">
        <f>IFERROR(INDEX(PRENOTAZIONI!$G:$G,SMALL(PRENOTAZIONI!$AC:$AC,55)),"")</f>
        <v/>
      </c>
      <c r="G58" s="35" t="str">
        <f>IFERROR(INDEX(PRENOTAZIONI!$H:$H,SMALL(PRENOTAZIONI!$AC:$AC,55)),"")</f>
        <v/>
      </c>
      <c r="H58" s="146" t="str">
        <f t="shared" si="12"/>
        <v/>
      </c>
      <c r="I58" s="35" t="str">
        <f t="shared" si="13"/>
        <v/>
      </c>
      <c r="J58" s="149" t="str">
        <f t="shared" si="14"/>
        <v/>
      </c>
      <c r="K58" s="34" t="str">
        <f>IFERROR(INDEX(PRENOTAZIONI!$K:$K,SMALL(PRENOTAZIONI!$AC:$AC,55)),"")</f>
        <v/>
      </c>
      <c r="L58" s="35" t="str">
        <f>IFERROR(INDEX(PRENOTAZIONI!$L:$L,SMALL(PRENOTAZIONI!$AC:$AC,55)),"")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34" t="str">
        <f>IFERROR(INDEX(PRENOTAZIONI!$R:$R,SMALL(PRENOTAZIONI!$AC:$AC,55)),"")</f>
        <v/>
      </c>
      <c r="T58" s="77"/>
    </row>
    <row r="59" spans="1:20" ht="22" customHeight="1" x14ac:dyDescent="0.25">
      <c r="A59" s="31" t="str">
        <f>IFERROR(INDEX(PRENOTAZIONI!$A:$A,SMALL(PRENOTAZIONI!$AC:$AC,56)),"")</f>
        <v/>
      </c>
      <c r="B59" s="31" t="str">
        <f>IFERROR(INDEX(PRENOTAZIONI!$B:$B,SMALL(PRENOTAZIONI!$AC:$AC,56)),"")</f>
        <v/>
      </c>
      <c r="C59" s="32" t="str">
        <f t="shared" si="11"/>
        <v/>
      </c>
      <c r="D59" s="34" t="str">
        <f>IFERROR(INDEX(PRENOTAZIONI!$E:$E,SMALL(PRENOTAZIONI!$AC:$AC,56)),"")</f>
        <v/>
      </c>
      <c r="E59" s="34" t="str">
        <f>IFERROR(INDEX(PRENOTAZIONI!$F:$F,SMALL(PRENOTAZIONI!$AC:$AC,56)),"")</f>
        <v/>
      </c>
      <c r="F59" s="34" t="str">
        <f>IFERROR(INDEX(PRENOTAZIONI!$G:$G,SMALL(PRENOTAZIONI!$AC:$AC,56)),"")</f>
        <v/>
      </c>
      <c r="G59" s="35" t="str">
        <f>IFERROR(INDEX(PRENOTAZIONI!$H:$H,SMALL(PRENOTAZIONI!$AC:$AC,56)),"")</f>
        <v/>
      </c>
      <c r="H59" s="146" t="str">
        <f t="shared" si="12"/>
        <v/>
      </c>
      <c r="I59" s="35" t="str">
        <f t="shared" si="13"/>
        <v/>
      </c>
      <c r="J59" s="149" t="str">
        <f t="shared" si="14"/>
        <v/>
      </c>
      <c r="K59" s="34" t="str">
        <f>IFERROR(INDEX(PRENOTAZIONI!$K:$K,SMALL(PRENOTAZIONI!$AC:$AC,56)),"")</f>
        <v/>
      </c>
      <c r="L59" s="35" t="str">
        <f>IFERROR(INDEX(PRENOTAZIONI!$L:$L,SMALL(PRENOTAZIONI!$AC:$AC,56)),"")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34" t="str">
        <f>IFERROR(INDEX(PRENOTAZIONI!$R:$R,SMALL(PRENOTAZIONI!$AC:$AC,56)),"")</f>
        <v/>
      </c>
      <c r="T59" s="77"/>
    </row>
    <row r="60" spans="1:20" ht="22" customHeight="1" x14ac:dyDescent="0.25">
      <c r="A60" s="31" t="str">
        <f>IFERROR(INDEX(PRENOTAZIONI!$A:$A,SMALL(PRENOTAZIONI!$AC:$AC,57)),"")</f>
        <v/>
      </c>
      <c r="B60" s="31" t="str">
        <f>IFERROR(INDEX(PRENOTAZIONI!$B:$B,SMALL(PRENOTAZIONI!$AC:$AC,57)),"")</f>
        <v/>
      </c>
      <c r="C60" s="32" t="str">
        <f t="shared" si="11"/>
        <v/>
      </c>
      <c r="D60" s="34" t="str">
        <f>IFERROR(INDEX(PRENOTAZIONI!$E:$E,SMALL(PRENOTAZIONI!$AC:$AC,57)),"")</f>
        <v/>
      </c>
      <c r="E60" s="34" t="str">
        <f>IFERROR(INDEX(PRENOTAZIONI!$F:$F,SMALL(PRENOTAZIONI!$AC:$AC,57)),"")</f>
        <v/>
      </c>
      <c r="F60" s="34" t="str">
        <f>IFERROR(INDEX(PRENOTAZIONI!$G:$G,SMALL(PRENOTAZIONI!$AC:$AC,57)),"")</f>
        <v/>
      </c>
      <c r="G60" s="35" t="str">
        <f>IFERROR(INDEX(PRENOTAZIONI!$H:$H,SMALL(PRENOTAZIONI!$AC:$AC,57)),"")</f>
        <v/>
      </c>
      <c r="H60" s="146" t="str">
        <f t="shared" si="12"/>
        <v/>
      </c>
      <c r="I60" s="35" t="str">
        <f t="shared" si="13"/>
        <v/>
      </c>
      <c r="J60" s="149" t="str">
        <f t="shared" si="14"/>
        <v/>
      </c>
      <c r="K60" s="34" t="str">
        <f>IFERROR(INDEX(PRENOTAZIONI!$K:$K,SMALL(PRENOTAZIONI!$AC:$AC,57)),"")</f>
        <v/>
      </c>
      <c r="L60" s="35" t="str">
        <f>IFERROR(INDEX(PRENOTAZIONI!$L:$L,SMALL(PRENOTAZIONI!$AC:$AC,57)),"")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34" t="str">
        <f>IFERROR(INDEX(PRENOTAZIONI!$R:$R,SMALL(PRENOTAZIONI!$AC:$AC,57)),"")</f>
        <v/>
      </c>
      <c r="T60" s="77"/>
    </row>
    <row r="61" spans="1:20" ht="22" customHeight="1" x14ac:dyDescent="0.25">
      <c r="A61" s="31" t="str">
        <f>IFERROR(INDEX(PRENOTAZIONI!$A:$A,SMALL(PRENOTAZIONI!$AC:$AC,58)),"")</f>
        <v/>
      </c>
      <c r="B61" s="31" t="str">
        <f>IFERROR(INDEX(PRENOTAZIONI!$B:$B,SMALL(PRENOTAZIONI!$AC:$AC,58)),"")</f>
        <v/>
      </c>
      <c r="C61" s="32" t="str">
        <f t="shared" si="11"/>
        <v/>
      </c>
      <c r="D61" s="34" t="str">
        <f>IFERROR(INDEX(PRENOTAZIONI!$E:$E,SMALL(PRENOTAZIONI!$AC:$AC,58)),"")</f>
        <v/>
      </c>
      <c r="E61" s="34" t="str">
        <f>IFERROR(INDEX(PRENOTAZIONI!$F:$F,SMALL(PRENOTAZIONI!$AC:$AC,58)),"")</f>
        <v/>
      </c>
      <c r="F61" s="34" t="str">
        <f>IFERROR(INDEX(PRENOTAZIONI!$G:$G,SMALL(PRENOTAZIONI!$AC:$AC,58)),"")</f>
        <v/>
      </c>
      <c r="G61" s="35" t="str">
        <f>IFERROR(INDEX(PRENOTAZIONI!$H:$H,SMALL(PRENOTAZIONI!$AC:$AC,58)),"")</f>
        <v/>
      </c>
      <c r="H61" s="146" t="str">
        <f t="shared" si="12"/>
        <v/>
      </c>
      <c r="I61" s="35" t="str">
        <f t="shared" si="13"/>
        <v/>
      </c>
      <c r="J61" s="149" t="str">
        <f t="shared" si="14"/>
        <v/>
      </c>
      <c r="K61" s="34" t="str">
        <f>IFERROR(INDEX(PRENOTAZIONI!$K:$K,SMALL(PRENOTAZIONI!$AC:$AC,58)),"")</f>
        <v/>
      </c>
      <c r="L61" s="35" t="str">
        <f>IFERROR(INDEX(PRENOTAZIONI!$L:$L,SMALL(PRENOTAZIONI!$AC:$AC,58)),"")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34" t="str">
        <f>IFERROR(INDEX(PRENOTAZIONI!$R:$R,SMALL(PRENOTAZIONI!$AC:$AC,58)),"")</f>
        <v/>
      </c>
      <c r="T61" s="77"/>
    </row>
    <row r="62" spans="1:20" ht="22" customHeight="1" x14ac:dyDescent="0.25">
      <c r="A62" s="31" t="str">
        <f>IFERROR(INDEX(PRENOTAZIONI!$A:$A,SMALL(PRENOTAZIONI!$AC:$AC,59)),"")</f>
        <v/>
      </c>
      <c r="B62" s="31" t="str">
        <f>IFERROR(INDEX(PRENOTAZIONI!$B:$B,SMALL(PRENOTAZIONI!$AC:$AC,59)),"")</f>
        <v/>
      </c>
      <c r="C62" s="32" t="str">
        <f t="shared" si="11"/>
        <v/>
      </c>
      <c r="D62" s="34" t="str">
        <f>IFERROR(INDEX(PRENOTAZIONI!$E:$E,SMALL(PRENOTAZIONI!$AC:$AC,59)),"")</f>
        <v/>
      </c>
      <c r="E62" s="34" t="str">
        <f>IFERROR(INDEX(PRENOTAZIONI!$F:$F,SMALL(PRENOTAZIONI!$AC:$AC,59)),"")</f>
        <v/>
      </c>
      <c r="F62" s="34" t="str">
        <f>IFERROR(INDEX(PRENOTAZIONI!$G:$G,SMALL(PRENOTAZIONI!$AC:$AC,59)),"")</f>
        <v/>
      </c>
      <c r="G62" s="35" t="str">
        <f>IFERROR(INDEX(PRENOTAZIONI!$H:$H,SMALL(PRENOTAZIONI!$AC:$AC,59)),"")</f>
        <v/>
      </c>
      <c r="H62" s="146" t="str">
        <f t="shared" si="12"/>
        <v/>
      </c>
      <c r="I62" s="35" t="str">
        <f t="shared" si="13"/>
        <v/>
      </c>
      <c r="J62" s="149" t="str">
        <f t="shared" si="14"/>
        <v/>
      </c>
      <c r="K62" s="34" t="str">
        <f>IFERROR(INDEX(PRENOTAZIONI!$K:$K,SMALL(PRENOTAZIONI!$AC:$AC,59)),"")</f>
        <v/>
      </c>
      <c r="L62" s="35" t="str">
        <f>IFERROR(INDEX(PRENOTAZIONI!$L:$L,SMALL(PRENOTAZIONI!$AC:$AC,59)),"")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34" t="str">
        <f>IFERROR(INDEX(PRENOTAZIONI!$R:$R,SMALL(PRENOTAZIONI!$AC:$AC,59)),"")</f>
        <v/>
      </c>
      <c r="T62" s="77"/>
    </row>
    <row r="63" spans="1:20" ht="22" customHeight="1" x14ac:dyDescent="0.25">
      <c r="A63" s="31" t="str">
        <f>IFERROR(INDEX(PRENOTAZIONI!$A:$A,SMALL(PRENOTAZIONI!$AC:$AC,60)),"")</f>
        <v/>
      </c>
      <c r="B63" s="31" t="str">
        <f>IFERROR(INDEX(PRENOTAZIONI!$B:$B,SMALL(PRENOTAZIONI!$AC:$AC,60)),"")</f>
        <v/>
      </c>
      <c r="C63" s="32" t="str">
        <f t="shared" si="11"/>
        <v/>
      </c>
      <c r="D63" s="34" t="str">
        <f>IFERROR(INDEX(PRENOTAZIONI!$E:$E,SMALL(PRENOTAZIONI!$AC:$AC,60)),"")</f>
        <v/>
      </c>
      <c r="E63" s="34" t="str">
        <f>IFERROR(INDEX(PRENOTAZIONI!$F:$F,SMALL(PRENOTAZIONI!$AC:$AC,60)),"")</f>
        <v/>
      </c>
      <c r="F63" s="34" t="str">
        <f>IFERROR(INDEX(PRENOTAZIONI!$G:$G,SMALL(PRENOTAZIONI!$AC:$AC,60)),"")</f>
        <v/>
      </c>
      <c r="G63" s="35" t="str">
        <f>IFERROR(INDEX(PRENOTAZIONI!$H:$H,SMALL(PRENOTAZIONI!$AC:$AC,60)),"")</f>
        <v/>
      </c>
      <c r="H63" s="146" t="str">
        <f t="shared" si="12"/>
        <v/>
      </c>
      <c r="I63" s="35" t="str">
        <f t="shared" si="13"/>
        <v/>
      </c>
      <c r="J63" s="149" t="str">
        <f t="shared" si="14"/>
        <v/>
      </c>
      <c r="K63" s="34" t="str">
        <f>IFERROR(INDEX(PRENOTAZIONI!$K:$K,SMALL(PRENOTAZIONI!$AC:$AC,60)),"")</f>
        <v/>
      </c>
      <c r="L63" s="35" t="str">
        <f>IFERROR(INDEX(PRENOTAZIONI!$L:$L,SMALL(PRENOTAZIONI!$AC:$AC,60)),"")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34" t="str">
        <f>IFERROR(INDEX(PRENOTAZIONI!$R:$R,SMALL(PRENOTAZIONI!$AC:$AC,60)),"")</f>
        <v/>
      </c>
      <c r="T63" s="77"/>
    </row>
    <row r="64" spans="1:20" ht="19" customHeight="1" x14ac:dyDescent="0.25">
      <c r="T64" s="77"/>
    </row>
    <row r="65" spans="20:20" ht="19" customHeight="1" x14ac:dyDescent="0.25">
      <c r="T65" s="77"/>
    </row>
  </sheetData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BH65"/>
  <sheetViews>
    <sheetView workbookViewId="0">
      <selection activeCell="B8" sqref="B8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8" width="11" customWidth="1"/>
    <col min="9" max="9" width="12" bestFit="1" customWidth="1"/>
    <col min="10" max="10" width="13" customWidth="1"/>
    <col min="11" max="11" width="12" bestFit="1" customWidth="1"/>
    <col min="12" max="12" width="10" customWidth="1"/>
    <col min="13" max="13" width="13" customWidth="1"/>
    <col min="14" max="14" width="10" customWidth="1"/>
    <col min="15" max="15" width="10.1640625" customWidth="1"/>
    <col min="16" max="16" width="58.1640625" bestFit="1" customWidth="1"/>
    <col min="17" max="17" width="18" customWidth="1"/>
    <col min="18" max="18" width="28" customWidth="1"/>
    <col min="19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4" width="8" customWidth="1"/>
    <col min="35" max="35" width="13" customWidth="1"/>
    <col min="36" max="36" width="11" customWidth="1"/>
    <col min="37" max="37" width="10" customWidth="1"/>
    <col min="38" max="38" width="12" customWidth="1"/>
    <col min="39" max="41" width="11" customWidth="1"/>
    <col min="42" max="42" width="14.5" bestFit="1" customWidth="1"/>
  </cols>
  <sheetData>
    <row r="1" spans="1:60" ht="28" customHeight="1" thickBot="1" x14ac:dyDescent="0.3">
      <c r="A1" s="1" t="s">
        <v>291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2"/>
      <c r="T1" s="77"/>
      <c r="AF1" s="38"/>
      <c r="AG1" s="110" t="s">
        <v>292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x14ac:dyDescent="0.2">
      <c r="A3" s="27" t="s">
        <v>1</v>
      </c>
      <c r="B3" s="27" t="s">
        <v>2</v>
      </c>
      <c r="C3" s="27" t="s">
        <v>3</v>
      </c>
      <c r="D3" s="27" t="s">
        <v>5</v>
      </c>
      <c r="E3" s="27" t="s">
        <v>248</v>
      </c>
      <c r="F3" s="27" t="s">
        <v>7</v>
      </c>
      <c r="G3" s="27" t="s">
        <v>8</v>
      </c>
      <c r="H3" s="145" t="s">
        <v>9</v>
      </c>
      <c r="I3" s="27" t="s">
        <v>249</v>
      </c>
      <c r="J3" s="145" t="s">
        <v>250</v>
      </c>
      <c r="K3" s="27" t="s">
        <v>11</v>
      </c>
      <c r="L3" s="27" t="s">
        <v>12</v>
      </c>
      <c r="M3" s="27" t="s">
        <v>251</v>
      </c>
      <c r="N3" s="27" t="s">
        <v>252</v>
      </c>
      <c r="O3" s="27" t="s">
        <v>253</v>
      </c>
      <c r="P3" s="27" t="s">
        <v>254</v>
      </c>
      <c r="Q3" s="27" t="s">
        <v>255</v>
      </c>
      <c r="R3" s="27" t="s">
        <v>18</v>
      </c>
      <c r="S3" s="3"/>
      <c r="T3" s="83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x14ac:dyDescent="0.2">
      <c r="A4" s="31">
        <f>IFERROR(INDEX(PRENOTAZIONI!$A:$A,SMALL(PRENOTAZIONI!$AT:$AT,1)),"")</f>
        <v>46230</v>
      </c>
      <c r="B4" s="31">
        <f>IFERROR(INDEX(PRENOTAZIONI!$B:$B,SMALL(PRENOTAZIONI!$AT:$AT,1)),"")</f>
        <v>46237</v>
      </c>
      <c r="C4" s="32">
        <f t="shared" ref="C4:C35" si="0">IF(A4&lt;&gt;"",B4-A4,"")</f>
        <v>7</v>
      </c>
      <c r="D4" s="34" t="str">
        <f>IFERROR(INDEX(PRENOTAZIONI!$E:$E,SMALL(PRENOTAZIONI!$AT:$AT,1)),"")</f>
        <v>Salvatore Belsito</v>
      </c>
      <c r="E4" s="34" t="str">
        <f>IFERROR(INDEX(PRENOTAZIONI!$F:$F,SMALL(PRENOTAZIONI!$AT:$AT,1)),"")</f>
        <v>2 ad</v>
      </c>
      <c r="F4" s="34" t="str">
        <f>IFERROR(INDEX(PRENOTAZIONI!$G:$G,SMALL(PRENOTAZIONI!$AT:$AT,1)),"")</f>
        <v>booking.com</v>
      </c>
      <c r="G4" s="35">
        <f>IFERROR(INDEX(PRENOTAZIONI!$H:$H,SMALL(PRENOTAZIONI!$AT:$AT,1)),"")</f>
        <v>554.4</v>
      </c>
      <c r="H4" s="146">
        <f t="shared" ref="H4:H35" si="1">IF(AND(G4&lt;&gt;"",C4&lt;&gt;"",C4&lt;&gt;0),G4/C4,"")</f>
        <v>79.2</v>
      </c>
      <c r="I4" s="35">
        <f t="shared" ref="I4:I35" si="2">IF(G4="","",IF(NOT(ISERROR(SEARCH("diretta",F4))),0,IF(NOT(ISERROR(SEARCH("booking",F4))),G4*0.15,IF(NOT(ISERROR(SEARCH("airbnb",F4))),G4*0.155,""))))</f>
        <v>83.16</v>
      </c>
      <c r="J4" s="149">
        <f>IF(I4&lt;&gt;"",I4*0.22,"")</f>
        <v>18.295199999999998</v>
      </c>
      <c r="K4" s="34">
        <f>IFERROR(INDEX(PRENOTAZIONI!$K:$K,SMALL(PRENOTAZIONI!$AT:$AT,1)),"")</f>
        <v>0</v>
      </c>
      <c r="L4" s="35">
        <f>IFERROR(INDEX(PRENOTAZIONI!$L:$L,SMALL(PRENOTAZIONI!$AT:$AT,1)),"")</f>
        <v>4</v>
      </c>
      <c r="M4" s="150">
        <f t="shared" ref="M4:M35" si="3">IF(G4&lt;&gt;"",G4*0.21,"")</f>
        <v>116.42399999999999</v>
      </c>
      <c r="N4" s="35">
        <f t="shared" ref="N4:N35" si="4">IF(G4&lt;&gt;"",G4*0.25,"")</f>
        <v>138.6</v>
      </c>
      <c r="O4" s="35">
        <v>148</v>
      </c>
      <c r="P4" s="43" t="s">
        <v>374</v>
      </c>
      <c r="Q4" s="150">
        <f t="shared" ref="Q4:Q35" si="5">IF(G4&lt;&gt;"",G4-I4-J4-M4-N4-O4,"")</f>
        <v>49.920800000000014</v>
      </c>
      <c r="R4" s="34">
        <f>IFERROR(INDEX(PRENOTAZIONI!$R:$R,SMALL(PRENOTAZIONI!$AT:$AT,1)),"")</f>
        <v>0</v>
      </c>
      <c r="S4" s="31"/>
      <c r="T4" s="80" t="str">
        <f>IFERROR(INDEX(PRENOTAZIONI!$A:$A,SMALL(PRENOTAZIONI!$AU:$AU,1)),"")</f>
        <v/>
      </c>
      <c r="U4" s="31" t="str">
        <f>IFERROR(INDEX(PRENOTAZIONI!$B:$B,SMALL(PRENOTAZIONI!$AU:$AU,1)),"")</f>
        <v/>
      </c>
      <c r="V4" s="32" t="str">
        <f t="shared" ref="V4:V33" si="6">IF(T4&lt;&gt;"",U4-T4,"")</f>
        <v/>
      </c>
      <c r="W4" s="34" t="str">
        <f>IFERROR(INDEX(PRENOTAZIONI!$E:$E,SMALL(PRENOTAZIONI!$AU:$AU,1)),"")</f>
        <v/>
      </c>
      <c r="X4" s="34" t="str">
        <f>IFERROR(INDEX(PRENOTAZIONI!$F:$F,SMALL(PRENOTAZIONI!$AU:$AU,1)),"")</f>
        <v/>
      </c>
      <c r="Y4" s="35" t="str">
        <f>IFERROR(INDEX(PRENOTAZIONI!$H:$H,SMALL(PRENOTAZIONI!$AU:$AU,1)),"")</f>
        <v/>
      </c>
      <c r="Z4" s="34" t="str">
        <f>IFERROR(INDEX(PRENOTAZIONI!$K:$K,SMALL(PRENOTAZIONI!$AU:$AU,1)),"")</f>
        <v/>
      </c>
      <c r="AA4" s="34"/>
      <c r="AB4" s="34"/>
      <c r="AC4" s="40" t="str">
        <f t="shared" ref="AC4:AC33" si="7">IF(X4&lt;&gt;"",X4*0.25,"")</f>
        <v/>
      </c>
      <c r="AD4" s="41" t="str">
        <f t="shared" ref="AD4:AD33" si="8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SUMPRODUCT((MONTH(PRENOTAZIONI!$A$3:$A$262)=1)*(YEAR(PRENOTAZIONI!$A$3:$A$262)=2026)*(PRENOTAZIONI!$D$3:$D$262="Nel Cuore di Lanciano"))</f>
        <v>0</v>
      </c>
      <c r="AI4" s="114">
        <f>SUMPRODUCT((PRENOTAZIONI!$A$3:$A$262&lt;DATE(2026,2,1))*(PRENOTAZIONI!$B$3:$B$262&gt;DATE(2026,1,1))*(YEAR(PRENOTAZIONI!$A$3:$A$262)=2026)*(PRENOTAZIONI!$D$3:$D$262="Nel Cuore di Lanciano")*((PRENOTAZIONI!$B$3:$B$262*(PRENOTAZIONI!$B$3:$B$262&lt;DATE(2026,2,1))+DATE(2026,2,1)*(PRENOTAZIONI!$B$3:$B$262&gt;=DATE(2026,2,1)))-(PRENOTAZIONI!$A$3:$A$262*(PRENOTAZIONI!$A$3:$A$262&gt;DATE(2026,1,1))+DATE(2026,1,1)*(PRENOTAZIONI!$A$3:$A$262&lt;=DATE(2026,1,1)))))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x14ac:dyDescent="0.2">
      <c r="A5" s="31">
        <f>IFERROR(INDEX(PRENOTAZIONI!$A:$A,SMALL(PRENOTAZIONI!$AT:$AT,2)),"")</f>
        <v>46237</v>
      </c>
      <c r="B5" s="31">
        <f>IFERROR(INDEX(PRENOTAZIONI!$B:$B,SMALL(PRENOTAZIONI!$AT:$AT,2)),"")</f>
        <v>46245</v>
      </c>
      <c r="C5" s="32">
        <f t="shared" si="0"/>
        <v>8</v>
      </c>
      <c r="D5" s="34" t="str">
        <f>IFERROR(INDEX(PRENOTAZIONI!$E:$E,SMALL(PRENOTAZIONI!$AT:$AT,2)),"")</f>
        <v>Giulio Querzoli</v>
      </c>
      <c r="E5" s="34" t="str">
        <f>IFERROR(INDEX(PRENOTAZIONI!$F:$F,SMALL(PRENOTAZIONI!$AT:$AT,2)),"")</f>
        <v>2 ad</v>
      </c>
      <c r="F5" s="34" t="str">
        <f>IFERROR(INDEX(PRENOTAZIONI!$G:$G,SMALL(PRENOTAZIONI!$AT:$AT,2)),"")</f>
        <v>booking.com</v>
      </c>
      <c r="G5" s="35">
        <f>IFERROR(INDEX(PRENOTAZIONI!$H:$H,SMALL(PRENOTAZIONI!$AT:$AT,2)),"")</f>
        <v>657</v>
      </c>
      <c r="H5" s="146">
        <f t="shared" si="1"/>
        <v>82.125</v>
      </c>
      <c r="I5" s="35">
        <f t="shared" si="2"/>
        <v>98.55</v>
      </c>
      <c r="J5" s="149">
        <f>IF(I5&lt;&gt;"",I5*0.22,"")</f>
        <v>21.681000000000001</v>
      </c>
      <c r="K5" s="34" t="str">
        <f>IFERROR(INDEX(PRENOTAZIONI!$K:$K,SMALL(PRENOTAZIONI!$AT:$AT,2)),"")</f>
        <v>MASTER</v>
      </c>
      <c r="L5" s="35">
        <f>IFERROR(INDEX(PRENOTAZIONI!$L:$L,SMALL(PRENOTAZIONI!$AT:$AT,2)),"")</f>
        <v>4</v>
      </c>
      <c r="M5" s="150">
        <f t="shared" si="3"/>
        <v>137.97</v>
      </c>
      <c r="N5" s="35">
        <f t="shared" si="4"/>
        <v>164.25</v>
      </c>
      <c r="O5" s="35"/>
      <c r="P5" s="43"/>
      <c r="Q5" s="150">
        <f t="shared" si="5"/>
        <v>234.54899999999998</v>
      </c>
      <c r="R5" s="34">
        <f>IFERROR(INDEX(PRENOTAZIONI!$R:$R,SMALL(PRENOTAZIONI!$AT:$AT,2)),"")</f>
        <v>0</v>
      </c>
      <c r="S5" s="31"/>
      <c r="T5" s="80" t="str">
        <f>IFERROR(INDEX(PRENOTAZIONI!$A:$A,SMALL(PRENOTAZIONI!$AU:$AU,2)),"")</f>
        <v/>
      </c>
      <c r="U5" s="31" t="str">
        <f>IFERROR(INDEX(PRENOTAZIONI!$B:$B,SMALL(PRENOTAZIONI!$AU:$AU,2)),"")</f>
        <v/>
      </c>
      <c r="V5" s="32" t="str">
        <f t="shared" si="6"/>
        <v/>
      </c>
      <c r="W5" s="34" t="str">
        <f>IFERROR(INDEX(PRENOTAZIONI!$E:$E,SMALL(PRENOTAZIONI!$AU:$AU,2)),"")</f>
        <v/>
      </c>
      <c r="X5" s="34" t="str">
        <f>IFERROR(INDEX(PRENOTAZIONI!$F:$F,SMALL(PRENOTAZIONI!$AU:$AU,2)),"")</f>
        <v/>
      </c>
      <c r="Y5" s="35" t="str">
        <f>IFERROR(INDEX(PRENOTAZIONI!$H:$H,SMALL(PRENOTAZIONI!$AU:$AU,2)),"")</f>
        <v/>
      </c>
      <c r="Z5" s="34" t="str">
        <f>IFERROR(INDEX(PRENOTAZIONI!$K:$K,SMALL(PRENOTAZIONI!$AU:$AU,2)),"")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SUMPRODUCT((MONTH(PRENOTAZIONI!$A$3:$A$262)=2)*(YEAR(PRENOTAZIONI!$A$3:$A$262)=2026)*(PRENOTAZIONI!$D$3:$D$262="Nel Cuore di Lanciano"))</f>
        <v>0</v>
      </c>
      <c r="AI5" s="114">
        <f>SUMPRODUCT((PRENOTAZIONI!$A$3:$A$262&lt;DATE(2026,3,1))*(PRENOTAZIONI!$B$3:$B$262&gt;DATE(2026,2,1))*(YEAR(PRENOTAZIONI!$A$3:$A$262)=2026)*(PRENOTAZIONI!$D$3:$D$262="Nel Cuore di Lanciano")*((PRENOTAZIONI!$B$3:$B$262*(PRENOTAZIONI!$B$3:$B$262&lt;DATE(2026,3,1))+DATE(2026,3,1)*(PRENOTAZIONI!$B$3:$B$262&gt;=DATE(2026,3,1)))-(PRENOTAZIONI!$A$3:$A$262*(PRENOTAZIONI!$A$3:$A$262&gt;DATE(2026,2,1))+DATE(2026,2,1)*(PRENOTAZIONI!$A$3:$A$262&lt;=DATE(2026,2,1)))))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31">
        <f>IFERROR(INDEX(PRENOTAZIONI!$A:$A,SMALL(PRENOTAZIONI!$AT:$AT,3)),"")</f>
        <v>46245</v>
      </c>
      <c r="B6" s="31">
        <f>IFERROR(INDEX(PRENOTAZIONI!$B:$B,SMALL(PRENOTAZIONI!$AT:$AT,3)),"")</f>
        <v>46251</v>
      </c>
      <c r="C6" s="32">
        <f t="shared" si="0"/>
        <v>6</v>
      </c>
      <c r="D6" s="34" t="str">
        <f>IFERROR(INDEX(PRENOTAZIONI!$E:$E,SMALL(PRENOTAZIONI!$AT:$AT,3)),"")</f>
        <v>Juanna Rosa</v>
      </c>
      <c r="E6" s="34" t="str">
        <f>IFERROR(INDEX(PRENOTAZIONI!$F:$F,SMALL(PRENOTAZIONI!$AT:$AT,3)),"")</f>
        <v>2 ad 1 b</v>
      </c>
      <c r="F6" s="34" t="str">
        <f>IFERROR(INDEX(PRENOTAZIONI!$G:$G,SMALL(PRENOTAZIONI!$AT:$AT,3)),"")</f>
        <v>booking.com</v>
      </c>
      <c r="G6" s="35">
        <f>IFERROR(INDEX(PRENOTAZIONI!$H:$H,SMALL(PRENOTAZIONI!$AT:$AT,3)),"")</f>
        <v>675</v>
      </c>
      <c r="H6" s="146">
        <f t="shared" si="1"/>
        <v>112.5</v>
      </c>
      <c r="I6" s="35">
        <f t="shared" si="2"/>
        <v>101.25</v>
      </c>
      <c r="J6" s="149">
        <f>IF(I6&lt;&gt;"",I6*0.22,"")</f>
        <v>22.274999999999999</v>
      </c>
      <c r="K6" s="34" t="str">
        <f>IFERROR(INDEX(PRENOTAZIONI!$K:$K,SMALL(PRENOTAZIONI!$AT:$AT,3)),"")</f>
        <v>contanti</v>
      </c>
      <c r="L6" s="35">
        <f>IFERROR(INDEX(PRENOTAZIONI!$L:$L,SMALL(PRENOTAZIONI!$AT:$AT,3)),"")</f>
        <v>0</v>
      </c>
      <c r="M6" s="150">
        <f t="shared" si="3"/>
        <v>141.75</v>
      </c>
      <c r="N6" s="35">
        <f t="shared" si="4"/>
        <v>168.75</v>
      </c>
      <c r="O6" s="35"/>
      <c r="P6" s="43"/>
      <c r="Q6" s="150">
        <f t="shared" si="5"/>
        <v>240.97500000000002</v>
      </c>
      <c r="R6" s="34">
        <f>IFERROR(INDEX(PRENOTAZIONI!$R:$R,SMALL(PRENOTAZIONI!$AT:$AT,3)),"")</f>
        <v>0</v>
      </c>
      <c r="S6" s="31"/>
      <c r="T6" s="80" t="str">
        <f>IFERROR(INDEX(PRENOTAZIONI!$A:$A,SMALL(PRENOTAZIONI!$AU:$AU,3)),"")</f>
        <v/>
      </c>
      <c r="U6" s="31" t="str">
        <f>IFERROR(INDEX(PRENOTAZIONI!$B:$B,SMALL(PRENOTAZIONI!$AU:$AU,3)),"")</f>
        <v/>
      </c>
      <c r="V6" s="32" t="str">
        <f t="shared" si="6"/>
        <v/>
      </c>
      <c r="W6" s="34" t="str">
        <f>IFERROR(INDEX(PRENOTAZIONI!$E:$E,SMALL(PRENOTAZIONI!$AU:$AU,3)),"")</f>
        <v/>
      </c>
      <c r="X6" s="34" t="str">
        <f>IFERROR(INDEX(PRENOTAZIONI!$F:$F,SMALL(PRENOTAZIONI!$AU:$AU,3)),"")</f>
        <v/>
      </c>
      <c r="Y6" s="35" t="str">
        <f>IFERROR(INDEX(PRENOTAZIONI!$H:$H,SMALL(PRENOTAZIONI!$AU:$AU,3)),"")</f>
        <v/>
      </c>
      <c r="Z6" s="34" t="str">
        <f>IFERROR(INDEX(PRENOTAZIONI!$K:$K,SMALL(PRENOTAZIONI!$AU:$AU,3)),"")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SUMPRODUCT((MONTH(PRENOTAZIONI!$A$3:$A$262)=3)*(YEAR(PRENOTAZIONI!$A$3:$A$262)=2026)*(PRENOTAZIONI!$D$3:$D$262="Nel Cuore di Lanciano"))</f>
        <v>0</v>
      </c>
      <c r="AI6" s="114">
        <f>SUMPRODUCT((PRENOTAZIONI!$A$3:$A$262&lt;DATE(2026,4,1))*(PRENOTAZIONI!$B$3:$B$262&gt;DATE(2026,3,1))*(YEAR(PRENOTAZIONI!$A$3:$A$262)=2026)*(PRENOTAZIONI!$D$3:$D$262="Nel Cuore di Lanciano")*((PRENOTAZIONI!$B$3:$B$262*(PRENOTAZIONI!$B$3:$B$262&lt;DATE(2026,4,1))+DATE(2026,4,1)*(PRENOTAZIONI!$B$3:$B$262&gt;=DATE(2026,4,1)))-(PRENOTAZIONI!$A$3:$A$262*(PRENOTAZIONI!$A$3:$A$262&gt;DATE(2026,3,1))+DATE(2026,3,1)*(PRENOTAZIONI!$A$3:$A$262&lt;=DATE(2026,3,1)))))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31">
        <f>IFERROR(INDEX(PRENOTAZIONI!$A:$A,SMALL(PRENOTAZIONI!$AT:$AT,4)),"")</f>
        <v>46251</v>
      </c>
      <c r="B7" s="31">
        <f>IFERROR(INDEX(PRENOTAZIONI!$B:$B,SMALL(PRENOTAZIONI!$AT:$AT,4)),"")</f>
        <v>46257</v>
      </c>
      <c r="C7" s="32">
        <f t="shared" si="0"/>
        <v>6</v>
      </c>
      <c r="D7" s="34" t="str">
        <f>IFERROR(INDEX(PRENOTAZIONI!$E:$E,SMALL(PRENOTAZIONI!$AT:$AT,4)),"")</f>
        <v>Alessandro Brunetti</v>
      </c>
      <c r="E7" s="34" t="str">
        <f>IFERROR(INDEX(PRENOTAZIONI!$F:$F,SMALL(PRENOTAZIONI!$AT:$AT,4)),"")</f>
        <v>2 ad</v>
      </c>
      <c r="F7" s="34" t="str">
        <f>IFERROR(INDEX(PRENOTAZIONI!$G:$G,SMALL(PRENOTAZIONI!$AT:$AT,4)),"")</f>
        <v>booking.com</v>
      </c>
      <c r="G7" s="35">
        <f>IFERROR(INDEX(PRENOTAZIONI!$H:$H,SMALL(PRENOTAZIONI!$AT:$AT,4)),"")</f>
        <v>576</v>
      </c>
      <c r="H7" s="146">
        <f t="shared" si="1"/>
        <v>96</v>
      </c>
      <c r="I7" s="35">
        <f t="shared" si="2"/>
        <v>86.399999999999991</v>
      </c>
      <c r="J7" s="149">
        <f t="shared" ref="J7:J35" si="9">IF(H7&lt;&gt;"",H7*0.22,"")</f>
        <v>21.12</v>
      </c>
      <c r="K7" s="34">
        <f>IFERROR(INDEX(PRENOTAZIONI!$K:$K,SMALL(PRENOTAZIONI!$AT:$AT,4)),"")</f>
        <v>0</v>
      </c>
      <c r="L7" s="35">
        <f>IFERROR(INDEX(PRENOTAZIONI!$L:$L,SMALL(PRENOTAZIONI!$AT:$AT,4)),"")</f>
        <v>0</v>
      </c>
      <c r="M7" s="150">
        <f t="shared" si="3"/>
        <v>120.96</v>
      </c>
      <c r="N7" s="35">
        <f t="shared" si="4"/>
        <v>144</v>
      </c>
      <c r="O7" s="35"/>
      <c r="P7" s="43"/>
      <c r="Q7" s="150">
        <f t="shared" si="5"/>
        <v>203.52000000000004</v>
      </c>
      <c r="R7" s="34">
        <f>IFERROR(INDEX(PRENOTAZIONI!$R:$R,SMALL(PRENOTAZIONI!$AT:$AT,4)),"")</f>
        <v>0</v>
      </c>
      <c r="S7" s="31"/>
      <c r="T7" s="80" t="str">
        <f>IFERROR(INDEX(PRENOTAZIONI!$A:$A,SMALL(PRENOTAZIONI!$AU:$AU,4)),"")</f>
        <v/>
      </c>
      <c r="U7" s="31" t="str">
        <f>IFERROR(INDEX(PRENOTAZIONI!$B:$B,SMALL(PRENOTAZIONI!$AU:$AU,4)),"")</f>
        <v/>
      </c>
      <c r="V7" s="32" t="str">
        <f t="shared" si="6"/>
        <v/>
      </c>
      <c r="W7" s="34" t="str">
        <f>IFERROR(INDEX(PRENOTAZIONI!$E:$E,SMALL(PRENOTAZIONI!$AU:$AU,4)),"")</f>
        <v/>
      </c>
      <c r="X7" s="34" t="str">
        <f>IFERROR(INDEX(PRENOTAZIONI!$F:$F,SMALL(PRENOTAZIONI!$AU:$AU,4)),"")</f>
        <v/>
      </c>
      <c r="Y7" s="35" t="str">
        <f>IFERROR(INDEX(PRENOTAZIONI!$H:$H,SMALL(PRENOTAZIONI!$AU:$AU,4)),"")</f>
        <v/>
      </c>
      <c r="Z7" s="34" t="str">
        <f>IFERROR(INDEX(PRENOTAZIONI!$K:$K,SMALL(PRENOTAZIONI!$AU:$AU,4)),"")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SUMPRODUCT((MONTH(PRENOTAZIONI!$A$3:$A$262)=4)*(YEAR(PRENOTAZIONI!$A$3:$A$262)=2026)*(PRENOTAZIONI!$D$3:$D$262="Nel Cuore di Lanciano"))</f>
        <v>0</v>
      </c>
      <c r="AI7" s="114">
        <f>SUMPRODUCT((PRENOTAZIONI!$A$3:$A$262&lt;DATE(2026,5,1))*(PRENOTAZIONI!$B$3:$B$262&gt;DATE(2026,4,1))*(YEAR(PRENOTAZIONI!$A$3:$A$262)=2026)*(PRENOTAZIONI!$D$3:$D$262="Nel Cuore di Lanciano")*((PRENOTAZIONI!$B$3:$B$262*(PRENOTAZIONI!$B$3:$B$262&lt;DATE(2026,5,1))+DATE(2026,5,1)*(PRENOTAZIONI!$B$3:$B$262&gt;=DATE(2026,5,1)))-(PRENOTAZIONI!$A$3:$A$262*(PRENOTAZIONI!$A$3:$A$262&gt;DATE(2026,4,1))+DATE(2026,4,1)*(PRENOTAZIONI!$A$3:$A$262&lt;=DATE(2026,4,1)))))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>
        <f>IFERROR(INDEX(PRENOTAZIONI!$A:$A,SMALL(PRENOTAZIONI!$AT:$AT,5)),"")</f>
        <v>46290</v>
      </c>
      <c r="B8" s="31">
        <f>IFERROR(INDEX(PRENOTAZIONI!$B:$B,SMALL(PRENOTAZIONI!$AT:$AT,5)),"")</f>
        <v>46293</v>
      </c>
      <c r="C8" s="32">
        <f t="shared" si="0"/>
        <v>3</v>
      </c>
      <c r="D8" s="34" t="str">
        <f>IFERROR(INDEX(PRENOTAZIONI!$E:$E,SMALL(PRENOTAZIONI!$AT:$AT,5)),"")</f>
        <v>Monique Dempsey</v>
      </c>
      <c r="E8" s="34" t="str">
        <f>IFERROR(INDEX(PRENOTAZIONI!$F:$F,SMALL(PRENOTAZIONI!$AT:$AT,5)),"")</f>
        <v>2 ad</v>
      </c>
      <c r="F8" s="34" t="str">
        <f>IFERROR(INDEX(PRENOTAZIONI!$G:$G,SMALL(PRENOTAZIONI!$AT:$AT,5)),"")</f>
        <v>booking.com</v>
      </c>
      <c r="G8" s="35">
        <f>IFERROR(INDEX(PRENOTAZIONI!$H:$H,SMALL(PRENOTAZIONI!$AT:$AT,5)),"")</f>
        <v>243</v>
      </c>
      <c r="H8" s="146">
        <f t="shared" si="1"/>
        <v>81</v>
      </c>
      <c r="I8" s="35">
        <f t="shared" si="2"/>
        <v>36.449999999999996</v>
      </c>
      <c r="J8" s="149">
        <f t="shared" si="9"/>
        <v>17.82</v>
      </c>
      <c r="K8" s="34">
        <f>IFERROR(INDEX(PRENOTAZIONI!$K:$K,SMALL(PRENOTAZIONI!$AT:$AT,5)),"")</f>
        <v>0</v>
      </c>
      <c r="L8" s="35">
        <f>IFERROR(INDEX(PRENOTAZIONI!$L:$L,SMALL(PRENOTAZIONI!$AT:$AT,5)),"")</f>
        <v>0</v>
      </c>
      <c r="M8" s="150">
        <f t="shared" si="3"/>
        <v>51.03</v>
      </c>
      <c r="N8" s="35">
        <f t="shared" si="4"/>
        <v>60.75</v>
      </c>
      <c r="O8" s="35"/>
      <c r="P8" s="43"/>
      <c r="Q8" s="150">
        <f t="shared" si="5"/>
        <v>76.950000000000017</v>
      </c>
      <c r="R8" s="34">
        <f>IFERROR(INDEX(PRENOTAZIONI!$R:$R,SMALL(PRENOTAZIONI!$AT:$AT,5)),"")</f>
        <v>0</v>
      </c>
      <c r="S8" s="31"/>
      <c r="T8" s="80" t="str">
        <f>IFERROR(INDEX(PRENOTAZIONI!$A:$A,SMALL(PRENOTAZIONI!$AU:$AU,5)),"")</f>
        <v/>
      </c>
      <c r="U8" s="31" t="str">
        <f>IFERROR(INDEX(PRENOTAZIONI!$B:$B,SMALL(PRENOTAZIONI!$AU:$AU,5)),"")</f>
        <v/>
      </c>
      <c r="V8" s="32" t="str">
        <f t="shared" si="6"/>
        <v/>
      </c>
      <c r="W8" s="34" t="str">
        <f>IFERROR(INDEX(PRENOTAZIONI!$E:$E,SMALL(PRENOTAZIONI!$AU:$AU,5)),"")</f>
        <v/>
      </c>
      <c r="X8" s="34" t="str">
        <f>IFERROR(INDEX(PRENOTAZIONI!$F:$F,SMALL(PRENOTAZIONI!$AU:$AU,5)),"")</f>
        <v/>
      </c>
      <c r="Y8" s="35" t="str">
        <f>IFERROR(INDEX(PRENOTAZIONI!$H:$H,SMALL(PRENOTAZIONI!$AU:$AU,5)),"")</f>
        <v/>
      </c>
      <c r="Z8" s="34" t="str">
        <f>IFERROR(INDEX(PRENOTAZIONI!$K:$K,SMALL(PRENOTAZIONI!$AU:$AU,5)),"")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SUMPRODUCT((MONTH(PRENOTAZIONI!$A$3:$A$262)=5)*(YEAR(PRENOTAZIONI!$A$3:$A$262)=2026)*(PRENOTAZIONI!$D$3:$D$262="Nel Cuore di Lanciano"))</f>
        <v>0</v>
      </c>
      <c r="AI8" s="114">
        <f>SUMPRODUCT((PRENOTAZIONI!$A$3:$A$262&lt;DATE(2026,6,1))*(PRENOTAZIONI!$B$3:$B$262&gt;DATE(2026,5,1))*(YEAR(PRENOTAZIONI!$A$3:$A$262)=2026)*(PRENOTAZIONI!$D$3:$D$262="Nel Cuore di Lanciano")*((PRENOTAZIONI!$B$3:$B$262*(PRENOTAZIONI!$B$3:$B$262&lt;DATE(2026,6,1))+DATE(2026,6,1)*(PRENOTAZIONI!$B$3:$B$262&gt;=DATE(2026,6,1)))-(PRENOTAZIONI!$A$3:$A$262*(PRENOTAZIONI!$A$3:$A$262&gt;DATE(2026,5,1))+DATE(2026,5,1)*(PRENOTAZIONI!$A$3:$A$262&lt;=DATE(2026,5,1)))))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IFERROR(INDEX(PRENOTAZIONI!$A:$A,SMALL(PRENOTAZIONI!$AT:$AT,6)),"")</f>
        <v/>
      </c>
      <c r="B9" s="31" t="str">
        <f>IFERROR(INDEX(PRENOTAZIONI!$B:$B,SMALL(PRENOTAZIONI!$AT:$AT,6)),"")</f>
        <v/>
      </c>
      <c r="C9" s="32" t="str">
        <f t="shared" si="0"/>
        <v/>
      </c>
      <c r="D9" s="34" t="str">
        <f>IFERROR(INDEX(PRENOTAZIONI!$E:$E,SMALL(PRENOTAZIONI!$AT:$AT,6)),"")</f>
        <v/>
      </c>
      <c r="E9" s="34" t="str">
        <f>IFERROR(INDEX(PRENOTAZIONI!$F:$F,SMALL(PRENOTAZIONI!$AT:$AT,6)),"")</f>
        <v/>
      </c>
      <c r="F9" s="34" t="str">
        <f>IFERROR(INDEX(PRENOTAZIONI!$G:$G,SMALL(PRENOTAZIONI!$AT:$AT,6)),"")</f>
        <v/>
      </c>
      <c r="G9" s="35" t="str">
        <f>IFERROR(INDEX(PRENOTAZIONI!$H:$H,SMALL(PRENOTAZIONI!$AT:$AT,6)),"")</f>
        <v/>
      </c>
      <c r="H9" s="146" t="str">
        <f t="shared" si="1"/>
        <v/>
      </c>
      <c r="I9" s="35" t="str">
        <f t="shared" si="2"/>
        <v/>
      </c>
      <c r="J9" s="149" t="str">
        <f t="shared" si="9"/>
        <v/>
      </c>
      <c r="K9" s="34" t="str">
        <f>IFERROR(INDEX(PRENOTAZIONI!$K:$K,SMALL(PRENOTAZIONI!$AT:$AT,6)),"")</f>
        <v/>
      </c>
      <c r="L9" s="35" t="str">
        <f>IFERROR(INDEX(PRENOTAZIONI!$L:$L,SMALL(PRENOTAZIONI!$AT:$AT,6)),"")</f>
        <v/>
      </c>
      <c r="M9" s="150" t="str">
        <f t="shared" si="3"/>
        <v/>
      </c>
      <c r="N9" s="35" t="str">
        <f t="shared" si="4"/>
        <v/>
      </c>
      <c r="O9" s="35"/>
      <c r="P9" s="43"/>
      <c r="Q9" s="150" t="str">
        <f t="shared" si="5"/>
        <v/>
      </c>
      <c r="R9" s="34" t="str">
        <f>IFERROR(INDEX(PRENOTAZIONI!$R:$R,SMALL(PRENOTAZIONI!$AT:$AT,6)),"")</f>
        <v/>
      </c>
      <c r="S9" s="31"/>
      <c r="T9" s="80" t="str">
        <f>IFERROR(INDEX(PRENOTAZIONI!$A:$A,SMALL(PRENOTAZIONI!$AU:$AU,6)),"")</f>
        <v/>
      </c>
      <c r="U9" s="31" t="str">
        <f>IFERROR(INDEX(PRENOTAZIONI!$B:$B,SMALL(PRENOTAZIONI!$AU:$AU,6)),"")</f>
        <v/>
      </c>
      <c r="V9" s="32" t="str">
        <f t="shared" si="6"/>
        <v/>
      </c>
      <c r="W9" s="34" t="str">
        <f>IFERROR(INDEX(PRENOTAZIONI!$E:$E,SMALL(PRENOTAZIONI!$AU:$AU,6)),"")</f>
        <v/>
      </c>
      <c r="X9" s="34" t="str">
        <f>IFERROR(INDEX(PRENOTAZIONI!$F:$F,SMALL(PRENOTAZIONI!$AU:$AU,6)),"")</f>
        <v/>
      </c>
      <c r="Y9" s="35" t="str">
        <f>IFERROR(INDEX(PRENOTAZIONI!$H:$H,SMALL(PRENOTAZIONI!$AU:$AU,6)),"")</f>
        <v/>
      </c>
      <c r="Z9" s="34" t="str">
        <f>IFERROR(INDEX(PRENOTAZIONI!$K:$K,SMALL(PRENOTAZIONI!$AU:$AU,6)),"")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SUMPRODUCT((MONTH(PRENOTAZIONI!$A$3:$A$262)=6)*(YEAR(PRENOTAZIONI!$A$3:$A$262)=2026)*(PRENOTAZIONI!$D$3:$D$262="Nel Cuore di Lanciano"))</f>
        <v>0</v>
      </c>
      <c r="AI9" s="114">
        <f>SUMPRODUCT((PRENOTAZIONI!$A$3:$A$262&lt;DATE(2026,7,1))*(PRENOTAZIONI!$B$3:$B$262&gt;DATE(2026,6,1))*(YEAR(PRENOTAZIONI!$A$3:$A$262)=2026)*(PRENOTAZIONI!$D$3:$D$262="Nel Cuore di Lanciano")*((PRENOTAZIONI!$B$3:$B$262*(PRENOTAZIONI!$B$3:$B$262&lt;DATE(2026,7,1))+DATE(2026,7,1)*(PRENOTAZIONI!$B$3:$B$262&gt;=DATE(2026,7,1)))-(PRENOTAZIONI!$A$3:$A$262*(PRENOTAZIONI!$A$3:$A$262&gt;DATE(2026,6,1))+DATE(2026,6,1)*(PRENOTAZIONI!$A$3:$A$262&lt;=DATE(2026,6,1)))))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60" ht="20" customHeight="1" x14ac:dyDescent="0.2">
      <c r="A10" s="31" t="str">
        <f>IFERROR(INDEX(PRENOTAZIONI!$A:$A,SMALL(PRENOTAZIONI!$AT:$AT,7)),"")</f>
        <v/>
      </c>
      <c r="B10" s="31" t="str">
        <f>IFERROR(INDEX(PRENOTAZIONI!$B:$B,SMALL(PRENOTAZIONI!$AT:$AT,7)),"")</f>
        <v/>
      </c>
      <c r="C10" s="32" t="str">
        <f t="shared" si="0"/>
        <v/>
      </c>
      <c r="D10" s="34" t="str">
        <f>IFERROR(INDEX(PRENOTAZIONI!$E:$E,SMALL(PRENOTAZIONI!$AT:$AT,7)),"")</f>
        <v/>
      </c>
      <c r="E10" s="34" t="str">
        <f>IFERROR(INDEX(PRENOTAZIONI!$F:$F,SMALL(PRENOTAZIONI!$AT:$AT,7)),"")</f>
        <v/>
      </c>
      <c r="F10" s="34" t="str">
        <f>IFERROR(INDEX(PRENOTAZIONI!$G:$G,SMALL(PRENOTAZIONI!$AT:$AT,7)),"")</f>
        <v/>
      </c>
      <c r="G10" s="35" t="str">
        <f>IFERROR(INDEX(PRENOTAZIONI!$H:$H,SMALL(PRENOTAZIONI!$AT:$AT,7)),"")</f>
        <v/>
      </c>
      <c r="H10" s="146" t="str">
        <f t="shared" si="1"/>
        <v/>
      </c>
      <c r="I10" s="35" t="str">
        <f t="shared" si="2"/>
        <v/>
      </c>
      <c r="J10" s="149" t="str">
        <f t="shared" si="9"/>
        <v/>
      </c>
      <c r="K10" s="34" t="str">
        <f>IFERROR(INDEX(PRENOTAZIONI!$K:$K,SMALL(PRENOTAZIONI!$AT:$AT,7)),"")</f>
        <v/>
      </c>
      <c r="L10" s="35" t="str">
        <f>IFERROR(INDEX(PRENOTAZIONI!$L:$L,SMALL(PRENOTAZIONI!$AT:$AT,7)),"")</f>
        <v/>
      </c>
      <c r="M10" s="150" t="str">
        <f t="shared" si="3"/>
        <v/>
      </c>
      <c r="N10" s="35" t="str">
        <f t="shared" si="4"/>
        <v/>
      </c>
      <c r="O10" s="35"/>
      <c r="P10" s="43"/>
      <c r="Q10" s="150" t="str">
        <f t="shared" si="5"/>
        <v/>
      </c>
      <c r="R10" s="34" t="str">
        <f>IFERROR(INDEX(PRENOTAZIONI!$R:$R,SMALL(PRENOTAZIONI!$AT:$AT,7)),"")</f>
        <v/>
      </c>
      <c r="S10" s="31"/>
      <c r="T10" s="80" t="str">
        <f>IFERROR(INDEX(PRENOTAZIONI!$A:$A,SMALL(PRENOTAZIONI!$AU:$AU,7)),"")</f>
        <v/>
      </c>
      <c r="U10" s="31" t="str">
        <f>IFERROR(INDEX(PRENOTAZIONI!$B:$B,SMALL(PRENOTAZIONI!$AU:$AU,7)),"")</f>
        <v/>
      </c>
      <c r="V10" s="32" t="str">
        <f t="shared" si="6"/>
        <v/>
      </c>
      <c r="W10" s="34" t="str">
        <f>IFERROR(INDEX(PRENOTAZIONI!$E:$E,SMALL(PRENOTAZIONI!$AU:$AU,7)),"")</f>
        <v/>
      </c>
      <c r="X10" s="34" t="str">
        <f>IFERROR(INDEX(PRENOTAZIONI!$F:$F,SMALL(PRENOTAZIONI!$AU:$AU,7)),"")</f>
        <v/>
      </c>
      <c r="Y10" s="35" t="str">
        <f>IFERROR(INDEX(PRENOTAZIONI!$H:$H,SMALL(PRENOTAZIONI!$AU:$AU,7)),"")</f>
        <v/>
      </c>
      <c r="Z10" s="34" t="str">
        <f>IFERROR(INDEX(PRENOTAZIONI!$K:$K,SMALL(PRENOTAZIONI!$AU:$AU,7)),"")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SUMPRODUCT((MONTH(PRENOTAZIONI!$A$3:$A$262)=7)*(YEAR(PRENOTAZIONI!$A$3:$A$262)=2026)*(PRENOTAZIONI!$D$3:$D$262="Nel Cuore di Lanciano"))</f>
        <v>1</v>
      </c>
      <c r="AI10" s="114">
        <f>SUMPRODUCT((PRENOTAZIONI!$A$3:$A$262&lt;DATE(2026,8,1))*(PRENOTAZIONI!$B$3:$B$262&gt;DATE(2026,7,1))*(YEAR(PRENOTAZIONI!$A$3:$A$262)=2026)*(PRENOTAZIONI!$D$3:$D$262="Nel Cuore di Lanciano")*((PRENOTAZIONI!$B$3:$B$262*(PRENOTAZIONI!$B$3:$B$262&lt;DATE(2026,8,1))+DATE(2026,8,1)*(PRENOTAZIONI!$B$3:$B$262&gt;=DATE(2026,8,1)))-(PRENOTAZIONI!$A$3:$A$262*(PRENOTAZIONI!$A$3:$A$262&gt;DATE(2026,7,1))+DATE(2026,7,1)*(PRENOTAZIONI!$A$3:$A$262&lt;=DATE(2026,7,1)))))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5</v>
      </c>
      <c r="AJ10" s="151">
        <f>SUMIF(A4:A33,"&gt;="&amp;DATE(2026,7,1),G4:G33)-SUMIF(A4:A33,"&gt;="&amp;DATE(2026,8,1),G4:G33)</f>
        <v>554.40000000000009</v>
      </c>
      <c r="AK10" s="151">
        <f>SUMIF(A4:A33,"&gt;="&amp;DATE(2026,7,1),I4:I33)-SUMIF(A4:A33,"&gt;="&amp;DATE(2026,8,1),I4:I33)</f>
        <v>83.159999999999968</v>
      </c>
      <c r="AL10" s="151">
        <f>SUMIF(A4:A33,"&gt;="&amp;DATE(2026,7,1),L4:L33)-SUMIF(A4:A33,"&gt;="&amp;DATE(2026,8,1),L4:L33)</f>
        <v>4</v>
      </c>
      <c r="AM10" s="151">
        <f>SUMIF(A4:A33,"&gt;="&amp;DATE(2026,7,1),N4:N33)-SUMIF(A4:A33,"&gt;="&amp;DATE(2026,8,1),N4:N33)</f>
        <v>138.60000000000002</v>
      </c>
      <c r="AN10" s="152">
        <f>SUMIF(A4:A33,"&gt;="&amp;DATE(2026,7,1),M4:M33)-SUMIF(A4:A33,"&gt;="&amp;DATE(2026,8,1),M4:M33)</f>
        <v>116.42399999999998</v>
      </c>
      <c r="AO10" s="152">
        <f>SUMIF(A4:A33,"&gt;="&amp;DATE(2026,7,1),J4:J33)-SUMIF(A4:A33,"&gt;="&amp;DATE(2026,8,1),J4:J33)</f>
        <v>18.295199999999994</v>
      </c>
      <c r="AP10" s="153">
        <f>SUMIF(A4:A33,"&gt;="&amp;DATE(2026,7,1),Q4:Q33)-SUMIF(A4:A33,"&gt;="&amp;DATE(2026,8,1),Q4:Q33)</f>
        <v>49.920799999999872</v>
      </c>
    </row>
    <row r="11" spans="1:60" ht="20" customHeight="1" x14ac:dyDescent="0.2">
      <c r="A11" s="31" t="str">
        <f>IFERROR(INDEX(PRENOTAZIONI!$A:$A,SMALL(PRENOTAZIONI!$AT:$AT,8)),"")</f>
        <v/>
      </c>
      <c r="B11" s="31" t="str">
        <f>IFERROR(INDEX(PRENOTAZIONI!$B:$B,SMALL(PRENOTAZIONI!$AT:$AT,8)),"")</f>
        <v/>
      </c>
      <c r="C11" s="32" t="str">
        <f t="shared" si="0"/>
        <v/>
      </c>
      <c r="D11" s="34" t="str">
        <f>IFERROR(INDEX(PRENOTAZIONI!$E:$E,SMALL(PRENOTAZIONI!$AT:$AT,8)),"")</f>
        <v/>
      </c>
      <c r="E11" s="34" t="str">
        <f>IFERROR(INDEX(PRENOTAZIONI!$F:$F,SMALL(PRENOTAZIONI!$AT:$AT,8)),"")</f>
        <v/>
      </c>
      <c r="F11" s="34" t="str">
        <f>IFERROR(INDEX(PRENOTAZIONI!$G:$G,SMALL(PRENOTAZIONI!$AT:$AT,8)),"")</f>
        <v/>
      </c>
      <c r="G11" s="35" t="str">
        <f>IFERROR(INDEX(PRENOTAZIONI!$H:$H,SMALL(PRENOTAZIONI!$AT:$AT,8)),"")</f>
        <v/>
      </c>
      <c r="H11" s="146" t="str">
        <f t="shared" si="1"/>
        <v/>
      </c>
      <c r="I11" s="35" t="str">
        <f t="shared" si="2"/>
        <v/>
      </c>
      <c r="J11" s="149" t="str">
        <f t="shared" si="9"/>
        <v/>
      </c>
      <c r="K11" s="34" t="str">
        <f>IFERROR(INDEX(PRENOTAZIONI!$K:$K,SMALL(PRENOTAZIONI!$AT:$AT,8)),"")</f>
        <v/>
      </c>
      <c r="L11" s="35" t="str">
        <f>IFERROR(INDEX(PRENOTAZIONI!$L:$L,SMALL(PRENOTAZIONI!$AT:$AT,8)),"")</f>
        <v/>
      </c>
      <c r="M11" s="150" t="str">
        <f t="shared" si="3"/>
        <v/>
      </c>
      <c r="N11" s="35" t="str">
        <f t="shared" si="4"/>
        <v/>
      </c>
      <c r="O11" s="35"/>
      <c r="P11" s="43"/>
      <c r="Q11" s="150" t="str">
        <f t="shared" si="5"/>
        <v/>
      </c>
      <c r="R11" s="34" t="str">
        <f>IFERROR(INDEX(PRENOTAZIONI!$R:$R,SMALL(PRENOTAZIONI!$AT:$AT,8)),"")</f>
        <v/>
      </c>
      <c r="S11" s="31"/>
      <c r="T11" s="80" t="str">
        <f>IFERROR(INDEX(PRENOTAZIONI!$A:$A,SMALL(PRENOTAZIONI!$AU:$AU,8)),"")</f>
        <v/>
      </c>
      <c r="U11" s="31" t="str">
        <f>IFERROR(INDEX(PRENOTAZIONI!$B:$B,SMALL(PRENOTAZIONI!$AU:$AU,8)),"")</f>
        <v/>
      </c>
      <c r="V11" s="32" t="str">
        <f t="shared" si="6"/>
        <v/>
      </c>
      <c r="W11" s="34" t="str">
        <f>IFERROR(INDEX(PRENOTAZIONI!$E:$E,SMALL(PRENOTAZIONI!$AU:$AU,8)),"")</f>
        <v/>
      </c>
      <c r="X11" s="34" t="str">
        <f>IFERROR(INDEX(PRENOTAZIONI!$F:$F,SMALL(PRENOTAZIONI!$AU:$AU,8)),"")</f>
        <v/>
      </c>
      <c r="Y11" s="35" t="str">
        <f>IFERROR(INDEX(PRENOTAZIONI!$H:$H,SMALL(PRENOTAZIONI!$AU:$AU,8)),"")</f>
        <v/>
      </c>
      <c r="Z11" s="34" t="str">
        <f>IFERROR(INDEX(PRENOTAZIONI!$K:$K,SMALL(PRENOTAZIONI!$AU:$AU,8)),"")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SUMPRODUCT((MONTH(PRENOTAZIONI!$A$3:$A$262)=8)*(YEAR(PRENOTAZIONI!$A$3:$A$262)=2026)*(PRENOTAZIONI!$D$3:$D$262="Nel Cuore di Lanciano"))</f>
        <v>3</v>
      </c>
      <c r="AI11" s="114">
        <f>SUMPRODUCT((PRENOTAZIONI!$A$3:$A$262&lt;DATE(2026,9,1))*(PRENOTAZIONI!$B$3:$B$262&gt;DATE(2026,8,1))*(YEAR(PRENOTAZIONI!$A$3:$A$262)=2026)*(PRENOTAZIONI!$D$3:$D$262="Nel Cuore di Lanciano")*((PRENOTAZIONI!$B$3:$B$262*(PRENOTAZIONI!$B$3:$B$262&lt;DATE(2026,9,1))+DATE(2026,9,1)*(PRENOTAZIONI!$B$3:$B$262&gt;=DATE(2026,9,1)))-(PRENOTAZIONI!$A$3:$A$262*(PRENOTAZIONI!$A$3:$A$262&gt;DATE(2026,8,1))+DATE(2026,8,1)*(PRENOTAZIONI!$A$3:$A$262&lt;=DATE(2026,8,1)))))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22</v>
      </c>
      <c r="AJ11" s="151">
        <f>SUMIF(A4:A33,"&gt;="&amp;DATE(2026,8,1),G4:G33)-SUMIF(A4:A33,"&gt;="&amp;DATE(2026,9,1),G4:G33)</f>
        <v>1908</v>
      </c>
      <c r="AK11" s="151">
        <f>SUMIF(A4:A33,"&gt;="&amp;DATE(2026,8,1),I4:I33)-SUMIF(A4:A33,"&gt;="&amp;DATE(2026,9,1),I4:I33)</f>
        <v>286.2</v>
      </c>
      <c r="AL11" s="151">
        <f>SUMIF(A4:A33,"&gt;="&amp;DATE(2026,8,1),L4:L33)-SUMIF(A4:A33,"&gt;="&amp;DATE(2026,9,1),L4:L33)</f>
        <v>4</v>
      </c>
      <c r="AM11" s="151">
        <f>SUMIF(A4:A33,"&gt;="&amp;DATE(2026,8,1),N4:N33)-SUMIF(A4:A33,"&gt;="&amp;DATE(2026,9,1),N4:N33)</f>
        <v>477</v>
      </c>
      <c r="AN11" s="152">
        <f>SUMIF(A4:A33,"&gt;="&amp;DATE(2026,8,1),M4:M33)-SUMIF(A4:A33,"&gt;="&amp;DATE(2026,9,1),M4:M33)</f>
        <v>400.68000000000006</v>
      </c>
      <c r="AO11" s="152">
        <f>SUMIF(A4:A33,"&gt;="&amp;DATE(2026,8,1),J4:J33)-SUMIF(A4:A33,"&gt;="&amp;DATE(2026,9,1),J4:J33)</f>
        <v>65.076000000000022</v>
      </c>
      <c r="AP11" s="153">
        <f>SUMIF(A4:A33,"&gt;="&amp;DATE(2026,8,1),Q4:Q33)-SUMIF(A4:A33,"&gt;="&amp;DATE(2026,9,1),Q4:Q33)</f>
        <v>679.0440000000001</v>
      </c>
    </row>
    <row r="12" spans="1:60" ht="20" customHeight="1" x14ac:dyDescent="0.2">
      <c r="A12" s="31" t="str">
        <f>IFERROR(INDEX(PRENOTAZIONI!$A:$A,SMALL(PRENOTAZIONI!$AT:$AT,9)),"")</f>
        <v/>
      </c>
      <c r="B12" s="31" t="str">
        <f>IFERROR(INDEX(PRENOTAZIONI!$B:$B,SMALL(PRENOTAZIONI!$AT:$AT,9)),"")</f>
        <v/>
      </c>
      <c r="C12" s="32" t="str">
        <f t="shared" si="0"/>
        <v/>
      </c>
      <c r="D12" s="34" t="str">
        <f>IFERROR(INDEX(PRENOTAZIONI!$E:$E,SMALL(PRENOTAZIONI!$AT:$AT,9)),"")</f>
        <v/>
      </c>
      <c r="E12" s="34" t="str">
        <f>IFERROR(INDEX(PRENOTAZIONI!$F:$F,SMALL(PRENOTAZIONI!$AT:$AT,9)),"")</f>
        <v/>
      </c>
      <c r="F12" s="34" t="str">
        <f>IFERROR(INDEX(PRENOTAZIONI!$G:$G,SMALL(PRENOTAZIONI!$AT:$AT,9)),"")</f>
        <v/>
      </c>
      <c r="G12" s="35" t="str">
        <f>IFERROR(INDEX(PRENOTAZIONI!$H:$H,SMALL(PRENOTAZIONI!$AT:$AT,9)),"")</f>
        <v/>
      </c>
      <c r="H12" s="146" t="str">
        <f t="shared" si="1"/>
        <v/>
      </c>
      <c r="I12" s="35" t="str">
        <f t="shared" si="2"/>
        <v/>
      </c>
      <c r="J12" s="149" t="str">
        <f t="shared" si="9"/>
        <v/>
      </c>
      <c r="K12" s="34" t="str">
        <f>IFERROR(INDEX(PRENOTAZIONI!$K:$K,SMALL(PRENOTAZIONI!$AT:$AT,9)),"")</f>
        <v/>
      </c>
      <c r="L12" s="35" t="str">
        <f>IFERROR(INDEX(PRENOTAZIONI!$L:$L,SMALL(PRENOTAZIONI!$AT:$AT,9)),"")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34" t="str">
        <f>IFERROR(INDEX(PRENOTAZIONI!$R:$R,SMALL(PRENOTAZIONI!$AT:$AT,9)),"")</f>
        <v/>
      </c>
      <c r="S12" s="31"/>
      <c r="T12" s="80" t="str">
        <f>IFERROR(INDEX(PRENOTAZIONI!$A:$A,SMALL(PRENOTAZIONI!$AU:$AU,9)),"")</f>
        <v/>
      </c>
      <c r="U12" s="31" t="str">
        <f>IFERROR(INDEX(PRENOTAZIONI!$B:$B,SMALL(PRENOTAZIONI!$AU:$AU,9)),"")</f>
        <v/>
      </c>
      <c r="V12" s="32" t="str">
        <f t="shared" si="6"/>
        <v/>
      </c>
      <c r="W12" s="34" t="str">
        <f>IFERROR(INDEX(PRENOTAZIONI!$E:$E,SMALL(PRENOTAZIONI!$AU:$AU,9)),"")</f>
        <v/>
      </c>
      <c r="X12" s="34" t="str">
        <f>IFERROR(INDEX(PRENOTAZIONI!$F:$F,SMALL(PRENOTAZIONI!$AU:$AU,9)),"")</f>
        <v/>
      </c>
      <c r="Y12" s="35" t="str">
        <f>IFERROR(INDEX(PRENOTAZIONI!$H:$H,SMALL(PRENOTAZIONI!$AU:$AU,9)),"")</f>
        <v/>
      </c>
      <c r="Z12" s="34" t="str">
        <f>IFERROR(INDEX(PRENOTAZIONI!$K:$K,SMALL(PRENOTAZIONI!$AU:$AU,9)),"")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SUMPRODUCT((MONTH(PRENOTAZIONI!$A$3:$A$262)=9)*(YEAR(PRENOTAZIONI!$A$3:$A$262)=2026)*(PRENOTAZIONI!$D$3:$D$262="Nel Cuore di Lanciano"))</f>
        <v>1</v>
      </c>
      <c r="AI12" s="114">
        <f>SUMPRODUCT((PRENOTAZIONI!$A$3:$A$262&lt;DATE(2026,10,1))*(PRENOTAZIONI!$B$3:$B$262&gt;DATE(2026,9,1))*(YEAR(PRENOTAZIONI!$A$3:$A$262)=2026)*(PRENOTAZIONI!$D$3:$D$262="Nel Cuore di Lanciano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3</v>
      </c>
      <c r="AJ12" s="151">
        <f>SUMIF(A4:A33,"&gt;="&amp;DATE(2026,9,1),G4:G33)-SUMIF(A4:A33,"&gt;="&amp;DATE(2026,10,1),G4:G33)</f>
        <v>243</v>
      </c>
      <c r="AK12" s="151">
        <f>SUMIF(A4:A33,"&gt;="&amp;DATE(2026,9,1),I4:I33)-SUMIF(A4:A33,"&gt;="&amp;DATE(2026,10,1),I4:I33)</f>
        <v>36.449999999999996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60.75</v>
      </c>
      <c r="AN12" s="152">
        <f>SUMIF(A4:A33,"&gt;="&amp;DATE(2026,9,1),M4:M33)-SUMIF(A4:A33,"&gt;="&amp;DATE(2026,10,1),M4:M33)</f>
        <v>51.03</v>
      </c>
      <c r="AO12" s="152">
        <f>SUMIF(A4:A33,"&gt;="&amp;DATE(2026,9,1),J4:J33)-SUMIF(A4:A33,"&gt;="&amp;DATE(2026,10,1),J4:J33)</f>
        <v>17.82</v>
      </c>
      <c r="AP12" s="153">
        <f>SUMIF(A4:A33,"&gt;="&amp;DATE(2026,9,1),Q4:Q33)-SUMIF(A4:A33,"&gt;="&amp;DATE(2026,10,1),Q4:Q33)</f>
        <v>76.950000000000017</v>
      </c>
    </row>
    <row r="13" spans="1:60" ht="20" customHeight="1" x14ac:dyDescent="0.2">
      <c r="A13" s="31" t="str">
        <f>IFERROR(INDEX(PRENOTAZIONI!$A:$A,SMALL(PRENOTAZIONI!$AT:$AT,10)),"")</f>
        <v/>
      </c>
      <c r="B13" s="31" t="str">
        <f>IFERROR(INDEX(PRENOTAZIONI!$B:$B,SMALL(PRENOTAZIONI!$AT:$AT,10)),"")</f>
        <v/>
      </c>
      <c r="C13" s="32" t="str">
        <f t="shared" si="0"/>
        <v/>
      </c>
      <c r="D13" s="34" t="str">
        <f>IFERROR(INDEX(PRENOTAZIONI!$E:$E,SMALL(PRENOTAZIONI!$AT:$AT,10)),"")</f>
        <v/>
      </c>
      <c r="E13" s="34" t="str">
        <f>IFERROR(INDEX(PRENOTAZIONI!$F:$F,SMALL(PRENOTAZIONI!$AT:$AT,10)),"")</f>
        <v/>
      </c>
      <c r="F13" s="34" t="str">
        <f>IFERROR(INDEX(PRENOTAZIONI!$G:$G,SMALL(PRENOTAZIONI!$AT:$AT,10)),"")</f>
        <v/>
      </c>
      <c r="G13" s="35" t="str">
        <f>IFERROR(INDEX(PRENOTAZIONI!$H:$H,SMALL(PRENOTAZIONI!$AT:$AT,10)),"")</f>
        <v/>
      </c>
      <c r="H13" s="146" t="str">
        <f t="shared" si="1"/>
        <v/>
      </c>
      <c r="I13" s="35" t="str">
        <f t="shared" si="2"/>
        <v/>
      </c>
      <c r="J13" s="149" t="str">
        <f t="shared" si="9"/>
        <v/>
      </c>
      <c r="K13" s="34" t="str">
        <f>IFERROR(INDEX(PRENOTAZIONI!$K:$K,SMALL(PRENOTAZIONI!$AT:$AT,10)),"")</f>
        <v/>
      </c>
      <c r="L13" s="35" t="str">
        <f>IFERROR(INDEX(PRENOTAZIONI!$L:$L,SMALL(PRENOTAZIONI!$AT:$AT,10)),"")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34" t="str">
        <f>IFERROR(INDEX(PRENOTAZIONI!$R:$R,SMALL(PRENOTAZIONI!$AT:$AT,10)),"")</f>
        <v/>
      </c>
      <c r="S13" s="31"/>
      <c r="T13" s="80" t="str">
        <f>IFERROR(INDEX(PRENOTAZIONI!$A:$A,SMALL(PRENOTAZIONI!$AU:$AU,10)),"")</f>
        <v/>
      </c>
      <c r="U13" s="31" t="str">
        <f>IFERROR(INDEX(PRENOTAZIONI!$B:$B,SMALL(PRENOTAZIONI!$AU:$AU,10)),"")</f>
        <v/>
      </c>
      <c r="V13" s="32" t="str">
        <f t="shared" si="6"/>
        <v/>
      </c>
      <c r="W13" s="34" t="str">
        <f>IFERROR(INDEX(PRENOTAZIONI!$E:$E,SMALL(PRENOTAZIONI!$AU:$AU,10)),"")</f>
        <v/>
      </c>
      <c r="X13" s="34" t="str">
        <f>IFERROR(INDEX(PRENOTAZIONI!$F:$F,SMALL(PRENOTAZIONI!$AU:$AU,10)),"")</f>
        <v/>
      </c>
      <c r="Y13" s="35" t="str">
        <f>IFERROR(INDEX(PRENOTAZIONI!$H:$H,SMALL(PRENOTAZIONI!$AU:$AU,10)),"")</f>
        <v/>
      </c>
      <c r="Z13" s="34" t="str">
        <f>IFERROR(INDEX(PRENOTAZIONI!$K:$K,SMALL(PRENOTAZIONI!$AU:$AU,10)),"")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SUMPRODUCT((MONTH(PRENOTAZIONI!$A$3:$A$262)=10)*(YEAR(PRENOTAZIONI!$A$3:$A$262)=2026)*(PRENOTAZIONI!$D$3:$D$262="Nel Cuore di Lanciano"))</f>
        <v>0</v>
      </c>
      <c r="AI13" s="114">
        <f>SUMPRODUCT((PRENOTAZIONI!$A$3:$A$262&lt;DATE(2026,11,1))*(PRENOTAZIONI!$B$3:$B$262&gt;DATE(2026,10,1))*(YEAR(PRENOTAZIONI!$A$3:$A$262)=2026)*(PRENOTAZIONI!$D$3:$D$262="Nel Cuore di Lanciano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IFERROR(INDEX(PRENOTAZIONI!$A:$A,SMALL(PRENOTAZIONI!$AT:$AT,11)),"")</f>
        <v/>
      </c>
      <c r="B14" s="31" t="str">
        <f>IFERROR(INDEX(PRENOTAZIONI!$B:$B,SMALL(PRENOTAZIONI!$AT:$AT,11)),"")</f>
        <v/>
      </c>
      <c r="C14" s="32" t="str">
        <f t="shared" si="0"/>
        <v/>
      </c>
      <c r="D14" s="34" t="str">
        <f>IFERROR(INDEX(PRENOTAZIONI!$E:$E,SMALL(PRENOTAZIONI!$AT:$AT,11)),"")</f>
        <v/>
      </c>
      <c r="E14" s="34" t="str">
        <f>IFERROR(INDEX(PRENOTAZIONI!$F:$F,SMALL(PRENOTAZIONI!$AT:$AT,11)),"")</f>
        <v/>
      </c>
      <c r="F14" s="34" t="str">
        <f>IFERROR(INDEX(PRENOTAZIONI!$G:$G,SMALL(PRENOTAZIONI!$AT:$AT,11)),"")</f>
        <v/>
      </c>
      <c r="G14" s="35" t="str">
        <f>IFERROR(INDEX(PRENOTAZIONI!$H:$H,SMALL(PRENOTAZIONI!$AT:$AT,11)),"")</f>
        <v/>
      </c>
      <c r="H14" s="146" t="str">
        <f t="shared" si="1"/>
        <v/>
      </c>
      <c r="I14" s="35" t="str">
        <f t="shared" si="2"/>
        <v/>
      </c>
      <c r="J14" s="149" t="str">
        <f t="shared" si="9"/>
        <v/>
      </c>
      <c r="K14" s="34" t="str">
        <f>IFERROR(INDEX(PRENOTAZIONI!$K:$K,SMALL(PRENOTAZIONI!$AT:$AT,11)),"")</f>
        <v/>
      </c>
      <c r="L14" s="35" t="str">
        <f>IFERROR(INDEX(PRENOTAZIONI!$L:$L,SMALL(PRENOTAZIONI!$AT:$AT,11)),"")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34" t="str">
        <f>IFERROR(INDEX(PRENOTAZIONI!$R:$R,SMALL(PRENOTAZIONI!$AT:$AT,11)),"")</f>
        <v/>
      </c>
      <c r="S14" s="31"/>
      <c r="T14" s="80" t="str">
        <f>IFERROR(INDEX(PRENOTAZIONI!$A:$A,SMALL(PRENOTAZIONI!$AU:$AU,11)),"")</f>
        <v/>
      </c>
      <c r="U14" s="31" t="str">
        <f>IFERROR(INDEX(PRENOTAZIONI!$B:$B,SMALL(PRENOTAZIONI!$AU:$AU,11)),"")</f>
        <v/>
      </c>
      <c r="V14" s="32" t="str">
        <f t="shared" si="6"/>
        <v/>
      </c>
      <c r="W14" s="34" t="str">
        <f>IFERROR(INDEX(PRENOTAZIONI!$E:$E,SMALL(PRENOTAZIONI!$AU:$AU,11)),"")</f>
        <v/>
      </c>
      <c r="X14" s="34" t="str">
        <f>IFERROR(INDEX(PRENOTAZIONI!$F:$F,SMALL(PRENOTAZIONI!$AU:$AU,11)),"")</f>
        <v/>
      </c>
      <c r="Y14" s="35" t="str">
        <f>IFERROR(INDEX(PRENOTAZIONI!$H:$H,SMALL(PRENOTAZIONI!$AU:$AU,11)),"")</f>
        <v/>
      </c>
      <c r="Z14" s="34" t="str">
        <f>IFERROR(INDEX(PRENOTAZIONI!$K:$K,SMALL(PRENOTAZIONI!$AU:$AU,11)),"")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SUMPRODUCT((MONTH(PRENOTAZIONI!$A$3:$A$262)=11)*(YEAR(PRENOTAZIONI!$A$3:$A$262)=2026)*(PRENOTAZIONI!$D$3:$D$262="Nel Cuore di Lanciano"))</f>
        <v>0</v>
      </c>
      <c r="AI14" s="114">
        <f>SUMPRODUCT((PRENOTAZIONI!$A$3:$A$262&lt;DATE(2026,12,1))*(PRENOTAZIONI!$B$3:$B$262&gt;DATE(2026,11,1))*(YEAR(PRENOTAZIONI!$A$3:$A$262)=2026)*(PRENOTAZIONI!$D$3:$D$262="Nel Cuore di Lanciano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IFERROR(INDEX(PRENOTAZIONI!$A:$A,SMALL(PRENOTAZIONI!$AT:$AT,12)),"")</f>
        <v/>
      </c>
      <c r="B15" s="31" t="str">
        <f>IFERROR(INDEX(PRENOTAZIONI!$B:$B,SMALL(PRENOTAZIONI!$AT:$AT,12)),"")</f>
        <v/>
      </c>
      <c r="C15" s="32" t="str">
        <f t="shared" si="0"/>
        <v/>
      </c>
      <c r="D15" s="34" t="str">
        <f>IFERROR(INDEX(PRENOTAZIONI!$E:$E,SMALL(PRENOTAZIONI!$AT:$AT,12)),"")</f>
        <v/>
      </c>
      <c r="E15" s="34" t="str">
        <f>IFERROR(INDEX(PRENOTAZIONI!$F:$F,SMALL(PRENOTAZIONI!$AT:$AT,12)),"")</f>
        <v/>
      </c>
      <c r="F15" s="34" t="str">
        <f>IFERROR(INDEX(PRENOTAZIONI!$G:$G,SMALL(PRENOTAZIONI!$AT:$AT,12)),"")</f>
        <v/>
      </c>
      <c r="G15" s="35" t="str">
        <f>IFERROR(INDEX(PRENOTAZIONI!$H:$H,SMALL(PRENOTAZIONI!$AT:$AT,12)),"")</f>
        <v/>
      </c>
      <c r="H15" s="146" t="str">
        <f t="shared" si="1"/>
        <v/>
      </c>
      <c r="I15" s="35" t="str">
        <f t="shared" si="2"/>
        <v/>
      </c>
      <c r="J15" s="149" t="str">
        <f t="shared" si="9"/>
        <v/>
      </c>
      <c r="K15" s="34" t="str">
        <f>IFERROR(INDEX(PRENOTAZIONI!$K:$K,SMALL(PRENOTAZIONI!$AT:$AT,12)),"")</f>
        <v/>
      </c>
      <c r="L15" s="35" t="str">
        <f>IFERROR(INDEX(PRENOTAZIONI!$L:$L,SMALL(PRENOTAZIONI!$AT:$AT,12)),"")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34" t="str">
        <f>IFERROR(INDEX(PRENOTAZIONI!$R:$R,SMALL(PRENOTAZIONI!$AT:$AT,12)),"")</f>
        <v/>
      </c>
      <c r="S15" s="31"/>
      <c r="T15" s="80" t="str">
        <f>IFERROR(INDEX(PRENOTAZIONI!$A:$A,SMALL(PRENOTAZIONI!$AU:$AU,12)),"")</f>
        <v/>
      </c>
      <c r="U15" s="31" t="str">
        <f>IFERROR(INDEX(PRENOTAZIONI!$B:$B,SMALL(PRENOTAZIONI!$AU:$AU,12)),"")</f>
        <v/>
      </c>
      <c r="V15" s="32" t="str">
        <f t="shared" si="6"/>
        <v/>
      </c>
      <c r="W15" s="34" t="str">
        <f>IFERROR(INDEX(PRENOTAZIONI!$E:$E,SMALL(PRENOTAZIONI!$AU:$AU,12)),"")</f>
        <v/>
      </c>
      <c r="X15" s="34" t="str">
        <f>IFERROR(INDEX(PRENOTAZIONI!$F:$F,SMALL(PRENOTAZIONI!$AU:$AU,12)),"")</f>
        <v/>
      </c>
      <c r="Y15" s="35" t="str">
        <f>IFERROR(INDEX(PRENOTAZIONI!$H:$H,SMALL(PRENOTAZIONI!$AU:$AU,12)),"")</f>
        <v/>
      </c>
      <c r="Z15" s="34" t="str">
        <f>IFERROR(INDEX(PRENOTAZIONI!$K:$K,SMALL(PRENOTAZIONI!$AU:$AU,12)),"")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SUMPRODUCT((MONTH(PRENOTAZIONI!$A$3:$A$262)=12)*(YEAR(PRENOTAZIONI!$A$3:$A$262)=2026)*(PRENOTAZIONI!$D$3:$D$262="Nel Cuore di Lanciano"))</f>
        <v>0</v>
      </c>
      <c r="AI15" s="114">
        <f>SUMPRODUCT((PRENOTAZIONI!$A$3:$A$262&lt;DATE(2027,1,1))*(PRENOTAZIONI!$B$3:$B$262&gt;DATE(2026,12,1))*(YEAR(PRENOTAZIONI!$A$3:$A$262)=2026)*(PRENOTAZIONI!$D$3:$D$262="Nel Cuore di Lanciano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IFERROR(INDEX(PRENOTAZIONI!$A:$A,SMALL(PRENOTAZIONI!$AT:$AT,13)),"")</f>
        <v/>
      </c>
      <c r="B16" s="31" t="str">
        <f>IFERROR(INDEX(PRENOTAZIONI!$B:$B,SMALL(PRENOTAZIONI!$AT:$AT,13)),"")</f>
        <v/>
      </c>
      <c r="C16" s="32" t="str">
        <f t="shared" si="0"/>
        <v/>
      </c>
      <c r="D16" s="34" t="str">
        <f>IFERROR(INDEX(PRENOTAZIONI!$E:$E,SMALL(PRENOTAZIONI!$AT:$AT,13)),"")</f>
        <v/>
      </c>
      <c r="E16" s="34" t="str">
        <f>IFERROR(INDEX(PRENOTAZIONI!$F:$F,SMALL(PRENOTAZIONI!$AT:$AT,13)),"")</f>
        <v/>
      </c>
      <c r="F16" s="34" t="str">
        <f>IFERROR(INDEX(PRENOTAZIONI!$G:$G,SMALL(PRENOTAZIONI!$AT:$AT,13)),"")</f>
        <v/>
      </c>
      <c r="G16" s="35" t="str">
        <f>IFERROR(INDEX(PRENOTAZIONI!$H:$H,SMALL(PRENOTAZIONI!$AT:$AT,13)),"")</f>
        <v/>
      </c>
      <c r="H16" s="146" t="str">
        <f t="shared" si="1"/>
        <v/>
      </c>
      <c r="I16" s="35" t="str">
        <f t="shared" si="2"/>
        <v/>
      </c>
      <c r="J16" s="149" t="str">
        <f t="shared" si="9"/>
        <v/>
      </c>
      <c r="K16" s="34" t="str">
        <f>IFERROR(INDEX(PRENOTAZIONI!$K:$K,SMALL(PRENOTAZIONI!$AT:$AT,13)),"")</f>
        <v/>
      </c>
      <c r="L16" s="35" t="str">
        <f>IFERROR(INDEX(PRENOTAZIONI!$L:$L,SMALL(PRENOTAZIONI!$AT:$AT,13)),"")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34" t="str">
        <f>IFERROR(INDEX(PRENOTAZIONI!$R:$R,SMALL(PRENOTAZIONI!$AT:$AT,13)),"")</f>
        <v/>
      </c>
      <c r="S16" s="31"/>
      <c r="T16" s="80" t="str">
        <f>IFERROR(INDEX(PRENOTAZIONI!$A:$A,SMALL(PRENOTAZIONI!$AU:$AU,13)),"")</f>
        <v/>
      </c>
      <c r="U16" s="31" t="str">
        <f>IFERROR(INDEX(PRENOTAZIONI!$B:$B,SMALL(PRENOTAZIONI!$AU:$AU,13)),"")</f>
        <v/>
      </c>
      <c r="V16" s="32" t="str">
        <f t="shared" si="6"/>
        <v/>
      </c>
      <c r="W16" s="34" t="str">
        <f>IFERROR(INDEX(PRENOTAZIONI!$E:$E,SMALL(PRENOTAZIONI!$AU:$AU,13)),"")</f>
        <v/>
      </c>
      <c r="X16" s="34" t="str">
        <f>IFERROR(INDEX(PRENOTAZIONI!$F:$F,SMALL(PRENOTAZIONI!$AU:$AU,13)),"")</f>
        <v/>
      </c>
      <c r="Y16" s="35" t="str">
        <f>IFERROR(INDEX(PRENOTAZIONI!$H:$H,SMALL(PRENOTAZIONI!$AU:$AU,13)),"")</f>
        <v/>
      </c>
      <c r="Z16" s="34" t="str">
        <f>IFERROR(INDEX(PRENOTAZIONI!$K:$K,SMALL(PRENOTAZIONI!$AU:$AU,13)),"")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5</v>
      </c>
      <c r="AI16" s="116">
        <f t="shared" si="10"/>
        <v>30</v>
      </c>
      <c r="AJ16" s="116">
        <f t="shared" si="10"/>
        <v>2705.4</v>
      </c>
      <c r="AK16" s="116">
        <f t="shared" si="10"/>
        <v>405.80999999999995</v>
      </c>
      <c r="AL16" s="116">
        <f t="shared" si="10"/>
        <v>8</v>
      </c>
      <c r="AM16" s="116">
        <f t="shared" si="10"/>
        <v>676.35</v>
      </c>
      <c r="AN16" s="116">
        <f t="shared" si="10"/>
        <v>568.13400000000001</v>
      </c>
      <c r="AO16" s="117">
        <f t="shared" si="10"/>
        <v>101.19120000000001</v>
      </c>
      <c r="AP16" s="117">
        <f t="shared" si="10"/>
        <v>805.91480000000001</v>
      </c>
    </row>
    <row r="17" spans="1:42" ht="22" customHeight="1" x14ac:dyDescent="0.2">
      <c r="A17" s="31" t="str">
        <f>IFERROR(INDEX(PRENOTAZIONI!$A:$A,SMALL(PRENOTAZIONI!$AT:$AT,14)),"")</f>
        <v/>
      </c>
      <c r="B17" s="31" t="str">
        <f>IFERROR(INDEX(PRENOTAZIONI!$B:$B,SMALL(PRENOTAZIONI!$AT:$AT,14)),"")</f>
        <v/>
      </c>
      <c r="C17" s="32" t="str">
        <f t="shared" si="0"/>
        <v/>
      </c>
      <c r="D17" s="34" t="str">
        <f>IFERROR(INDEX(PRENOTAZIONI!$E:$E,SMALL(PRENOTAZIONI!$AT:$AT,14)),"")</f>
        <v/>
      </c>
      <c r="E17" s="34" t="str">
        <f>IFERROR(INDEX(PRENOTAZIONI!$F:$F,SMALL(PRENOTAZIONI!$AT:$AT,14)),"")</f>
        <v/>
      </c>
      <c r="F17" s="34" t="str">
        <f>IFERROR(INDEX(PRENOTAZIONI!$G:$G,SMALL(PRENOTAZIONI!$AT:$AT,14)),"")</f>
        <v/>
      </c>
      <c r="G17" s="35" t="str">
        <f>IFERROR(INDEX(PRENOTAZIONI!$H:$H,SMALL(PRENOTAZIONI!$AT:$AT,14)),"")</f>
        <v/>
      </c>
      <c r="H17" s="146" t="str">
        <f t="shared" si="1"/>
        <v/>
      </c>
      <c r="I17" s="35" t="str">
        <f t="shared" si="2"/>
        <v/>
      </c>
      <c r="J17" s="149" t="str">
        <f t="shared" si="9"/>
        <v/>
      </c>
      <c r="K17" s="34" t="str">
        <f>IFERROR(INDEX(PRENOTAZIONI!$K:$K,SMALL(PRENOTAZIONI!$AT:$AT,14)),"")</f>
        <v/>
      </c>
      <c r="L17" s="35" t="str">
        <f>IFERROR(INDEX(PRENOTAZIONI!$L:$L,SMALL(PRENOTAZIONI!$AT:$AT,14)),"")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34" t="str">
        <f>IFERROR(INDEX(PRENOTAZIONI!$R:$R,SMALL(PRENOTAZIONI!$AT:$AT,14)),"")</f>
        <v/>
      </c>
      <c r="S17" s="31"/>
      <c r="T17" s="80" t="str">
        <f>IFERROR(INDEX(PRENOTAZIONI!$A:$A,SMALL(PRENOTAZIONI!$AU:$AU,14)),"")</f>
        <v/>
      </c>
      <c r="U17" s="31" t="str">
        <f>IFERROR(INDEX(PRENOTAZIONI!$B:$B,SMALL(PRENOTAZIONI!$AU:$AU,14)),"")</f>
        <v/>
      </c>
      <c r="V17" s="32" t="str">
        <f t="shared" si="6"/>
        <v/>
      </c>
      <c r="W17" s="34" t="str">
        <f>IFERROR(INDEX(PRENOTAZIONI!$E:$E,SMALL(PRENOTAZIONI!$AU:$AU,14)),"")</f>
        <v/>
      </c>
      <c r="X17" s="34" t="str">
        <f>IFERROR(INDEX(PRENOTAZIONI!$F:$F,SMALL(PRENOTAZIONI!$AU:$AU,14)),"")</f>
        <v/>
      </c>
      <c r="Y17" s="35" t="str">
        <f>IFERROR(INDEX(PRENOTAZIONI!$H:$H,SMALL(PRENOTAZIONI!$AU:$AU,14)),"")</f>
        <v/>
      </c>
      <c r="Z17" s="34" t="str">
        <f>IFERROR(INDEX(PRENOTAZIONI!$K:$K,SMALL(PRENOTAZIONI!$AU:$AU,14)),"")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IFERROR(INDEX(PRENOTAZIONI!$A:$A,SMALL(PRENOTAZIONI!$AT:$AT,15)),"")</f>
        <v/>
      </c>
      <c r="B18" s="31" t="str">
        <f>IFERROR(INDEX(PRENOTAZIONI!$B:$B,SMALL(PRENOTAZIONI!$AT:$AT,15)),"")</f>
        <v/>
      </c>
      <c r="C18" s="32" t="str">
        <f t="shared" si="0"/>
        <v/>
      </c>
      <c r="D18" s="34" t="str">
        <f>IFERROR(INDEX(PRENOTAZIONI!$E:$E,SMALL(PRENOTAZIONI!$AT:$AT,15)),"")</f>
        <v/>
      </c>
      <c r="E18" s="34" t="str">
        <f>IFERROR(INDEX(PRENOTAZIONI!$F:$F,SMALL(PRENOTAZIONI!$AT:$AT,15)),"")</f>
        <v/>
      </c>
      <c r="F18" s="34" t="str">
        <f>IFERROR(INDEX(PRENOTAZIONI!$G:$G,SMALL(PRENOTAZIONI!$AT:$AT,15)),"")</f>
        <v/>
      </c>
      <c r="G18" s="35" t="str">
        <f>IFERROR(INDEX(PRENOTAZIONI!$H:$H,SMALL(PRENOTAZIONI!$AT:$AT,15)),"")</f>
        <v/>
      </c>
      <c r="H18" s="146" t="str">
        <f t="shared" si="1"/>
        <v/>
      </c>
      <c r="I18" s="35" t="str">
        <f t="shared" si="2"/>
        <v/>
      </c>
      <c r="J18" s="149" t="str">
        <f t="shared" si="9"/>
        <v/>
      </c>
      <c r="K18" s="34" t="str">
        <f>IFERROR(INDEX(PRENOTAZIONI!$K:$K,SMALL(PRENOTAZIONI!$AT:$AT,15)),"")</f>
        <v/>
      </c>
      <c r="L18" s="35" t="str">
        <f>IFERROR(INDEX(PRENOTAZIONI!$L:$L,SMALL(PRENOTAZIONI!$AT:$AT,15)),"")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34" t="str">
        <f>IFERROR(INDEX(PRENOTAZIONI!$R:$R,SMALL(PRENOTAZIONI!$AT:$AT,15)),"")</f>
        <v/>
      </c>
      <c r="S18" s="31"/>
      <c r="T18" s="80" t="str">
        <f>IFERROR(INDEX(PRENOTAZIONI!$A:$A,SMALL(PRENOTAZIONI!$AU:$AU,15)),"")</f>
        <v/>
      </c>
      <c r="U18" s="31" t="str">
        <f>IFERROR(INDEX(PRENOTAZIONI!$B:$B,SMALL(PRENOTAZIONI!$AU:$AU,15)),"")</f>
        <v/>
      </c>
      <c r="V18" s="32" t="str">
        <f t="shared" si="6"/>
        <v/>
      </c>
      <c r="W18" s="34" t="str">
        <f>IFERROR(INDEX(PRENOTAZIONI!$E:$E,SMALL(PRENOTAZIONI!$AU:$AU,15)),"")</f>
        <v/>
      </c>
      <c r="X18" s="34" t="str">
        <f>IFERROR(INDEX(PRENOTAZIONI!$F:$F,SMALL(PRENOTAZIONI!$AU:$AU,15)),"")</f>
        <v/>
      </c>
      <c r="Y18" s="35" t="str">
        <f>IFERROR(INDEX(PRENOTAZIONI!$H:$H,SMALL(PRENOTAZIONI!$AU:$AU,15)),"")</f>
        <v/>
      </c>
      <c r="Z18" s="34" t="str">
        <f>IFERROR(INDEX(PRENOTAZIONI!$K:$K,SMALL(PRENOTAZIONI!$AU:$AU,15)),"")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IFERROR(INDEX(PRENOTAZIONI!$A:$A,SMALL(PRENOTAZIONI!$AT:$AT,16)),"")</f>
        <v/>
      </c>
      <c r="B19" s="31" t="str">
        <f>IFERROR(INDEX(PRENOTAZIONI!$B:$B,SMALL(PRENOTAZIONI!$AT:$AT,16)),"")</f>
        <v/>
      </c>
      <c r="C19" s="32" t="str">
        <f t="shared" si="0"/>
        <v/>
      </c>
      <c r="D19" s="34" t="str">
        <f>IFERROR(INDEX(PRENOTAZIONI!$E:$E,SMALL(PRENOTAZIONI!$AT:$AT,16)),"")</f>
        <v/>
      </c>
      <c r="E19" s="34" t="str">
        <f>IFERROR(INDEX(PRENOTAZIONI!$F:$F,SMALL(PRENOTAZIONI!$AT:$AT,16)),"")</f>
        <v/>
      </c>
      <c r="F19" s="34" t="str">
        <f>IFERROR(INDEX(PRENOTAZIONI!$G:$G,SMALL(PRENOTAZIONI!$AT:$AT,16)),"")</f>
        <v/>
      </c>
      <c r="G19" s="35" t="str">
        <f>IFERROR(INDEX(PRENOTAZIONI!$H:$H,SMALL(PRENOTAZIONI!$AT:$AT,16)),"")</f>
        <v/>
      </c>
      <c r="H19" s="146" t="str">
        <f t="shared" si="1"/>
        <v/>
      </c>
      <c r="I19" s="35" t="str">
        <f t="shared" si="2"/>
        <v/>
      </c>
      <c r="J19" s="149" t="str">
        <f t="shared" si="9"/>
        <v/>
      </c>
      <c r="K19" s="34" t="str">
        <f>IFERROR(INDEX(PRENOTAZIONI!$K:$K,SMALL(PRENOTAZIONI!$AT:$AT,16)),"")</f>
        <v/>
      </c>
      <c r="L19" s="35" t="str">
        <f>IFERROR(INDEX(PRENOTAZIONI!$L:$L,SMALL(PRENOTAZIONI!$AT:$AT,16)),"")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34" t="str">
        <f>IFERROR(INDEX(PRENOTAZIONI!$R:$R,SMALL(PRENOTAZIONI!$AT:$AT,16)),"")</f>
        <v/>
      </c>
      <c r="S19" s="31"/>
      <c r="T19" s="80" t="str">
        <f>IFERROR(INDEX(PRENOTAZIONI!$A:$A,SMALL(PRENOTAZIONI!$AU:$AU,16)),"")</f>
        <v/>
      </c>
      <c r="U19" s="31" t="str">
        <f>IFERROR(INDEX(PRENOTAZIONI!$B:$B,SMALL(PRENOTAZIONI!$AU:$AU,16)),"")</f>
        <v/>
      </c>
      <c r="V19" s="32" t="str">
        <f t="shared" si="6"/>
        <v/>
      </c>
      <c r="W19" s="34" t="str">
        <f>IFERROR(INDEX(PRENOTAZIONI!$E:$E,SMALL(PRENOTAZIONI!$AU:$AU,16)),"")</f>
        <v/>
      </c>
      <c r="X19" s="34" t="str">
        <f>IFERROR(INDEX(PRENOTAZIONI!$F:$F,SMALL(PRENOTAZIONI!$AU:$AU,16)),"")</f>
        <v/>
      </c>
      <c r="Y19" s="35" t="str">
        <f>IFERROR(INDEX(PRENOTAZIONI!$H:$H,SMALL(PRENOTAZIONI!$AU:$AU,16)),"")</f>
        <v/>
      </c>
      <c r="Z19" s="34" t="str">
        <f>IFERROR(INDEX(PRENOTAZIONI!$K:$K,SMALL(PRENOTAZIONI!$AU:$AU,16)),"")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IFERROR(INDEX(PRENOTAZIONI!$A:$A,SMALL(PRENOTAZIONI!$AT:$AT,17)),"")</f>
        <v/>
      </c>
      <c r="B20" s="31" t="str">
        <f>IFERROR(INDEX(PRENOTAZIONI!$B:$B,SMALL(PRENOTAZIONI!$AT:$AT,17)),"")</f>
        <v/>
      </c>
      <c r="C20" s="32" t="str">
        <f t="shared" si="0"/>
        <v/>
      </c>
      <c r="D20" s="34" t="str">
        <f>IFERROR(INDEX(PRENOTAZIONI!$E:$E,SMALL(PRENOTAZIONI!$AT:$AT,17)),"")</f>
        <v/>
      </c>
      <c r="E20" s="34" t="str">
        <f>IFERROR(INDEX(PRENOTAZIONI!$F:$F,SMALL(PRENOTAZIONI!$AT:$AT,17)),"")</f>
        <v/>
      </c>
      <c r="F20" s="34" t="str">
        <f>IFERROR(INDEX(PRENOTAZIONI!$G:$G,SMALL(PRENOTAZIONI!$AT:$AT,17)),"")</f>
        <v/>
      </c>
      <c r="G20" s="35" t="str">
        <f>IFERROR(INDEX(PRENOTAZIONI!$H:$H,SMALL(PRENOTAZIONI!$AT:$AT,17)),"")</f>
        <v/>
      </c>
      <c r="H20" s="146" t="str">
        <f t="shared" si="1"/>
        <v/>
      </c>
      <c r="I20" s="35" t="str">
        <f t="shared" si="2"/>
        <v/>
      </c>
      <c r="J20" s="149" t="str">
        <f t="shared" si="9"/>
        <v/>
      </c>
      <c r="K20" s="34" t="str">
        <f>IFERROR(INDEX(PRENOTAZIONI!$K:$K,SMALL(PRENOTAZIONI!$AT:$AT,17)),"")</f>
        <v/>
      </c>
      <c r="L20" s="35" t="str">
        <f>IFERROR(INDEX(PRENOTAZIONI!$L:$L,SMALL(PRENOTAZIONI!$AT:$AT,17)),"")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34" t="str">
        <f>IFERROR(INDEX(PRENOTAZIONI!$R:$R,SMALL(PRENOTAZIONI!$AT:$AT,17)),"")</f>
        <v/>
      </c>
      <c r="S20" s="31"/>
      <c r="T20" s="80" t="str">
        <f>IFERROR(INDEX(PRENOTAZIONI!$A:$A,SMALL(PRENOTAZIONI!$AU:$AU,17)),"")</f>
        <v/>
      </c>
      <c r="U20" s="31" t="str">
        <f>IFERROR(INDEX(PRENOTAZIONI!$B:$B,SMALL(PRENOTAZIONI!$AU:$AU,17)),"")</f>
        <v/>
      </c>
      <c r="V20" s="32" t="str">
        <f t="shared" si="6"/>
        <v/>
      </c>
      <c r="W20" s="34" t="str">
        <f>IFERROR(INDEX(PRENOTAZIONI!$E:$E,SMALL(PRENOTAZIONI!$AU:$AU,17)),"")</f>
        <v/>
      </c>
      <c r="X20" s="34" t="str">
        <f>IFERROR(INDEX(PRENOTAZIONI!$F:$F,SMALL(PRENOTAZIONI!$AU:$AU,17)),"")</f>
        <v/>
      </c>
      <c r="Y20" s="35" t="str">
        <f>IFERROR(INDEX(PRENOTAZIONI!$H:$H,SMALL(PRENOTAZIONI!$AU:$AU,17)),"")</f>
        <v/>
      </c>
      <c r="Z20" s="34" t="str">
        <f>IFERROR(INDEX(PRENOTAZIONI!$K:$K,SMALL(PRENOTAZIONI!$AU:$AU,17)),"")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IFERROR(INDEX(PRENOTAZIONI!$A:$A,SMALL(PRENOTAZIONI!$AT:$AT,18)),"")</f>
        <v/>
      </c>
      <c r="B21" s="31" t="str">
        <f>IFERROR(INDEX(PRENOTAZIONI!$B:$B,SMALL(PRENOTAZIONI!$AT:$AT,18)),"")</f>
        <v/>
      </c>
      <c r="C21" s="32" t="str">
        <f t="shared" si="0"/>
        <v/>
      </c>
      <c r="D21" s="34" t="str">
        <f>IFERROR(INDEX(PRENOTAZIONI!$E:$E,SMALL(PRENOTAZIONI!$AT:$AT,18)),"")</f>
        <v/>
      </c>
      <c r="E21" s="34" t="str">
        <f>IFERROR(INDEX(PRENOTAZIONI!$F:$F,SMALL(PRENOTAZIONI!$AT:$AT,18)),"")</f>
        <v/>
      </c>
      <c r="F21" s="34" t="str">
        <f>IFERROR(INDEX(PRENOTAZIONI!$G:$G,SMALL(PRENOTAZIONI!$AT:$AT,18)),"")</f>
        <v/>
      </c>
      <c r="G21" s="35" t="str">
        <f>IFERROR(INDEX(PRENOTAZIONI!$H:$H,SMALL(PRENOTAZIONI!$AT:$AT,18)),"")</f>
        <v/>
      </c>
      <c r="H21" s="146" t="str">
        <f t="shared" si="1"/>
        <v/>
      </c>
      <c r="I21" s="35" t="str">
        <f t="shared" si="2"/>
        <v/>
      </c>
      <c r="J21" s="149" t="str">
        <f t="shared" si="9"/>
        <v/>
      </c>
      <c r="K21" s="34" t="str">
        <f>IFERROR(INDEX(PRENOTAZIONI!$K:$K,SMALL(PRENOTAZIONI!$AT:$AT,18)),"")</f>
        <v/>
      </c>
      <c r="L21" s="35" t="str">
        <f>IFERROR(INDEX(PRENOTAZIONI!$L:$L,SMALL(PRENOTAZIONI!$AT:$AT,18)),"")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34" t="str">
        <f>IFERROR(INDEX(PRENOTAZIONI!$R:$R,SMALL(PRENOTAZIONI!$AT:$AT,18)),"")</f>
        <v/>
      </c>
      <c r="S21" s="31"/>
      <c r="T21" s="80" t="str">
        <f>IFERROR(INDEX(PRENOTAZIONI!$A:$A,SMALL(PRENOTAZIONI!$AU:$AU,18)),"")</f>
        <v/>
      </c>
      <c r="U21" s="31" t="str">
        <f>IFERROR(INDEX(PRENOTAZIONI!$B:$B,SMALL(PRENOTAZIONI!$AU:$AU,18)),"")</f>
        <v/>
      </c>
      <c r="V21" s="32" t="str">
        <f t="shared" si="6"/>
        <v/>
      </c>
      <c r="W21" s="34" t="str">
        <f>IFERROR(INDEX(PRENOTAZIONI!$E:$E,SMALL(PRENOTAZIONI!$AU:$AU,18)),"")</f>
        <v/>
      </c>
      <c r="X21" s="34" t="str">
        <f>IFERROR(INDEX(PRENOTAZIONI!$F:$F,SMALL(PRENOTAZIONI!$AU:$AU,18)),"")</f>
        <v/>
      </c>
      <c r="Y21" s="35" t="str">
        <f>IFERROR(INDEX(PRENOTAZIONI!$H:$H,SMALL(PRENOTAZIONI!$AU:$AU,18)),"")</f>
        <v/>
      </c>
      <c r="Z21" s="34" t="str">
        <f>IFERROR(INDEX(PRENOTAZIONI!$K:$K,SMALL(PRENOTAZIONI!$AU:$AU,18)),"")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IFERROR(INDEX(PRENOTAZIONI!$A:$A,SMALL(PRENOTAZIONI!$AT:$AT,19)),"")</f>
        <v/>
      </c>
      <c r="B22" s="31" t="str">
        <f>IFERROR(INDEX(PRENOTAZIONI!$B:$B,SMALL(PRENOTAZIONI!$AT:$AT,19)),"")</f>
        <v/>
      </c>
      <c r="C22" s="32" t="str">
        <f t="shared" si="0"/>
        <v/>
      </c>
      <c r="D22" s="34" t="str">
        <f>IFERROR(INDEX(PRENOTAZIONI!$E:$E,SMALL(PRENOTAZIONI!$AT:$AT,19)),"")</f>
        <v/>
      </c>
      <c r="E22" s="34" t="str">
        <f>IFERROR(INDEX(PRENOTAZIONI!$F:$F,SMALL(PRENOTAZIONI!$AT:$AT,19)),"")</f>
        <v/>
      </c>
      <c r="F22" s="34" t="str">
        <f>IFERROR(INDEX(PRENOTAZIONI!$G:$G,SMALL(PRENOTAZIONI!$AT:$AT,19)),"")</f>
        <v/>
      </c>
      <c r="G22" s="35" t="str">
        <f>IFERROR(INDEX(PRENOTAZIONI!$H:$H,SMALL(PRENOTAZIONI!$AT:$AT,19)),"")</f>
        <v/>
      </c>
      <c r="H22" s="146" t="str">
        <f t="shared" si="1"/>
        <v/>
      </c>
      <c r="I22" s="35" t="str">
        <f t="shared" si="2"/>
        <v/>
      </c>
      <c r="J22" s="149" t="str">
        <f t="shared" si="9"/>
        <v/>
      </c>
      <c r="K22" s="34" t="str">
        <f>IFERROR(INDEX(PRENOTAZIONI!$K:$K,SMALL(PRENOTAZIONI!$AT:$AT,19)),"")</f>
        <v/>
      </c>
      <c r="L22" s="35" t="str">
        <f>IFERROR(INDEX(PRENOTAZIONI!$L:$L,SMALL(PRENOTAZIONI!$AT:$AT,19)),"")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34" t="str">
        <f>IFERROR(INDEX(PRENOTAZIONI!$R:$R,SMALL(PRENOTAZIONI!$AT:$AT,19)),"")</f>
        <v/>
      </c>
      <c r="S22" s="31"/>
      <c r="T22" s="80" t="str">
        <f>IFERROR(INDEX(PRENOTAZIONI!$A:$A,SMALL(PRENOTAZIONI!$AU:$AU,19)),"")</f>
        <v/>
      </c>
      <c r="U22" s="31" t="str">
        <f>IFERROR(INDEX(PRENOTAZIONI!$B:$B,SMALL(PRENOTAZIONI!$AU:$AU,19)),"")</f>
        <v/>
      </c>
      <c r="V22" s="32" t="str">
        <f t="shared" si="6"/>
        <v/>
      </c>
      <c r="W22" s="34" t="str">
        <f>IFERROR(INDEX(PRENOTAZIONI!$E:$E,SMALL(PRENOTAZIONI!$AU:$AU,19)),"")</f>
        <v/>
      </c>
      <c r="X22" s="34" t="str">
        <f>IFERROR(INDEX(PRENOTAZIONI!$F:$F,SMALL(PRENOTAZIONI!$AU:$AU,19)),"")</f>
        <v/>
      </c>
      <c r="Y22" s="35" t="str">
        <f>IFERROR(INDEX(PRENOTAZIONI!$H:$H,SMALL(PRENOTAZIONI!$AU:$AU,19)),"")</f>
        <v/>
      </c>
      <c r="Z22" s="34" t="str">
        <f>IFERROR(INDEX(PRENOTAZIONI!$K:$K,SMALL(PRENOTAZIONI!$AU:$AU,19)),"")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IFERROR(INDEX(PRENOTAZIONI!$A:$A,SMALL(PRENOTAZIONI!$AT:$AT,20)),"")</f>
        <v/>
      </c>
      <c r="B23" s="31" t="str">
        <f>IFERROR(INDEX(PRENOTAZIONI!$B:$B,SMALL(PRENOTAZIONI!$AT:$AT,20)),"")</f>
        <v/>
      </c>
      <c r="C23" s="32" t="str">
        <f t="shared" si="0"/>
        <v/>
      </c>
      <c r="D23" s="34" t="str">
        <f>IFERROR(INDEX(PRENOTAZIONI!$E:$E,SMALL(PRENOTAZIONI!$AT:$AT,20)),"")</f>
        <v/>
      </c>
      <c r="E23" s="34" t="str">
        <f>IFERROR(INDEX(PRENOTAZIONI!$F:$F,SMALL(PRENOTAZIONI!$AT:$AT,20)),"")</f>
        <v/>
      </c>
      <c r="F23" s="34" t="str">
        <f>IFERROR(INDEX(PRENOTAZIONI!$G:$G,SMALL(PRENOTAZIONI!$AT:$AT,20)),"")</f>
        <v/>
      </c>
      <c r="G23" s="35" t="str">
        <f>IFERROR(INDEX(PRENOTAZIONI!$H:$H,SMALL(PRENOTAZIONI!$AT:$AT,20)),"")</f>
        <v/>
      </c>
      <c r="H23" s="146" t="str">
        <f t="shared" si="1"/>
        <v/>
      </c>
      <c r="I23" s="35" t="str">
        <f t="shared" si="2"/>
        <v/>
      </c>
      <c r="J23" s="149" t="str">
        <f t="shared" si="9"/>
        <v/>
      </c>
      <c r="K23" s="34" t="str">
        <f>IFERROR(INDEX(PRENOTAZIONI!$K:$K,SMALL(PRENOTAZIONI!$AT:$AT,20)),"")</f>
        <v/>
      </c>
      <c r="L23" s="35" t="str">
        <f>IFERROR(INDEX(PRENOTAZIONI!$L:$L,SMALL(PRENOTAZIONI!$AT:$AT,20)),"")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34" t="str">
        <f>IFERROR(INDEX(PRENOTAZIONI!$R:$R,SMALL(PRENOTAZIONI!$AT:$AT,20)),"")</f>
        <v/>
      </c>
      <c r="S23" s="31"/>
      <c r="T23" s="80" t="str">
        <f>IFERROR(INDEX(PRENOTAZIONI!$A:$A,SMALL(PRENOTAZIONI!$AU:$AU,20)),"")</f>
        <v/>
      </c>
      <c r="U23" s="31" t="str">
        <f>IFERROR(INDEX(PRENOTAZIONI!$B:$B,SMALL(PRENOTAZIONI!$AU:$AU,20)),"")</f>
        <v/>
      </c>
      <c r="V23" s="32" t="str">
        <f t="shared" si="6"/>
        <v/>
      </c>
      <c r="W23" s="34" t="str">
        <f>IFERROR(INDEX(PRENOTAZIONI!$E:$E,SMALL(PRENOTAZIONI!$AU:$AU,20)),"")</f>
        <v/>
      </c>
      <c r="X23" s="34" t="str">
        <f>IFERROR(INDEX(PRENOTAZIONI!$F:$F,SMALL(PRENOTAZIONI!$AU:$AU,20)),"")</f>
        <v/>
      </c>
      <c r="Y23" s="35" t="str">
        <f>IFERROR(INDEX(PRENOTAZIONI!$H:$H,SMALL(PRENOTAZIONI!$AU:$AU,20)),"")</f>
        <v/>
      </c>
      <c r="Z23" s="34" t="str">
        <f>IFERROR(INDEX(PRENOTAZIONI!$K:$K,SMALL(PRENOTAZIONI!$AU:$AU,20)),"")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IFERROR(INDEX(PRENOTAZIONI!$A:$A,SMALL(PRENOTAZIONI!$AT:$AT,21)),"")</f>
        <v/>
      </c>
      <c r="B24" s="31" t="str">
        <f>IFERROR(INDEX(PRENOTAZIONI!$B:$B,SMALL(PRENOTAZIONI!$AT:$AT,21)),"")</f>
        <v/>
      </c>
      <c r="C24" s="32" t="str">
        <f t="shared" si="0"/>
        <v/>
      </c>
      <c r="D24" s="34" t="str">
        <f>IFERROR(INDEX(PRENOTAZIONI!$E:$E,SMALL(PRENOTAZIONI!$AT:$AT,21)),"")</f>
        <v/>
      </c>
      <c r="E24" s="34" t="str">
        <f>IFERROR(INDEX(PRENOTAZIONI!$F:$F,SMALL(PRENOTAZIONI!$AT:$AT,21)),"")</f>
        <v/>
      </c>
      <c r="F24" s="34" t="str">
        <f>IFERROR(INDEX(PRENOTAZIONI!$G:$G,SMALL(PRENOTAZIONI!$AT:$AT,21)),"")</f>
        <v/>
      </c>
      <c r="G24" s="35" t="str">
        <f>IFERROR(INDEX(PRENOTAZIONI!$H:$H,SMALL(PRENOTAZIONI!$AT:$AT,21)),"")</f>
        <v/>
      </c>
      <c r="H24" s="146" t="str">
        <f t="shared" si="1"/>
        <v/>
      </c>
      <c r="I24" s="35" t="str">
        <f t="shared" si="2"/>
        <v/>
      </c>
      <c r="J24" s="149" t="str">
        <f t="shared" si="9"/>
        <v/>
      </c>
      <c r="K24" s="34" t="str">
        <f>IFERROR(INDEX(PRENOTAZIONI!$K:$K,SMALL(PRENOTAZIONI!$AT:$AT,21)),"")</f>
        <v/>
      </c>
      <c r="L24" s="35" t="str">
        <f>IFERROR(INDEX(PRENOTAZIONI!$L:$L,SMALL(PRENOTAZIONI!$AT:$AT,21)),"")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34" t="str">
        <f>IFERROR(INDEX(PRENOTAZIONI!$R:$R,SMALL(PRENOTAZIONI!$AT:$AT,21)),"")</f>
        <v/>
      </c>
      <c r="S24" s="31"/>
      <c r="T24" s="80" t="str">
        <f>IFERROR(INDEX(PRENOTAZIONI!$A:$A,SMALL(PRENOTAZIONI!$AU:$AU,21)),"")</f>
        <v/>
      </c>
      <c r="U24" s="31" t="str">
        <f>IFERROR(INDEX(PRENOTAZIONI!$B:$B,SMALL(PRENOTAZIONI!$AU:$AU,21)),"")</f>
        <v/>
      </c>
      <c r="V24" s="32" t="str">
        <f t="shared" si="6"/>
        <v/>
      </c>
      <c r="W24" s="34" t="str">
        <f>IFERROR(INDEX(PRENOTAZIONI!$E:$E,SMALL(PRENOTAZIONI!$AU:$AU,21)),"")</f>
        <v/>
      </c>
      <c r="X24" s="34" t="str">
        <f>IFERROR(INDEX(PRENOTAZIONI!$F:$F,SMALL(PRENOTAZIONI!$AU:$AU,21)),"")</f>
        <v/>
      </c>
      <c r="Y24" s="35" t="str">
        <f>IFERROR(INDEX(PRENOTAZIONI!$H:$H,SMALL(PRENOTAZIONI!$AU:$AU,21)),"")</f>
        <v/>
      </c>
      <c r="Z24" s="34" t="str">
        <f>IFERROR(INDEX(PRENOTAZIONI!$K:$K,SMALL(PRENOTAZIONI!$AU:$AU,21)),"")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IFERROR(INDEX(PRENOTAZIONI!$A:$A,SMALL(PRENOTAZIONI!$AT:$AT,22)),"")</f>
        <v/>
      </c>
      <c r="B25" s="31" t="str">
        <f>IFERROR(INDEX(PRENOTAZIONI!$B:$B,SMALL(PRENOTAZIONI!$AT:$AT,22)),"")</f>
        <v/>
      </c>
      <c r="C25" s="32" t="str">
        <f t="shared" si="0"/>
        <v/>
      </c>
      <c r="D25" s="34" t="str">
        <f>IFERROR(INDEX(PRENOTAZIONI!$E:$E,SMALL(PRENOTAZIONI!$AT:$AT,22)),"")</f>
        <v/>
      </c>
      <c r="E25" s="34" t="str">
        <f>IFERROR(INDEX(PRENOTAZIONI!$F:$F,SMALL(PRENOTAZIONI!$AT:$AT,22)),"")</f>
        <v/>
      </c>
      <c r="F25" s="34" t="str">
        <f>IFERROR(INDEX(PRENOTAZIONI!$G:$G,SMALL(PRENOTAZIONI!$AT:$AT,22)),"")</f>
        <v/>
      </c>
      <c r="G25" s="35" t="str">
        <f>IFERROR(INDEX(PRENOTAZIONI!$H:$H,SMALL(PRENOTAZIONI!$AT:$AT,22)),"")</f>
        <v/>
      </c>
      <c r="H25" s="146" t="str">
        <f t="shared" si="1"/>
        <v/>
      </c>
      <c r="I25" s="35" t="str">
        <f t="shared" si="2"/>
        <v/>
      </c>
      <c r="J25" s="149" t="str">
        <f t="shared" si="9"/>
        <v/>
      </c>
      <c r="K25" s="34" t="str">
        <f>IFERROR(INDEX(PRENOTAZIONI!$K:$K,SMALL(PRENOTAZIONI!$AT:$AT,22)),"")</f>
        <v/>
      </c>
      <c r="L25" s="35" t="str">
        <f>IFERROR(INDEX(PRENOTAZIONI!$L:$L,SMALL(PRENOTAZIONI!$AT:$AT,22)),"")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34" t="str">
        <f>IFERROR(INDEX(PRENOTAZIONI!$R:$R,SMALL(PRENOTAZIONI!$AT:$AT,22)),"")</f>
        <v/>
      </c>
      <c r="S25" s="31"/>
      <c r="T25" s="80" t="str">
        <f>IFERROR(INDEX(PRENOTAZIONI!$A:$A,SMALL(PRENOTAZIONI!$AU:$AU,22)),"")</f>
        <v/>
      </c>
      <c r="U25" s="31" t="str">
        <f>IFERROR(INDEX(PRENOTAZIONI!$B:$B,SMALL(PRENOTAZIONI!$AU:$AU,22)),"")</f>
        <v/>
      </c>
      <c r="V25" s="32" t="str">
        <f t="shared" si="6"/>
        <v/>
      </c>
      <c r="W25" s="34" t="str">
        <f>IFERROR(INDEX(PRENOTAZIONI!$E:$E,SMALL(PRENOTAZIONI!$AU:$AU,22)),"")</f>
        <v/>
      </c>
      <c r="X25" s="34" t="str">
        <f>IFERROR(INDEX(PRENOTAZIONI!$F:$F,SMALL(PRENOTAZIONI!$AU:$AU,22)),"")</f>
        <v/>
      </c>
      <c r="Y25" s="35" t="str">
        <f>IFERROR(INDEX(PRENOTAZIONI!$H:$H,SMALL(PRENOTAZIONI!$AU:$AU,22)),"")</f>
        <v/>
      </c>
      <c r="Z25" s="34" t="str">
        <f>IFERROR(INDEX(PRENOTAZIONI!$K:$K,SMALL(PRENOTAZIONI!$AU:$AU,22)),"")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IFERROR(INDEX(PRENOTAZIONI!$A:$A,SMALL(PRENOTAZIONI!$AT:$AT,23)),"")</f>
        <v/>
      </c>
      <c r="B26" s="31" t="str">
        <f>IFERROR(INDEX(PRENOTAZIONI!$B:$B,SMALL(PRENOTAZIONI!$AT:$AT,23)),"")</f>
        <v/>
      </c>
      <c r="C26" s="32" t="str">
        <f t="shared" si="0"/>
        <v/>
      </c>
      <c r="D26" s="34" t="str">
        <f>IFERROR(INDEX(PRENOTAZIONI!$E:$E,SMALL(PRENOTAZIONI!$AT:$AT,23)),"")</f>
        <v/>
      </c>
      <c r="E26" s="34" t="str">
        <f>IFERROR(INDEX(PRENOTAZIONI!$F:$F,SMALL(PRENOTAZIONI!$AT:$AT,23)),"")</f>
        <v/>
      </c>
      <c r="F26" s="34" t="str">
        <f>IFERROR(INDEX(PRENOTAZIONI!$G:$G,SMALL(PRENOTAZIONI!$AT:$AT,23)),"")</f>
        <v/>
      </c>
      <c r="G26" s="35" t="str">
        <f>IFERROR(INDEX(PRENOTAZIONI!$H:$H,SMALL(PRENOTAZIONI!$AT:$AT,23)),"")</f>
        <v/>
      </c>
      <c r="H26" s="146" t="str">
        <f t="shared" si="1"/>
        <v/>
      </c>
      <c r="I26" s="35" t="str">
        <f t="shared" si="2"/>
        <v/>
      </c>
      <c r="J26" s="149" t="str">
        <f t="shared" si="9"/>
        <v/>
      </c>
      <c r="K26" s="34" t="str">
        <f>IFERROR(INDEX(PRENOTAZIONI!$K:$K,SMALL(PRENOTAZIONI!$AT:$AT,23)),"")</f>
        <v/>
      </c>
      <c r="L26" s="35" t="str">
        <f>IFERROR(INDEX(PRENOTAZIONI!$L:$L,SMALL(PRENOTAZIONI!$AT:$AT,23)),"")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34" t="str">
        <f>IFERROR(INDEX(PRENOTAZIONI!$R:$R,SMALL(PRENOTAZIONI!$AT:$AT,23)),"")</f>
        <v/>
      </c>
      <c r="S26" s="31"/>
      <c r="T26" s="80" t="str">
        <f>IFERROR(INDEX(PRENOTAZIONI!$A:$A,SMALL(PRENOTAZIONI!$AU:$AU,23)),"")</f>
        <v/>
      </c>
      <c r="U26" s="31" t="str">
        <f>IFERROR(INDEX(PRENOTAZIONI!$B:$B,SMALL(PRENOTAZIONI!$AU:$AU,23)),"")</f>
        <v/>
      </c>
      <c r="V26" s="32" t="str">
        <f t="shared" si="6"/>
        <v/>
      </c>
      <c r="W26" s="34" t="str">
        <f>IFERROR(INDEX(PRENOTAZIONI!$E:$E,SMALL(PRENOTAZIONI!$AU:$AU,23)),"")</f>
        <v/>
      </c>
      <c r="X26" s="34" t="str">
        <f>IFERROR(INDEX(PRENOTAZIONI!$F:$F,SMALL(PRENOTAZIONI!$AU:$AU,23)),"")</f>
        <v/>
      </c>
      <c r="Y26" s="35" t="str">
        <f>IFERROR(INDEX(PRENOTAZIONI!$H:$H,SMALL(PRENOTAZIONI!$AU:$AU,23)),"")</f>
        <v/>
      </c>
      <c r="Z26" s="34" t="str">
        <f>IFERROR(INDEX(PRENOTAZIONI!$K:$K,SMALL(PRENOTAZIONI!$AU:$AU,23)),"")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IFERROR(INDEX(PRENOTAZIONI!$A:$A,SMALL(PRENOTAZIONI!$AT:$AT,24)),"")</f>
        <v/>
      </c>
      <c r="B27" s="31" t="str">
        <f>IFERROR(INDEX(PRENOTAZIONI!$B:$B,SMALL(PRENOTAZIONI!$AT:$AT,24)),"")</f>
        <v/>
      </c>
      <c r="C27" s="32" t="str">
        <f t="shared" si="0"/>
        <v/>
      </c>
      <c r="D27" s="34" t="str">
        <f>IFERROR(INDEX(PRENOTAZIONI!$E:$E,SMALL(PRENOTAZIONI!$AT:$AT,24)),"")</f>
        <v/>
      </c>
      <c r="E27" s="34" t="str">
        <f>IFERROR(INDEX(PRENOTAZIONI!$F:$F,SMALL(PRENOTAZIONI!$AT:$AT,24)),"")</f>
        <v/>
      </c>
      <c r="F27" s="34" t="str">
        <f>IFERROR(INDEX(PRENOTAZIONI!$G:$G,SMALL(PRENOTAZIONI!$AT:$AT,24)),"")</f>
        <v/>
      </c>
      <c r="G27" s="35" t="str">
        <f>IFERROR(INDEX(PRENOTAZIONI!$H:$H,SMALL(PRENOTAZIONI!$AT:$AT,24)),"")</f>
        <v/>
      </c>
      <c r="H27" s="146" t="str">
        <f t="shared" si="1"/>
        <v/>
      </c>
      <c r="I27" s="35" t="str">
        <f t="shared" si="2"/>
        <v/>
      </c>
      <c r="J27" s="149" t="str">
        <f t="shared" si="9"/>
        <v/>
      </c>
      <c r="K27" s="34" t="str">
        <f>IFERROR(INDEX(PRENOTAZIONI!$K:$K,SMALL(PRENOTAZIONI!$AT:$AT,24)),"")</f>
        <v/>
      </c>
      <c r="L27" s="35" t="str">
        <f>IFERROR(INDEX(PRENOTAZIONI!$L:$L,SMALL(PRENOTAZIONI!$AT:$AT,24)),"")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34" t="str">
        <f>IFERROR(INDEX(PRENOTAZIONI!$R:$R,SMALL(PRENOTAZIONI!$AT:$AT,24)),"")</f>
        <v/>
      </c>
      <c r="S27" s="31"/>
      <c r="T27" s="80" t="str">
        <f>IFERROR(INDEX(PRENOTAZIONI!$A:$A,SMALL(PRENOTAZIONI!$AU:$AU,24)),"")</f>
        <v/>
      </c>
      <c r="U27" s="31" t="str">
        <f>IFERROR(INDEX(PRENOTAZIONI!$B:$B,SMALL(PRENOTAZIONI!$AU:$AU,24)),"")</f>
        <v/>
      </c>
      <c r="V27" s="32" t="str">
        <f t="shared" si="6"/>
        <v/>
      </c>
      <c r="W27" s="34" t="str">
        <f>IFERROR(INDEX(PRENOTAZIONI!$E:$E,SMALL(PRENOTAZIONI!$AU:$AU,24)),"")</f>
        <v/>
      </c>
      <c r="X27" s="34" t="str">
        <f>IFERROR(INDEX(PRENOTAZIONI!$F:$F,SMALL(PRENOTAZIONI!$AU:$AU,24)),"")</f>
        <v/>
      </c>
      <c r="Y27" s="35" t="str">
        <f>IFERROR(INDEX(PRENOTAZIONI!$H:$H,SMALL(PRENOTAZIONI!$AU:$AU,24)),"")</f>
        <v/>
      </c>
      <c r="Z27" s="34" t="str">
        <f>IFERROR(INDEX(PRENOTAZIONI!$K:$K,SMALL(PRENOTAZIONI!$AU:$AU,24)),"")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IFERROR(INDEX(PRENOTAZIONI!$A:$A,SMALL(PRENOTAZIONI!$AT:$AT,25)),"")</f>
        <v/>
      </c>
      <c r="B28" s="31" t="str">
        <f>IFERROR(INDEX(PRENOTAZIONI!$B:$B,SMALL(PRENOTAZIONI!$AT:$AT,25)),"")</f>
        <v/>
      </c>
      <c r="C28" s="32" t="str">
        <f t="shared" si="0"/>
        <v/>
      </c>
      <c r="D28" s="34" t="str">
        <f>IFERROR(INDEX(PRENOTAZIONI!$E:$E,SMALL(PRENOTAZIONI!$AT:$AT,25)),"")</f>
        <v/>
      </c>
      <c r="E28" s="34" t="str">
        <f>IFERROR(INDEX(PRENOTAZIONI!$F:$F,SMALL(PRENOTAZIONI!$AT:$AT,25)),"")</f>
        <v/>
      </c>
      <c r="F28" s="34" t="str">
        <f>IFERROR(INDEX(PRENOTAZIONI!$G:$G,SMALL(PRENOTAZIONI!$AT:$AT,25)),"")</f>
        <v/>
      </c>
      <c r="G28" s="35" t="str">
        <f>IFERROR(INDEX(PRENOTAZIONI!$H:$H,SMALL(PRENOTAZIONI!$AT:$AT,25)),"")</f>
        <v/>
      </c>
      <c r="H28" s="146" t="str">
        <f t="shared" si="1"/>
        <v/>
      </c>
      <c r="I28" s="35" t="str">
        <f t="shared" si="2"/>
        <v/>
      </c>
      <c r="J28" s="149" t="str">
        <f t="shared" si="9"/>
        <v/>
      </c>
      <c r="K28" s="34" t="str">
        <f>IFERROR(INDEX(PRENOTAZIONI!$K:$K,SMALL(PRENOTAZIONI!$AT:$AT,25)),"")</f>
        <v/>
      </c>
      <c r="L28" s="35" t="str">
        <f>IFERROR(INDEX(PRENOTAZIONI!$L:$L,SMALL(PRENOTAZIONI!$AT:$AT,25)),"")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34" t="str">
        <f>IFERROR(INDEX(PRENOTAZIONI!$R:$R,SMALL(PRENOTAZIONI!$AT:$AT,25)),"")</f>
        <v/>
      </c>
      <c r="S28" s="31"/>
      <c r="T28" s="80" t="str">
        <f>IFERROR(INDEX(PRENOTAZIONI!$A:$A,SMALL(PRENOTAZIONI!$AU:$AU,25)),"")</f>
        <v/>
      </c>
      <c r="U28" s="31" t="str">
        <f>IFERROR(INDEX(PRENOTAZIONI!$B:$B,SMALL(PRENOTAZIONI!$AU:$AU,25)),"")</f>
        <v/>
      </c>
      <c r="V28" s="32" t="str">
        <f t="shared" si="6"/>
        <v/>
      </c>
      <c r="W28" s="34" t="str">
        <f>IFERROR(INDEX(PRENOTAZIONI!$E:$E,SMALL(PRENOTAZIONI!$AU:$AU,25)),"")</f>
        <v/>
      </c>
      <c r="X28" s="34" t="str">
        <f>IFERROR(INDEX(PRENOTAZIONI!$F:$F,SMALL(PRENOTAZIONI!$AU:$AU,25)),"")</f>
        <v/>
      </c>
      <c r="Y28" s="35" t="str">
        <f>IFERROR(INDEX(PRENOTAZIONI!$H:$H,SMALL(PRENOTAZIONI!$AU:$AU,25)),"")</f>
        <v/>
      </c>
      <c r="Z28" s="34" t="str">
        <f>IFERROR(INDEX(PRENOTAZIONI!$K:$K,SMALL(PRENOTAZIONI!$AU:$AU,25)),"")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IFERROR(INDEX(PRENOTAZIONI!$A:$A,SMALL(PRENOTAZIONI!$AT:$AT,26)),"")</f>
        <v/>
      </c>
      <c r="B29" s="31" t="str">
        <f>IFERROR(INDEX(PRENOTAZIONI!$B:$B,SMALL(PRENOTAZIONI!$AT:$AT,26)),"")</f>
        <v/>
      </c>
      <c r="C29" s="32" t="str">
        <f t="shared" si="0"/>
        <v/>
      </c>
      <c r="D29" s="34" t="str">
        <f>IFERROR(INDEX(PRENOTAZIONI!$E:$E,SMALL(PRENOTAZIONI!$AT:$AT,26)),"")</f>
        <v/>
      </c>
      <c r="E29" s="34" t="str">
        <f>IFERROR(INDEX(PRENOTAZIONI!$F:$F,SMALL(PRENOTAZIONI!$AT:$AT,26)),"")</f>
        <v/>
      </c>
      <c r="F29" s="34" t="str">
        <f>IFERROR(INDEX(PRENOTAZIONI!$G:$G,SMALL(PRENOTAZIONI!$AT:$AT,26)),"")</f>
        <v/>
      </c>
      <c r="G29" s="35" t="str">
        <f>IFERROR(INDEX(PRENOTAZIONI!$H:$H,SMALL(PRENOTAZIONI!$AT:$AT,26)),"")</f>
        <v/>
      </c>
      <c r="H29" s="146" t="str">
        <f t="shared" si="1"/>
        <v/>
      </c>
      <c r="I29" s="35" t="str">
        <f t="shared" si="2"/>
        <v/>
      </c>
      <c r="J29" s="149" t="str">
        <f t="shared" si="9"/>
        <v/>
      </c>
      <c r="K29" s="34" t="str">
        <f>IFERROR(INDEX(PRENOTAZIONI!$K:$K,SMALL(PRENOTAZIONI!$AT:$AT,26)),"")</f>
        <v/>
      </c>
      <c r="L29" s="35" t="str">
        <f>IFERROR(INDEX(PRENOTAZIONI!$L:$L,SMALL(PRENOTAZIONI!$AT:$AT,26)),"")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34" t="str">
        <f>IFERROR(INDEX(PRENOTAZIONI!$R:$R,SMALL(PRENOTAZIONI!$AT:$AT,26)),"")</f>
        <v/>
      </c>
      <c r="S29" s="31"/>
      <c r="T29" s="80" t="str">
        <f>IFERROR(INDEX(PRENOTAZIONI!$A:$A,SMALL(PRENOTAZIONI!$AU:$AU,26)),"")</f>
        <v/>
      </c>
      <c r="U29" s="31" t="str">
        <f>IFERROR(INDEX(PRENOTAZIONI!$B:$B,SMALL(PRENOTAZIONI!$AU:$AU,26)),"")</f>
        <v/>
      </c>
      <c r="V29" s="32" t="str">
        <f t="shared" si="6"/>
        <v/>
      </c>
      <c r="W29" s="34" t="str">
        <f>IFERROR(INDEX(PRENOTAZIONI!$E:$E,SMALL(PRENOTAZIONI!$AU:$AU,26)),"")</f>
        <v/>
      </c>
      <c r="X29" s="34" t="str">
        <f>IFERROR(INDEX(PRENOTAZIONI!$F:$F,SMALL(PRENOTAZIONI!$AU:$AU,26)),"")</f>
        <v/>
      </c>
      <c r="Y29" s="35" t="str">
        <f>IFERROR(INDEX(PRENOTAZIONI!$H:$H,SMALL(PRENOTAZIONI!$AU:$AU,26)),"")</f>
        <v/>
      </c>
      <c r="Z29" s="34" t="str">
        <f>IFERROR(INDEX(PRENOTAZIONI!$K:$K,SMALL(PRENOTAZIONI!$AU:$AU,26)),"")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IFERROR(INDEX(PRENOTAZIONI!$A:$A,SMALL(PRENOTAZIONI!$AT:$AT,27)),"")</f>
        <v/>
      </c>
      <c r="B30" s="31" t="str">
        <f>IFERROR(INDEX(PRENOTAZIONI!$B:$B,SMALL(PRENOTAZIONI!$AT:$AT,27)),"")</f>
        <v/>
      </c>
      <c r="C30" s="32" t="str">
        <f t="shared" si="0"/>
        <v/>
      </c>
      <c r="D30" s="34" t="str">
        <f>IFERROR(INDEX(PRENOTAZIONI!$E:$E,SMALL(PRENOTAZIONI!$AT:$AT,27)),"")</f>
        <v/>
      </c>
      <c r="E30" s="34" t="str">
        <f>IFERROR(INDEX(PRENOTAZIONI!$F:$F,SMALL(PRENOTAZIONI!$AT:$AT,27)),"")</f>
        <v/>
      </c>
      <c r="F30" s="34" t="str">
        <f>IFERROR(INDEX(PRENOTAZIONI!$G:$G,SMALL(PRENOTAZIONI!$AT:$AT,27)),"")</f>
        <v/>
      </c>
      <c r="G30" s="35" t="str">
        <f>IFERROR(INDEX(PRENOTAZIONI!$H:$H,SMALL(PRENOTAZIONI!$AT:$AT,27)),"")</f>
        <v/>
      </c>
      <c r="H30" s="146" t="str">
        <f t="shared" si="1"/>
        <v/>
      </c>
      <c r="I30" s="35" t="str">
        <f t="shared" si="2"/>
        <v/>
      </c>
      <c r="J30" s="149" t="str">
        <f t="shared" si="9"/>
        <v/>
      </c>
      <c r="K30" s="34" t="str">
        <f>IFERROR(INDEX(PRENOTAZIONI!$K:$K,SMALL(PRENOTAZIONI!$AT:$AT,27)),"")</f>
        <v/>
      </c>
      <c r="L30" s="35" t="str">
        <f>IFERROR(INDEX(PRENOTAZIONI!$L:$L,SMALL(PRENOTAZIONI!$AT:$AT,27)),"")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34" t="str">
        <f>IFERROR(INDEX(PRENOTAZIONI!$R:$R,SMALL(PRENOTAZIONI!$AT:$AT,27)),"")</f>
        <v/>
      </c>
      <c r="S30" s="31"/>
      <c r="T30" s="80" t="str">
        <f>IFERROR(INDEX(PRENOTAZIONI!$A:$A,SMALL(PRENOTAZIONI!$AU:$AU,27)),"")</f>
        <v/>
      </c>
      <c r="U30" s="31" t="str">
        <f>IFERROR(INDEX(PRENOTAZIONI!$B:$B,SMALL(PRENOTAZIONI!$AU:$AU,27)),"")</f>
        <v/>
      </c>
      <c r="V30" s="32" t="str">
        <f t="shared" si="6"/>
        <v/>
      </c>
      <c r="W30" s="34" t="str">
        <f>IFERROR(INDEX(PRENOTAZIONI!$E:$E,SMALL(PRENOTAZIONI!$AU:$AU,27)),"")</f>
        <v/>
      </c>
      <c r="X30" s="34" t="str">
        <f>IFERROR(INDEX(PRENOTAZIONI!$F:$F,SMALL(PRENOTAZIONI!$AU:$AU,27)),"")</f>
        <v/>
      </c>
      <c r="Y30" s="35" t="str">
        <f>IFERROR(INDEX(PRENOTAZIONI!$H:$H,SMALL(PRENOTAZIONI!$AU:$AU,27)),"")</f>
        <v/>
      </c>
      <c r="Z30" s="34" t="str">
        <f>IFERROR(INDEX(PRENOTAZIONI!$K:$K,SMALL(PRENOTAZIONI!$AU:$AU,27)),"")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IFERROR(INDEX(PRENOTAZIONI!$A:$A,SMALL(PRENOTAZIONI!$AT:$AT,28)),"")</f>
        <v/>
      </c>
      <c r="B31" s="31" t="str">
        <f>IFERROR(INDEX(PRENOTAZIONI!$B:$B,SMALL(PRENOTAZIONI!$AT:$AT,28)),"")</f>
        <v/>
      </c>
      <c r="C31" s="32" t="str">
        <f t="shared" si="0"/>
        <v/>
      </c>
      <c r="D31" s="34" t="str">
        <f>IFERROR(INDEX(PRENOTAZIONI!$E:$E,SMALL(PRENOTAZIONI!$AT:$AT,28)),"")</f>
        <v/>
      </c>
      <c r="E31" s="34" t="str">
        <f>IFERROR(INDEX(PRENOTAZIONI!$F:$F,SMALL(PRENOTAZIONI!$AT:$AT,28)),"")</f>
        <v/>
      </c>
      <c r="F31" s="34" t="str">
        <f>IFERROR(INDEX(PRENOTAZIONI!$G:$G,SMALL(PRENOTAZIONI!$AT:$AT,28)),"")</f>
        <v/>
      </c>
      <c r="G31" s="35" t="str">
        <f>IFERROR(INDEX(PRENOTAZIONI!$H:$H,SMALL(PRENOTAZIONI!$AT:$AT,28)),"")</f>
        <v/>
      </c>
      <c r="H31" s="146" t="str">
        <f t="shared" si="1"/>
        <v/>
      </c>
      <c r="I31" s="35" t="str">
        <f t="shared" si="2"/>
        <v/>
      </c>
      <c r="J31" s="149" t="str">
        <f t="shared" si="9"/>
        <v/>
      </c>
      <c r="K31" s="34" t="str">
        <f>IFERROR(INDEX(PRENOTAZIONI!$K:$K,SMALL(PRENOTAZIONI!$AT:$AT,28)),"")</f>
        <v/>
      </c>
      <c r="L31" s="35" t="str">
        <f>IFERROR(INDEX(PRENOTAZIONI!$L:$L,SMALL(PRENOTAZIONI!$AT:$AT,28)),"")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34" t="str">
        <f>IFERROR(INDEX(PRENOTAZIONI!$R:$R,SMALL(PRENOTAZIONI!$AT:$AT,28)),"")</f>
        <v/>
      </c>
      <c r="S31" s="31"/>
      <c r="T31" s="80" t="str">
        <f>IFERROR(INDEX(PRENOTAZIONI!$A:$A,SMALL(PRENOTAZIONI!$AU:$AU,28)),"")</f>
        <v/>
      </c>
      <c r="U31" s="31" t="str">
        <f>IFERROR(INDEX(PRENOTAZIONI!$B:$B,SMALL(PRENOTAZIONI!$AU:$AU,28)),"")</f>
        <v/>
      </c>
      <c r="V31" s="32" t="str">
        <f t="shared" si="6"/>
        <v/>
      </c>
      <c r="W31" s="34" t="str">
        <f>IFERROR(INDEX(PRENOTAZIONI!$E:$E,SMALL(PRENOTAZIONI!$AU:$AU,28)),"")</f>
        <v/>
      </c>
      <c r="X31" s="34" t="str">
        <f>IFERROR(INDEX(PRENOTAZIONI!$F:$F,SMALL(PRENOTAZIONI!$AU:$AU,28)),"")</f>
        <v/>
      </c>
      <c r="Y31" s="35" t="str">
        <f>IFERROR(INDEX(PRENOTAZIONI!$H:$H,SMALL(PRENOTAZIONI!$AU:$AU,28)),"")</f>
        <v/>
      </c>
      <c r="Z31" s="34" t="str">
        <f>IFERROR(INDEX(PRENOTAZIONI!$K:$K,SMALL(PRENOTAZIONI!$AU:$AU,28)),"")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IFERROR(INDEX(PRENOTAZIONI!$A:$A,SMALL(PRENOTAZIONI!$AT:$AT,29)),"")</f>
        <v/>
      </c>
      <c r="B32" s="31" t="str">
        <f>IFERROR(INDEX(PRENOTAZIONI!$B:$B,SMALL(PRENOTAZIONI!$AT:$AT,29)),"")</f>
        <v/>
      </c>
      <c r="C32" s="32" t="str">
        <f t="shared" si="0"/>
        <v/>
      </c>
      <c r="D32" s="34" t="str">
        <f>IFERROR(INDEX(PRENOTAZIONI!$E:$E,SMALL(PRENOTAZIONI!$AT:$AT,29)),"")</f>
        <v/>
      </c>
      <c r="E32" s="34" t="str">
        <f>IFERROR(INDEX(PRENOTAZIONI!$F:$F,SMALL(PRENOTAZIONI!$AT:$AT,29)),"")</f>
        <v/>
      </c>
      <c r="F32" s="34" t="str">
        <f>IFERROR(INDEX(PRENOTAZIONI!$G:$G,SMALL(PRENOTAZIONI!$AT:$AT,29)),"")</f>
        <v/>
      </c>
      <c r="G32" s="35" t="str">
        <f>IFERROR(INDEX(PRENOTAZIONI!$H:$H,SMALL(PRENOTAZIONI!$AT:$AT,29)),"")</f>
        <v/>
      </c>
      <c r="H32" s="146" t="str">
        <f t="shared" si="1"/>
        <v/>
      </c>
      <c r="I32" s="35" t="str">
        <f t="shared" si="2"/>
        <v/>
      </c>
      <c r="J32" s="149" t="str">
        <f t="shared" si="9"/>
        <v/>
      </c>
      <c r="K32" s="34" t="str">
        <f>IFERROR(INDEX(PRENOTAZIONI!$K:$K,SMALL(PRENOTAZIONI!$AT:$AT,29)),"")</f>
        <v/>
      </c>
      <c r="L32" s="35" t="str">
        <f>IFERROR(INDEX(PRENOTAZIONI!$L:$L,SMALL(PRENOTAZIONI!$AT:$AT,29)),"")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34" t="str">
        <f>IFERROR(INDEX(PRENOTAZIONI!$R:$R,SMALL(PRENOTAZIONI!$AT:$AT,29)),"")</f>
        <v/>
      </c>
      <c r="S32" s="31"/>
      <c r="T32" s="80" t="str">
        <f>IFERROR(INDEX(PRENOTAZIONI!$A:$A,SMALL(PRENOTAZIONI!$AU:$AU,29)),"")</f>
        <v/>
      </c>
      <c r="U32" s="31" t="str">
        <f>IFERROR(INDEX(PRENOTAZIONI!$B:$B,SMALL(PRENOTAZIONI!$AU:$AU,29)),"")</f>
        <v/>
      </c>
      <c r="V32" s="32" t="str">
        <f t="shared" si="6"/>
        <v/>
      </c>
      <c r="W32" s="34" t="str">
        <f>IFERROR(INDEX(PRENOTAZIONI!$E:$E,SMALL(PRENOTAZIONI!$AU:$AU,29)),"")</f>
        <v/>
      </c>
      <c r="X32" s="34" t="str">
        <f>IFERROR(INDEX(PRENOTAZIONI!$F:$F,SMALL(PRENOTAZIONI!$AU:$AU,29)),"")</f>
        <v/>
      </c>
      <c r="Y32" s="35" t="str">
        <f>IFERROR(INDEX(PRENOTAZIONI!$H:$H,SMALL(PRENOTAZIONI!$AU:$AU,29)),"")</f>
        <v/>
      </c>
      <c r="Z32" s="34" t="str">
        <f>IFERROR(INDEX(PRENOTAZIONI!$K:$K,SMALL(PRENOTAZIONI!$AU:$AU,29)),"")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IFERROR(INDEX(PRENOTAZIONI!$A:$A,SMALL(PRENOTAZIONI!$AT:$AT,30)),"")</f>
        <v/>
      </c>
      <c r="B33" s="31" t="str">
        <f>IFERROR(INDEX(PRENOTAZIONI!$B:$B,SMALL(PRENOTAZIONI!$AT:$AT,30)),"")</f>
        <v/>
      </c>
      <c r="C33" s="32" t="str">
        <f t="shared" si="0"/>
        <v/>
      </c>
      <c r="D33" s="34" t="str">
        <f>IFERROR(INDEX(PRENOTAZIONI!$E:$E,SMALL(PRENOTAZIONI!$AT:$AT,30)),"")</f>
        <v/>
      </c>
      <c r="E33" s="34" t="str">
        <f>IFERROR(INDEX(PRENOTAZIONI!$F:$F,SMALL(PRENOTAZIONI!$AT:$AT,30)),"")</f>
        <v/>
      </c>
      <c r="F33" s="34" t="str">
        <f>IFERROR(INDEX(PRENOTAZIONI!$G:$G,SMALL(PRENOTAZIONI!$AT:$AT,30)),"")</f>
        <v/>
      </c>
      <c r="G33" s="35" t="str">
        <f>IFERROR(INDEX(PRENOTAZIONI!$H:$H,SMALL(PRENOTAZIONI!$AT:$AT,30)),"")</f>
        <v/>
      </c>
      <c r="H33" s="146" t="str">
        <f t="shared" si="1"/>
        <v/>
      </c>
      <c r="I33" s="35" t="str">
        <f t="shared" si="2"/>
        <v/>
      </c>
      <c r="J33" s="149" t="str">
        <f t="shared" si="9"/>
        <v/>
      </c>
      <c r="K33" s="34" t="str">
        <f>IFERROR(INDEX(PRENOTAZIONI!$K:$K,SMALL(PRENOTAZIONI!$AT:$AT,30)),"")</f>
        <v/>
      </c>
      <c r="L33" s="35" t="str">
        <f>IFERROR(INDEX(PRENOTAZIONI!$L:$L,SMALL(PRENOTAZIONI!$AT:$AT,30)),"")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34" t="str">
        <f>IFERROR(INDEX(PRENOTAZIONI!$R:$R,SMALL(PRENOTAZIONI!$AT:$AT,30)),"")</f>
        <v/>
      </c>
      <c r="S33" s="31"/>
      <c r="T33" s="80" t="str">
        <f>IFERROR(INDEX(PRENOTAZIONI!$A:$A,SMALL(PRENOTAZIONI!$AU:$AU,30)),"")</f>
        <v/>
      </c>
      <c r="U33" s="31" t="str">
        <f>IFERROR(INDEX(PRENOTAZIONI!$B:$B,SMALL(PRENOTAZIONI!$AU:$AU,30)),"")</f>
        <v/>
      </c>
      <c r="V33" s="32" t="str">
        <f t="shared" si="6"/>
        <v/>
      </c>
      <c r="W33" s="34" t="str">
        <f>IFERROR(INDEX(PRENOTAZIONI!$E:$E,SMALL(PRENOTAZIONI!$AU:$AU,30)),"")</f>
        <v/>
      </c>
      <c r="X33" s="34" t="str">
        <f>IFERROR(INDEX(PRENOTAZIONI!$F:$F,SMALL(PRENOTAZIONI!$AU:$AU,30)),"")</f>
        <v/>
      </c>
      <c r="Y33" s="35" t="str">
        <f>IFERROR(INDEX(PRENOTAZIONI!$H:$H,SMALL(PRENOTAZIONI!$AU:$AU,30)),"")</f>
        <v/>
      </c>
      <c r="Z33" s="34" t="str">
        <f>IFERROR(INDEX(PRENOTAZIONI!$K:$K,SMALL(PRENOTAZIONI!$AU:$AU,30)),"")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IFERROR(INDEX(PRENOTAZIONI!$A:$A,SMALL(PRENOTAZIONI!$AT:$AT,31)),"")</f>
        <v/>
      </c>
      <c r="B34" s="31" t="str">
        <f>IFERROR(INDEX(PRENOTAZIONI!$B:$B,SMALL(PRENOTAZIONI!$AT:$AT,31)),"")</f>
        <v/>
      </c>
      <c r="C34" s="32" t="str">
        <f t="shared" si="0"/>
        <v/>
      </c>
      <c r="D34" s="34" t="str">
        <f>IFERROR(INDEX(PRENOTAZIONI!$E:$E,SMALL(PRENOTAZIONI!$AT:$AT,31)),"")</f>
        <v/>
      </c>
      <c r="E34" s="34" t="str">
        <f>IFERROR(INDEX(PRENOTAZIONI!$F:$F,SMALL(PRENOTAZIONI!$AT:$AT,31)),"")</f>
        <v/>
      </c>
      <c r="F34" s="34" t="str">
        <f>IFERROR(INDEX(PRENOTAZIONI!$G:$G,SMALL(PRENOTAZIONI!$AT:$AT,31)),"")</f>
        <v/>
      </c>
      <c r="G34" s="35" t="str">
        <f>IFERROR(INDEX(PRENOTAZIONI!$H:$H,SMALL(PRENOTAZIONI!$AT:$AT,31)),"")</f>
        <v/>
      </c>
      <c r="H34" s="146" t="str">
        <f t="shared" si="1"/>
        <v/>
      </c>
      <c r="I34" s="35" t="str">
        <f t="shared" si="2"/>
        <v/>
      </c>
      <c r="J34" s="149" t="str">
        <f t="shared" si="9"/>
        <v/>
      </c>
      <c r="K34" s="34" t="str">
        <f>IFERROR(INDEX(PRENOTAZIONI!$K:$K,SMALL(PRENOTAZIONI!$AT:$AT,31)),"")</f>
        <v/>
      </c>
      <c r="L34" s="35" t="str">
        <f>IFERROR(INDEX(PRENOTAZIONI!$L:$L,SMALL(PRENOTAZIONI!$AT:$AT,31)),"")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34" t="str">
        <f>IFERROR(INDEX(PRENOTAZIONI!$R:$R,SMALL(PRENOTAZIONI!$AT:$AT,31)),"")</f>
        <v/>
      </c>
      <c r="S34" s="20"/>
      <c r="T34" s="85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IFERROR(INDEX(PRENOTAZIONI!$A:$A,SMALL(PRENOTAZIONI!$AT:$AT,32)),"")</f>
        <v/>
      </c>
      <c r="B35" s="31" t="str">
        <f>IFERROR(INDEX(PRENOTAZIONI!$B:$B,SMALL(PRENOTAZIONI!$AT:$AT,32)),"")</f>
        <v/>
      </c>
      <c r="C35" s="32" t="str">
        <f t="shared" si="0"/>
        <v/>
      </c>
      <c r="D35" s="34" t="str">
        <f>IFERROR(INDEX(PRENOTAZIONI!$E:$E,SMALL(PRENOTAZIONI!$AT:$AT,32)),"")</f>
        <v/>
      </c>
      <c r="E35" s="34" t="str">
        <f>IFERROR(INDEX(PRENOTAZIONI!$F:$F,SMALL(PRENOTAZIONI!$AT:$AT,32)),"")</f>
        <v/>
      </c>
      <c r="F35" s="34" t="str">
        <f>IFERROR(INDEX(PRENOTAZIONI!$G:$G,SMALL(PRENOTAZIONI!$AT:$AT,32)),"")</f>
        <v/>
      </c>
      <c r="G35" s="35" t="str">
        <f>IFERROR(INDEX(PRENOTAZIONI!$H:$H,SMALL(PRENOTAZIONI!$AT:$AT,32)),"")</f>
        <v/>
      </c>
      <c r="H35" s="146" t="str">
        <f t="shared" si="1"/>
        <v/>
      </c>
      <c r="I35" s="35" t="str">
        <f t="shared" si="2"/>
        <v/>
      </c>
      <c r="J35" s="149" t="str">
        <f t="shared" si="9"/>
        <v/>
      </c>
      <c r="K35" s="34" t="str">
        <f>IFERROR(INDEX(PRENOTAZIONI!$K:$K,SMALL(PRENOTAZIONI!$AT:$AT,32)),"")</f>
        <v/>
      </c>
      <c r="L35" s="35" t="str">
        <f>IFERROR(INDEX(PRENOTAZIONI!$L:$L,SMALL(PRENOTAZIONI!$AT:$AT,32)),"")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34" t="str">
        <f>IFERROR(INDEX(PRENOTAZIONI!$R:$R,SMALL(PRENOTAZIONI!$AT:$AT,32)),"")</f>
        <v/>
      </c>
      <c r="T35" s="77"/>
    </row>
    <row r="36" spans="1:30" ht="22" customHeight="1" x14ac:dyDescent="0.25">
      <c r="A36" s="31" t="str">
        <f>IFERROR(INDEX(PRENOTAZIONI!$A:$A,SMALL(PRENOTAZIONI!$AT:$AT,33)),"")</f>
        <v/>
      </c>
      <c r="B36" s="31" t="str">
        <f>IFERROR(INDEX(PRENOTAZIONI!$B:$B,SMALL(PRENOTAZIONI!$AT:$AT,33)),"")</f>
        <v/>
      </c>
      <c r="C36" s="32" t="str">
        <f t="shared" ref="C36:C63" si="11">IF(A36&lt;&gt;"",B36-A36,"")</f>
        <v/>
      </c>
      <c r="D36" s="34" t="str">
        <f>IFERROR(INDEX(PRENOTAZIONI!$E:$E,SMALL(PRENOTAZIONI!$AT:$AT,33)),"")</f>
        <v/>
      </c>
      <c r="E36" s="34" t="str">
        <f>IFERROR(INDEX(PRENOTAZIONI!$F:$F,SMALL(PRENOTAZIONI!$AT:$AT,33)),"")</f>
        <v/>
      </c>
      <c r="F36" s="34" t="str">
        <f>IFERROR(INDEX(PRENOTAZIONI!$G:$G,SMALL(PRENOTAZIONI!$AT:$AT,33)),"")</f>
        <v/>
      </c>
      <c r="G36" s="35" t="str">
        <f>IFERROR(INDEX(PRENOTAZIONI!$H:$H,SMALL(PRENOTAZIONI!$AT:$AT,33)),"")</f>
        <v/>
      </c>
      <c r="H36" s="146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ref="J36:J63" si="14">IF(H36&lt;&gt;"",H36*0.22,"")</f>
        <v/>
      </c>
      <c r="K36" s="34" t="str">
        <f>IFERROR(INDEX(PRENOTAZIONI!$K:$K,SMALL(PRENOTAZIONI!$AT:$AT,33)),"")</f>
        <v/>
      </c>
      <c r="L36" s="35" t="str">
        <f>IFERROR(INDEX(PRENOTAZIONI!$L:$L,SMALL(PRENOTAZIONI!$AT:$AT,33)),"")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34" t="str">
        <f>IFERROR(INDEX(PRENOTAZIONI!$R:$R,SMALL(PRENOTAZIONI!$AT:$AT,33)),"")</f>
        <v/>
      </c>
      <c r="T36" s="77"/>
    </row>
    <row r="37" spans="1:30" ht="22" customHeight="1" x14ac:dyDescent="0.25">
      <c r="A37" s="31" t="str">
        <f>IFERROR(INDEX(PRENOTAZIONI!$A:$A,SMALL(PRENOTAZIONI!$AT:$AT,34)),"")</f>
        <v/>
      </c>
      <c r="B37" s="31" t="str">
        <f>IFERROR(INDEX(PRENOTAZIONI!$B:$B,SMALL(PRENOTAZIONI!$AT:$AT,34)),"")</f>
        <v/>
      </c>
      <c r="C37" s="32" t="str">
        <f t="shared" si="11"/>
        <v/>
      </c>
      <c r="D37" s="34" t="str">
        <f>IFERROR(INDEX(PRENOTAZIONI!$E:$E,SMALL(PRENOTAZIONI!$AT:$AT,34)),"")</f>
        <v/>
      </c>
      <c r="E37" s="34" t="str">
        <f>IFERROR(INDEX(PRENOTAZIONI!$F:$F,SMALL(PRENOTAZIONI!$AT:$AT,34)),"")</f>
        <v/>
      </c>
      <c r="F37" s="34" t="str">
        <f>IFERROR(INDEX(PRENOTAZIONI!$G:$G,SMALL(PRENOTAZIONI!$AT:$AT,34)),"")</f>
        <v/>
      </c>
      <c r="G37" s="35" t="str">
        <f>IFERROR(INDEX(PRENOTAZIONI!$H:$H,SMALL(PRENOTAZIONI!$AT:$AT,34)),"")</f>
        <v/>
      </c>
      <c r="H37" s="146" t="str">
        <f t="shared" si="12"/>
        <v/>
      </c>
      <c r="I37" s="35" t="str">
        <f t="shared" si="13"/>
        <v/>
      </c>
      <c r="J37" s="149" t="str">
        <f t="shared" si="14"/>
        <v/>
      </c>
      <c r="K37" s="34" t="str">
        <f>IFERROR(INDEX(PRENOTAZIONI!$K:$K,SMALL(PRENOTAZIONI!$AT:$AT,34)),"")</f>
        <v/>
      </c>
      <c r="L37" s="35" t="str">
        <f>IFERROR(INDEX(PRENOTAZIONI!$L:$L,SMALL(PRENOTAZIONI!$AT:$AT,34)),"")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34" t="str">
        <f>IFERROR(INDEX(PRENOTAZIONI!$R:$R,SMALL(PRENOTAZIONI!$AT:$AT,34)),"")</f>
        <v/>
      </c>
      <c r="T37" s="77"/>
    </row>
    <row r="38" spans="1:30" ht="22" customHeight="1" x14ac:dyDescent="0.25">
      <c r="A38" s="31" t="str">
        <f>IFERROR(INDEX(PRENOTAZIONI!$A:$A,SMALL(PRENOTAZIONI!$AT:$AT,35)),"")</f>
        <v/>
      </c>
      <c r="B38" s="31" t="str">
        <f>IFERROR(INDEX(PRENOTAZIONI!$B:$B,SMALL(PRENOTAZIONI!$AT:$AT,35)),"")</f>
        <v/>
      </c>
      <c r="C38" s="32" t="str">
        <f t="shared" si="11"/>
        <v/>
      </c>
      <c r="D38" s="34" t="str">
        <f>IFERROR(INDEX(PRENOTAZIONI!$E:$E,SMALL(PRENOTAZIONI!$AT:$AT,35)),"")</f>
        <v/>
      </c>
      <c r="E38" s="34" t="str">
        <f>IFERROR(INDEX(PRENOTAZIONI!$F:$F,SMALL(PRENOTAZIONI!$AT:$AT,35)),"")</f>
        <v/>
      </c>
      <c r="F38" s="34" t="str">
        <f>IFERROR(INDEX(PRENOTAZIONI!$G:$G,SMALL(PRENOTAZIONI!$AT:$AT,35)),"")</f>
        <v/>
      </c>
      <c r="G38" s="35" t="str">
        <f>IFERROR(INDEX(PRENOTAZIONI!$H:$H,SMALL(PRENOTAZIONI!$AT:$AT,35)),"")</f>
        <v/>
      </c>
      <c r="H38" s="146" t="str">
        <f t="shared" si="12"/>
        <v/>
      </c>
      <c r="I38" s="35" t="str">
        <f t="shared" si="13"/>
        <v/>
      </c>
      <c r="J38" s="149" t="str">
        <f t="shared" si="14"/>
        <v/>
      </c>
      <c r="K38" s="34" t="str">
        <f>IFERROR(INDEX(PRENOTAZIONI!$K:$K,SMALL(PRENOTAZIONI!$AT:$AT,35)),"")</f>
        <v/>
      </c>
      <c r="L38" s="35" t="str">
        <f>IFERROR(INDEX(PRENOTAZIONI!$L:$L,SMALL(PRENOTAZIONI!$AT:$AT,35)),"")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34" t="str">
        <f>IFERROR(INDEX(PRENOTAZIONI!$R:$R,SMALL(PRENOTAZIONI!$AT:$AT,35)),"")</f>
        <v/>
      </c>
      <c r="T38" s="77"/>
    </row>
    <row r="39" spans="1:30" ht="22" customHeight="1" x14ac:dyDescent="0.25">
      <c r="A39" s="31" t="str">
        <f>IFERROR(INDEX(PRENOTAZIONI!$A:$A,SMALL(PRENOTAZIONI!$AT:$AT,36)),"")</f>
        <v/>
      </c>
      <c r="B39" s="31" t="str">
        <f>IFERROR(INDEX(PRENOTAZIONI!$B:$B,SMALL(PRENOTAZIONI!$AT:$AT,36)),"")</f>
        <v/>
      </c>
      <c r="C39" s="32" t="str">
        <f t="shared" si="11"/>
        <v/>
      </c>
      <c r="D39" s="34" t="str">
        <f>IFERROR(INDEX(PRENOTAZIONI!$E:$E,SMALL(PRENOTAZIONI!$AT:$AT,36)),"")</f>
        <v/>
      </c>
      <c r="E39" s="34" t="str">
        <f>IFERROR(INDEX(PRENOTAZIONI!$F:$F,SMALL(PRENOTAZIONI!$AT:$AT,36)),"")</f>
        <v/>
      </c>
      <c r="F39" s="34" t="str">
        <f>IFERROR(INDEX(PRENOTAZIONI!$G:$G,SMALL(PRENOTAZIONI!$AT:$AT,36)),"")</f>
        <v/>
      </c>
      <c r="G39" s="35" t="str">
        <f>IFERROR(INDEX(PRENOTAZIONI!$H:$H,SMALL(PRENOTAZIONI!$AT:$AT,36)),"")</f>
        <v/>
      </c>
      <c r="H39" s="146" t="str">
        <f t="shared" si="12"/>
        <v/>
      </c>
      <c r="I39" s="35" t="str">
        <f t="shared" si="13"/>
        <v/>
      </c>
      <c r="J39" s="149" t="str">
        <f t="shared" si="14"/>
        <v/>
      </c>
      <c r="K39" s="34" t="str">
        <f>IFERROR(INDEX(PRENOTAZIONI!$K:$K,SMALL(PRENOTAZIONI!$AT:$AT,36)),"")</f>
        <v/>
      </c>
      <c r="L39" s="35" t="str">
        <f>IFERROR(INDEX(PRENOTAZIONI!$L:$L,SMALL(PRENOTAZIONI!$AT:$AT,36)),"")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34" t="str">
        <f>IFERROR(INDEX(PRENOTAZIONI!$R:$R,SMALL(PRENOTAZIONI!$AT:$AT,36)),"")</f>
        <v/>
      </c>
      <c r="T39" s="77"/>
    </row>
    <row r="40" spans="1:30" ht="22" customHeight="1" x14ac:dyDescent="0.25">
      <c r="A40" s="31" t="str">
        <f>IFERROR(INDEX(PRENOTAZIONI!$A:$A,SMALL(PRENOTAZIONI!$AT:$AT,37)),"")</f>
        <v/>
      </c>
      <c r="B40" s="31" t="str">
        <f>IFERROR(INDEX(PRENOTAZIONI!$B:$B,SMALL(PRENOTAZIONI!$AT:$AT,37)),"")</f>
        <v/>
      </c>
      <c r="C40" s="32" t="str">
        <f t="shared" si="11"/>
        <v/>
      </c>
      <c r="D40" s="34" t="str">
        <f>IFERROR(INDEX(PRENOTAZIONI!$E:$E,SMALL(PRENOTAZIONI!$AT:$AT,37)),"")</f>
        <v/>
      </c>
      <c r="E40" s="34" t="str">
        <f>IFERROR(INDEX(PRENOTAZIONI!$F:$F,SMALL(PRENOTAZIONI!$AT:$AT,37)),"")</f>
        <v/>
      </c>
      <c r="F40" s="34" t="str">
        <f>IFERROR(INDEX(PRENOTAZIONI!$G:$G,SMALL(PRENOTAZIONI!$AT:$AT,37)),"")</f>
        <v/>
      </c>
      <c r="G40" s="35" t="str">
        <f>IFERROR(INDEX(PRENOTAZIONI!$H:$H,SMALL(PRENOTAZIONI!$AT:$AT,37)),"")</f>
        <v/>
      </c>
      <c r="H40" s="146" t="str">
        <f t="shared" si="12"/>
        <v/>
      </c>
      <c r="I40" s="35" t="str">
        <f t="shared" si="13"/>
        <v/>
      </c>
      <c r="J40" s="149" t="str">
        <f t="shared" si="14"/>
        <v/>
      </c>
      <c r="K40" s="34" t="str">
        <f>IFERROR(INDEX(PRENOTAZIONI!$K:$K,SMALL(PRENOTAZIONI!$AT:$AT,37)),"")</f>
        <v/>
      </c>
      <c r="L40" s="35" t="str">
        <f>IFERROR(INDEX(PRENOTAZIONI!$L:$L,SMALL(PRENOTAZIONI!$AT:$AT,37)),"")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34" t="str">
        <f>IFERROR(INDEX(PRENOTAZIONI!$R:$R,SMALL(PRENOTAZIONI!$AT:$AT,37)),"")</f>
        <v/>
      </c>
      <c r="T40" s="77"/>
    </row>
    <row r="41" spans="1:30" ht="22" customHeight="1" x14ac:dyDescent="0.25">
      <c r="A41" s="31" t="str">
        <f>IFERROR(INDEX(PRENOTAZIONI!$A:$A,SMALL(PRENOTAZIONI!$AT:$AT,38)),"")</f>
        <v/>
      </c>
      <c r="B41" s="31" t="str">
        <f>IFERROR(INDEX(PRENOTAZIONI!$B:$B,SMALL(PRENOTAZIONI!$AT:$AT,38)),"")</f>
        <v/>
      </c>
      <c r="C41" s="32" t="str">
        <f t="shared" si="11"/>
        <v/>
      </c>
      <c r="D41" s="34" t="str">
        <f>IFERROR(INDEX(PRENOTAZIONI!$E:$E,SMALL(PRENOTAZIONI!$AT:$AT,38)),"")</f>
        <v/>
      </c>
      <c r="E41" s="34" t="str">
        <f>IFERROR(INDEX(PRENOTAZIONI!$F:$F,SMALL(PRENOTAZIONI!$AT:$AT,38)),"")</f>
        <v/>
      </c>
      <c r="F41" s="34" t="str">
        <f>IFERROR(INDEX(PRENOTAZIONI!$G:$G,SMALL(PRENOTAZIONI!$AT:$AT,38)),"")</f>
        <v/>
      </c>
      <c r="G41" s="35" t="str">
        <f>IFERROR(INDEX(PRENOTAZIONI!$H:$H,SMALL(PRENOTAZIONI!$AT:$AT,38)),"")</f>
        <v/>
      </c>
      <c r="H41" s="146" t="str">
        <f t="shared" si="12"/>
        <v/>
      </c>
      <c r="I41" s="35" t="str">
        <f t="shared" si="13"/>
        <v/>
      </c>
      <c r="J41" s="149" t="str">
        <f t="shared" si="14"/>
        <v/>
      </c>
      <c r="K41" s="34" t="str">
        <f>IFERROR(INDEX(PRENOTAZIONI!$K:$K,SMALL(PRENOTAZIONI!$AT:$AT,38)),"")</f>
        <v/>
      </c>
      <c r="L41" s="35" t="str">
        <f>IFERROR(INDEX(PRENOTAZIONI!$L:$L,SMALL(PRENOTAZIONI!$AT:$AT,38)),"")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34" t="str">
        <f>IFERROR(INDEX(PRENOTAZIONI!$R:$R,SMALL(PRENOTAZIONI!$AT:$AT,38)),"")</f>
        <v/>
      </c>
      <c r="T41" s="77"/>
    </row>
    <row r="42" spans="1:30" ht="22" customHeight="1" x14ac:dyDescent="0.25">
      <c r="A42" s="31" t="str">
        <f>IFERROR(INDEX(PRENOTAZIONI!$A:$A,SMALL(PRENOTAZIONI!$AT:$AT,39)),"")</f>
        <v/>
      </c>
      <c r="B42" s="31" t="str">
        <f>IFERROR(INDEX(PRENOTAZIONI!$B:$B,SMALL(PRENOTAZIONI!$AT:$AT,39)),"")</f>
        <v/>
      </c>
      <c r="C42" s="32" t="str">
        <f t="shared" si="11"/>
        <v/>
      </c>
      <c r="D42" s="34" t="str">
        <f>IFERROR(INDEX(PRENOTAZIONI!$E:$E,SMALL(PRENOTAZIONI!$AT:$AT,39)),"")</f>
        <v/>
      </c>
      <c r="E42" s="34" t="str">
        <f>IFERROR(INDEX(PRENOTAZIONI!$F:$F,SMALL(PRENOTAZIONI!$AT:$AT,39)),"")</f>
        <v/>
      </c>
      <c r="F42" s="34" t="str">
        <f>IFERROR(INDEX(PRENOTAZIONI!$G:$G,SMALL(PRENOTAZIONI!$AT:$AT,39)),"")</f>
        <v/>
      </c>
      <c r="G42" s="35" t="str">
        <f>IFERROR(INDEX(PRENOTAZIONI!$H:$H,SMALL(PRENOTAZIONI!$AT:$AT,39)),"")</f>
        <v/>
      </c>
      <c r="H42" s="146" t="str">
        <f t="shared" si="12"/>
        <v/>
      </c>
      <c r="I42" s="35" t="str">
        <f t="shared" si="13"/>
        <v/>
      </c>
      <c r="J42" s="149" t="str">
        <f t="shared" si="14"/>
        <v/>
      </c>
      <c r="K42" s="34" t="str">
        <f>IFERROR(INDEX(PRENOTAZIONI!$K:$K,SMALL(PRENOTAZIONI!$AT:$AT,39)),"")</f>
        <v/>
      </c>
      <c r="L42" s="35" t="str">
        <f>IFERROR(INDEX(PRENOTAZIONI!$L:$L,SMALL(PRENOTAZIONI!$AT:$AT,39)),"")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34" t="str">
        <f>IFERROR(INDEX(PRENOTAZIONI!$R:$R,SMALL(PRENOTAZIONI!$AT:$AT,39)),"")</f>
        <v/>
      </c>
      <c r="T42" s="77"/>
    </row>
    <row r="43" spans="1:30" ht="22" customHeight="1" x14ac:dyDescent="0.25">
      <c r="A43" s="31" t="str">
        <f>IFERROR(INDEX(PRENOTAZIONI!$A:$A,SMALL(PRENOTAZIONI!$AT:$AT,40)),"")</f>
        <v/>
      </c>
      <c r="B43" s="31" t="str">
        <f>IFERROR(INDEX(PRENOTAZIONI!$B:$B,SMALL(PRENOTAZIONI!$AT:$AT,40)),"")</f>
        <v/>
      </c>
      <c r="C43" s="32" t="str">
        <f t="shared" si="11"/>
        <v/>
      </c>
      <c r="D43" s="34" t="str">
        <f>IFERROR(INDEX(PRENOTAZIONI!$E:$E,SMALL(PRENOTAZIONI!$AT:$AT,40)),"")</f>
        <v/>
      </c>
      <c r="E43" s="34" t="str">
        <f>IFERROR(INDEX(PRENOTAZIONI!$F:$F,SMALL(PRENOTAZIONI!$AT:$AT,40)),"")</f>
        <v/>
      </c>
      <c r="F43" s="34" t="str">
        <f>IFERROR(INDEX(PRENOTAZIONI!$G:$G,SMALL(PRENOTAZIONI!$AT:$AT,40)),"")</f>
        <v/>
      </c>
      <c r="G43" s="35" t="str">
        <f>IFERROR(INDEX(PRENOTAZIONI!$H:$H,SMALL(PRENOTAZIONI!$AT:$AT,40)),"")</f>
        <v/>
      </c>
      <c r="H43" s="146" t="str">
        <f t="shared" si="12"/>
        <v/>
      </c>
      <c r="I43" s="35" t="str">
        <f t="shared" si="13"/>
        <v/>
      </c>
      <c r="J43" s="149" t="str">
        <f t="shared" si="14"/>
        <v/>
      </c>
      <c r="K43" s="34" t="str">
        <f>IFERROR(INDEX(PRENOTAZIONI!$K:$K,SMALL(PRENOTAZIONI!$AT:$AT,40)),"")</f>
        <v/>
      </c>
      <c r="L43" s="35" t="str">
        <f>IFERROR(INDEX(PRENOTAZIONI!$L:$L,SMALL(PRENOTAZIONI!$AT:$AT,40)),"")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34" t="str">
        <f>IFERROR(INDEX(PRENOTAZIONI!$R:$R,SMALL(PRENOTAZIONI!$AT:$AT,40)),"")</f>
        <v/>
      </c>
      <c r="T43" s="77"/>
    </row>
    <row r="44" spans="1:30" ht="22" customHeight="1" x14ac:dyDescent="0.25">
      <c r="A44" s="31" t="str">
        <f>IFERROR(INDEX(PRENOTAZIONI!$A:$A,SMALL(PRENOTAZIONI!$AT:$AT,41)),"")</f>
        <v/>
      </c>
      <c r="B44" s="31" t="str">
        <f>IFERROR(INDEX(PRENOTAZIONI!$B:$B,SMALL(PRENOTAZIONI!$AT:$AT,41)),"")</f>
        <v/>
      </c>
      <c r="C44" s="32" t="str">
        <f t="shared" si="11"/>
        <v/>
      </c>
      <c r="D44" s="34" t="str">
        <f>IFERROR(INDEX(PRENOTAZIONI!$E:$E,SMALL(PRENOTAZIONI!$AT:$AT,41)),"")</f>
        <v/>
      </c>
      <c r="E44" s="34" t="str">
        <f>IFERROR(INDEX(PRENOTAZIONI!$F:$F,SMALL(PRENOTAZIONI!$AT:$AT,41)),"")</f>
        <v/>
      </c>
      <c r="F44" s="34" t="str">
        <f>IFERROR(INDEX(PRENOTAZIONI!$G:$G,SMALL(PRENOTAZIONI!$AT:$AT,41)),"")</f>
        <v/>
      </c>
      <c r="G44" s="35" t="str">
        <f>IFERROR(INDEX(PRENOTAZIONI!$H:$H,SMALL(PRENOTAZIONI!$AT:$AT,41)),"")</f>
        <v/>
      </c>
      <c r="H44" s="146" t="str">
        <f t="shared" si="12"/>
        <v/>
      </c>
      <c r="I44" s="35" t="str">
        <f t="shared" si="13"/>
        <v/>
      </c>
      <c r="J44" s="149" t="str">
        <f t="shared" si="14"/>
        <v/>
      </c>
      <c r="K44" s="34" t="str">
        <f>IFERROR(INDEX(PRENOTAZIONI!$K:$K,SMALL(PRENOTAZIONI!$AT:$AT,41)),"")</f>
        <v/>
      </c>
      <c r="L44" s="35" t="str">
        <f>IFERROR(INDEX(PRENOTAZIONI!$L:$L,SMALL(PRENOTAZIONI!$AT:$AT,41)),"")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34" t="str">
        <f>IFERROR(INDEX(PRENOTAZIONI!$R:$R,SMALL(PRENOTAZIONI!$AT:$AT,41)),"")</f>
        <v/>
      </c>
      <c r="T44" s="77"/>
    </row>
    <row r="45" spans="1:30" ht="22" customHeight="1" x14ac:dyDescent="0.25">
      <c r="A45" s="31" t="str">
        <f>IFERROR(INDEX(PRENOTAZIONI!$A:$A,SMALL(PRENOTAZIONI!$AT:$AT,42)),"")</f>
        <v/>
      </c>
      <c r="B45" s="31" t="str">
        <f>IFERROR(INDEX(PRENOTAZIONI!$B:$B,SMALL(PRENOTAZIONI!$AT:$AT,42)),"")</f>
        <v/>
      </c>
      <c r="C45" s="32" t="str">
        <f t="shared" si="11"/>
        <v/>
      </c>
      <c r="D45" s="34" t="str">
        <f>IFERROR(INDEX(PRENOTAZIONI!$E:$E,SMALL(PRENOTAZIONI!$AT:$AT,42)),"")</f>
        <v/>
      </c>
      <c r="E45" s="34" t="str">
        <f>IFERROR(INDEX(PRENOTAZIONI!$F:$F,SMALL(PRENOTAZIONI!$AT:$AT,42)),"")</f>
        <v/>
      </c>
      <c r="F45" s="34" t="str">
        <f>IFERROR(INDEX(PRENOTAZIONI!$G:$G,SMALL(PRENOTAZIONI!$AT:$AT,42)),"")</f>
        <v/>
      </c>
      <c r="G45" s="35" t="str">
        <f>IFERROR(INDEX(PRENOTAZIONI!$H:$H,SMALL(PRENOTAZIONI!$AT:$AT,42)),"")</f>
        <v/>
      </c>
      <c r="H45" s="146" t="str">
        <f t="shared" si="12"/>
        <v/>
      </c>
      <c r="I45" s="35" t="str">
        <f t="shared" si="13"/>
        <v/>
      </c>
      <c r="J45" s="149" t="str">
        <f t="shared" si="14"/>
        <v/>
      </c>
      <c r="K45" s="34" t="str">
        <f>IFERROR(INDEX(PRENOTAZIONI!$K:$K,SMALL(PRENOTAZIONI!$AT:$AT,42)),"")</f>
        <v/>
      </c>
      <c r="L45" s="35" t="str">
        <f>IFERROR(INDEX(PRENOTAZIONI!$L:$L,SMALL(PRENOTAZIONI!$AT:$AT,42)),"")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34" t="str">
        <f>IFERROR(INDEX(PRENOTAZIONI!$R:$R,SMALL(PRENOTAZIONI!$AT:$AT,42)),"")</f>
        <v/>
      </c>
      <c r="T45" s="77"/>
    </row>
    <row r="46" spans="1:30" ht="22" customHeight="1" x14ac:dyDescent="0.25">
      <c r="A46" s="31" t="str">
        <f>IFERROR(INDEX(PRENOTAZIONI!$A:$A,SMALL(PRENOTAZIONI!$AT:$AT,43)),"")</f>
        <v/>
      </c>
      <c r="B46" s="31" t="str">
        <f>IFERROR(INDEX(PRENOTAZIONI!$B:$B,SMALL(PRENOTAZIONI!$AT:$AT,43)),"")</f>
        <v/>
      </c>
      <c r="C46" s="32" t="str">
        <f t="shared" si="11"/>
        <v/>
      </c>
      <c r="D46" s="34" t="str">
        <f>IFERROR(INDEX(PRENOTAZIONI!$E:$E,SMALL(PRENOTAZIONI!$AT:$AT,43)),"")</f>
        <v/>
      </c>
      <c r="E46" s="34" t="str">
        <f>IFERROR(INDEX(PRENOTAZIONI!$F:$F,SMALL(PRENOTAZIONI!$AT:$AT,43)),"")</f>
        <v/>
      </c>
      <c r="F46" s="34" t="str">
        <f>IFERROR(INDEX(PRENOTAZIONI!$G:$G,SMALL(PRENOTAZIONI!$AT:$AT,43)),"")</f>
        <v/>
      </c>
      <c r="G46" s="35" t="str">
        <f>IFERROR(INDEX(PRENOTAZIONI!$H:$H,SMALL(PRENOTAZIONI!$AT:$AT,43)),"")</f>
        <v/>
      </c>
      <c r="H46" s="146" t="str">
        <f t="shared" si="12"/>
        <v/>
      </c>
      <c r="I46" s="35" t="str">
        <f t="shared" si="13"/>
        <v/>
      </c>
      <c r="J46" s="149" t="str">
        <f t="shared" si="14"/>
        <v/>
      </c>
      <c r="K46" s="34" t="str">
        <f>IFERROR(INDEX(PRENOTAZIONI!$K:$K,SMALL(PRENOTAZIONI!$AT:$AT,43)),"")</f>
        <v/>
      </c>
      <c r="L46" s="35" t="str">
        <f>IFERROR(INDEX(PRENOTAZIONI!$L:$L,SMALL(PRENOTAZIONI!$AT:$AT,43)),"")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34" t="str">
        <f>IFERROR(INDEX(PRENOTAZIONI!$R:$R,SMALL(PRENOTAZIONI!$AT:$AT,43)),"")</f>
        <v/>
      </c>
      <c r="T46" s="77"/>
    </row>
    <row r="47" spans="1:30" ht="22" customHeight="1" x14ac:dyDescent="0.25">
      <c r="A47" s="31" t="str">
        <f>IFERROR(INDEX(PRENOTAZIONI!$A:$A,SMALL(PRENOTAZIONI!$AT:$AT,44)),"")</f>
        <v/>
      </c>
      <c r="B47" s="31" t="str">
        <f>IFERROR(INDEX(PRENOTAZIONI!$B:$B,SMALL(PRENOTAZIONI!$AT:$AT,44)),"")</f>
        <v/>
      </c>
      <c r="C47" s="32" t="str">
        <f t="shared" si="11"/>
        <v/>
      </c>
      <c r="D47" s="34" t="str">
        <f>IFERROR(INDEX(PRENOTAZIONI!$E:$E,SMALL(PRENOTAZIONI!$AT:$AT,44)),"")</f>
        <v/>
      </c>
      <c r="E47" s="34" t="str">
        <f>IFERROR(INDEX(PRENOTAZIONI!$F:$F,SMALL(PRENOTAZIONI!$AT:$AT,44)),"")</f>
        <v/>
      </c>
      <c r="F47" s="34" t="str">
        <f>IFERROR(INDEX(PRENOTAZIONI!$G:$G,SMALL(PRENOTAZIONI!$AT:$AT,44)),"")</f>
        <v/>
      </c>
      <c r="G47" s="35" t="str">
        <f>IFERROR(INDEX(PRENOTAZIONI!$H:$H,SMALL(PRENOTAZIONI!$AT:$AT,44)),"")</f>
        <v/>
      </c>
      <c r="H47" s="146" t="str">
        <f t="shared" si="12"/>
        <v/>
      </c>
      <c r="I47" s="35" t="str">
        <f t="shared" si="13"/>
        <v/>
      </c>
      <c r="J47" s="149" t="str">
        <f t="shared" si="14"/>
        <v/>
      </c>
      <c r="K47" s="34" t="str">
        <f>IFERROR(INDEX(PRENOTAZIONI!$K:$K,SMALL(PRENOTAZIONI!$AT:$AT,44)),"")</f>
        <v/>
      </c>
      <c r="L47" s="35" t="str">
        <f>IFERROR(INDEX(PRENOTAZIONI!$L:$L,SMALL(PRENOTAZIONI!$AT:$AT,44)),"")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34" t="str">
        <f>IFERROR(INDEX(PRENOTAZIONI!$R:$R,SMALL(PRENOTAZIONI!$AT:$AT,44)),"")</f>
        <v/>
      </c>
      <c r="T47" s="77"/>
    </row>
    <row r="48" spans="1:30" ht="22" customHeight="1" x14ac:dyDescent="0.25">
      <c r="A48" s="31" t="str">
        <f>IFERROR(INDEX(PRENOTAZIONI!$A:$A,SMALL(PRENOTAZIONI!$AT:$AT,45)),"")</f>
        <v/>
      </c>
      <c r="B48" s="31" t="str">
        <f>IFERROR(INDEX(PRENOTAZIONI!$B:$B,SMALL(PRENOTAZIONI!$AT:$AT,45)),"")</f>
        <v/>
      </c>
      <c r="C48" s="32" t="str">
        <f t="shared" si="11"/>
        <v/>
      </c>
      <c r="D48" s="34" t="str">
        <f>IFERROR(INDEX(PRENOTAZIONI!$E:$E,SMALL(PRENOTAZIONI!$AT:$AT,45)),"")</f>
        <v/>
      </c>
      <c r="E48" s="34" t="str">
        <f>IFERROR(INDEX(PRENOTAZIONI!$F:$F,SMALL(PRENOTAZIONI!$AT:$AT,45)),"")</f>
        <v/>
      </c>
      <c r="F48" s="34" t="str">
        <f>IFERROR(INDEX(PRENOTAZIONI!$G:$G,SMALL(PRENOTAZIONI!$AT:$AT,45)),"")</f>
        <v/>
      </c>
      <c r="G48" s="35" t="str">
        <f>IFERROR(INDEX(PRENOTAZIONI!$H:$H,SMALL(PRENOTAZIONI!$AT:$AT,45)),"")</f>
        <v/>
      </c>
      <c r="H48" s="146" t="str">
        <f t="shared" si="12"/>
        <v/>
      </c>
      <c r="I48" s="35" t="str">
        <f t="shared" si="13"/>
        <v/>
      </c>
      <c r="J48" s="149" t="str">
        <f t="shared" si="14"/>
        <v/>
      </c>
      <c r="K48" s="34" t="str">
        <f>IFERROR(INDEX(PRENOTAZIONI!$K:$K,SMALL(PRENOTAZIONI!$AT:$AT,45)),"")</f>
        <v/>
      </c>
      <c r="L48" s="35" t="str">
        <f>IFERROR(INDEX(PRENOTAZIONI!$L:$L,SMALL(PRENOTAZIONI!$AT:$AT,45)),"")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34" t="str">
        <f>IFERROR(INDEX(PRENOTAZIONI!$R:$R,SMALL(PRENOTAZIONI!$AT:$AT,45)),"")</f>
        <v/>
      </c>
      <c r="T48" s="77"/>
    </row>
    <row r="49" spans="1:20" ht="22" customHeight="1" x14ac:dyDescent="0.25">
      <c r="A49" s="31" t="str">
        <f>IFERROR(INDEX(PRENOTAZIONI!$A:$A,SMALL(PRENOTAZIONI!$AT:$AT,46)),"")</f>
        <v/>
      </c>
      <c r="B49" s="31" t="str">
        <f>IFERROR(INDEX(PRENOTAZIONI!$B:$B,SMALL(PRENOTAZIONI!$AT:$AT,46)),"")</f>
        <v/>
      </c>
      <c r="C49" s="32" t="str">
        <f t="shared" si="11"/>
        <v/>
      </c>
      <c r="D49" s="34" t="str">
        <f>IFERROR(INDEX(PRENOTAZIONI!$E:$E,SMALL(PRENOTAZIONI!$AT:$AT,46)),"")</f>
        <v/>
      </c>
      <c r="E49" s="34" t="str">
        <f>IFERROR(INDEX(PRENOTAZIONI!$F:$F,SMALL(PRENOTAZIONI!$AT:$AT,46)),"")</f>
        <v/>
      </c>
      <c r="F49" s="34" t="str">
        <f>IFERROR(INDEX(PRENOTAZIONI!$G:$G,SMALL(PRENOTAZIONI!$AT:$AT,46)),"")</f>
        <v/>
      </c>
      <c r="G49" s="35" t="str">
        <f>IFERROR(INDEX(PRENOTAZIONI!$H:$H,SMALL(PRENOTAZIONI!$AT:$AT,46)),"")</f>
        <v/>
      </c>
      <c r="H49" s="146" t="str">
        <f t="shared" si="12"/>
        <v/>
      </c>
      <c r="I49" s="35" t="str">
        <f t="shared" si="13"/>
        <v/>
      </c>
      <c r="J49" s="149" t="str">
        <f t="shared" si="14"/>
        <v/>
      </c>
      <c r="K49" s="34" t="str">
        <f>IFERROR(INDEX(PRENOTAZIONI!$K:$K,SMALL(PRENOTAZIONI!$AT:$AT,46)),"")</f>
        <v/>
      </c>
      <c r="L49" s="35" t="str">
        <f>IFERROR(INDEX(PRENOTAZIONI!$L:$L,SMALL(PRENOTAZIONI!$AT:$AT,46)),"")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34" t="str">
        <f>IFERROR(INDEX(PRENOTAZIONI!$R:$R,SMALL(PRENOTAZIONI!$AT:$AT,46)),"")</f>
        <v/>
      </c>
      <c r="T49" s="77"/>
    </row>
    <row r="50" spans="1:20" ht="22" customHeight="1" x14ac:dyDescent="0.25">
      <c r="A50" s="31" t="str">
        <f>IFERROR(INDEX(PRENOTAZIONI!$A:$A,SMALL(PRENOTAZIONI!$AT:$AT,47)),"")</f>
        <v/>
      </c>
      <c r="B50" s="31" t="str">
        <f>IFERROR(INDEX(PRENOTAZIONI!$B:$B,SMALL(PRENOTAZIONI!$AT:$AT,47)),"")</f>
        <v/>
      </c>
      <c r="C50" s="32" t="str">
        <f t="shared" si="11"/>
        <v/>
      </c>
      <c r="D50" s="34" t="str">
        <f>IFERROR(INDEX(PRENOTAZIONI!$E:$E,SMALL(PRENOTAZIONI!$AT:$AT,47)),"")</f>
        <v/>
      </c>
      <c r="E50" s="34" t="str">
        <f>IFERROR(INDEX(PRENOTAZIONI!$F:$F,SMALL(PRENOTAZIONI!$AT:$AT,47)),"")</f>
        <v/>
      </c>
      <c r="F50" s="34" t="str">
        <f>IFERROR(INDEX(PRENOTAZIONI!$G:$G,SMALL(PRENOTAZIONI!$AT:$AT,47)),"")</f>
        <v/>
      </c>
      <c r="G50" s="35" t="str">
        <f>IFERROR(INDEX(PRENOTAZIONI!$H:$H,SMALL(PRENOTAZIONI!$AT:$AT,47)),"")</f>
        <v/>
      </c>
      <c r="H50" s="146" t="str">
        <f t="shared" si="12"/>
        <v/>
      </c>
      <c r="I50" s="35" t="str">
        <f t="shared" si="13"/>
        <v/>
      </c>
      <c r="J50" s="149" t="str">
        <f t="shared" si="14"/>
        <v/>
      </c>
      <c r="K50" s="34" t="str">
        <f>IFERROR(INDEX(PRENOTAZIONI!$K:$K,SMALL(PRENOTAZIONI!$AT:$AT,47)),"")</f>
        <v/>
      </c>
      <c r="L50" s="35" t="str">
        <f>IFERROR(INDEX(PRENOTAZIONI!$L:$L,SMALL(PRENOTAZIONI!$AT:$AT,47)),"")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34" t="str">
        <f>IFERROR(INDEX(PRENOTAZIONI!$R:$R,SMALL(PRENOTAZIONI!$AT:$AT,47)),"")</f>
        <v/>
      </c>
      <c r="T50" s="77"/>
    </row>
    <row r="51" spans="1:20" ht="22" customHeight="1" x14ac:dyDescent="0.25">
      <c r="A51" s="31" t="str">
        <f>IFERROR(INDEX(PRENOTAZIONI!$A:$A,SMALL(PRENOTAZIONI!$AT:$AT,48)),"")</f>
        <v/>
      </c>
      <c r="B51" s="31" t="str">
        <f>IFERROR(INDEX(PRENOTAZIONI!$B:$B,SMALL(PRENOTAZIONI!$AT:$AT,48)),"")</f>
        <v/>
      </c>
      <c r="C51" s="32" t="str">
        <f t="shared" si="11"/>
        <v/>
      </c>
      <c r="D51" s="34" t="str">
        <f>IFERROR(INDEX(PRENOTAZIONI!$E:$E,SMALL(PRENOTAZIONI!$AT:$AT,48)),"")</f>
        <v/>
      </c>
      <c r="E51" s="34" t="str">
        <f>IFERROR(INDEX(PRENOTAZIONI!$F:$F,SMALL(PRENOTAZIONI!$AT:$AT,48)),"")</f>
        <v/>
      </c>
      <c r="F51" s="34" t="str">
        <f>IFERROR(INDEX(PRENOTAZIONI!$G:$G,SMALL(PRENOTAZIONI!$AT:$AT,48)),"")</f>
        <v/>
      </c>
      <c r="G51" s="35" t="str">
        <f>IFERROR(INDEX(PRENOTAZIONI!$H:$H,SMALL(PRENOTAZIONI!$AT:$AT,48)),"")</f>
        <v/>
      </c>
      <c r="H51" s="146" t="str">
        <f t="shared" si="12"/>
        <v/>
      </c>
      <c r="I51" s="35" t="str">
        <f t="shared" si="13"/>
        <v/>
      </c>
      <c r="J51" s="149" t="str">
        <f t="shared" si="14"/>
        <v/>
      </c>
      <c r="K51" s="34" t="str">
        <f>IFERROR(INDEX(PRENOTAZIONI!$K:$K,SMALL(PRENOTAZIONI!$AT:$AT,48)),"")</f>
        <v/>
      </c>
      <c r="L51" s="35" t="str">
        <f>IFERROR(INDEX(PRENOTAZIONI!$L:$L,SMALL(PRENOTAZIONI!$AT:$AT,48)),"")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34" t="str">
        <f>IFERROR(INDEX(PRENOTAZIONI!$R:$R,SMALL(PRENOTAZIONI!$AT:$AT,48)),"")</f>
        <v/>
      </c>
      <c r="T51" s="77"/>
    </row>
    <row r="52" spans="1:20" ht="22" customHeight="1" x14ac:dyDescent="0.25">
      <c r="A52" s="31" t="str">
        <f>IFERROR(INDEX(PRENOTAZIONI!$A:$A,SMALL(PRENOTAZIONI!$AT:$AT,49)),"")</f>
        <v/>
      </c>
      <c r="B52" s="31" t="str">
        <f>IFERROR(INDEX(PRENOTAZIONI!$B:$B,SMALL(PRENOTAZIONI!$AT:$AT,49)),"")</f>
        <v/>
      </c>
      <c r="C52" s="32" t="str">
        <f t="shared" si="11"/>
        <v/>
      </c>
      <c r="D52" s="34" t="str">
        <f>IFERROR(INDEX(PRENOTAZIONI!$E:$E,SMALL(PRENOTAZIONI!$AT:$AT,49)),"")</f>
        <v/>
      </c>
      <c r="E52" s="34" t="str">
        <f>IFERROR(INDEX(PRENOTAZIONI!$F:$F,SMALL(PRENOTAZIONI!$AT:$AT,49)),"")</f>
        <v/>
      </c>
      <c r="F52" s="34" t="str">
        <f>IFERROR(INDEX(PRENOTAZIONI!$G:$G,SMALL(PRENOTAZIONI!$AT:$AT,49)),"")</f>
        <v/>
      </c>
      <c r="G52" s="35" t="str">
        <f>IFERROR(INDEX(PRENOTAZIONI!$H:$H,SMALL(PRENOTAZIONI!$AT:$AT,49)),"")</f>
        <v/>
      </c>
      <c r="H52" s="146" t="str">
        <f t="shared" si="12"/>
        <v/>
      </c>
      <c r="I52" s="35" t="str">
        <f t="shared" si="13"/>
        <v/>
      </c>
      <c r="J52" s="149" t="str">
        <f t="shared" si="14"/>
        <v/>
      </c>
      <c r="K52" s="34" t="str">
        <f>IFERROR(INDEX(PRENOTAZIONI!$K:$K,SMALL(PRENOTAZIONI!$AT:$AT,49)),"")</f>
        <v/>
      </c>
      <c r="L52" s="35" t="str">
        <f>IFERROR(INDEX(PRENOTAZIONI!$L:$L,SMALL(PRENOTAZIONI!$AT:$AT,49)),"")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34" t="str">
        <f>IFERROR(INDEX(PRENOTAZIONI!$R:$R,SMALL(PRENOTAZIONI!$AT:$AT,49)),"")</f>
        <v/>
      </c>
      <c r="T52" s="77"/>
    </row>
    <row r="53" spans="1:20" ht="22" customHeight="1" x14ac:dyDescent="0.25">
      <c r="A53" s="31" t="str">
        <f>IFERROR(INDEX(PRENOTAZIONI!$A:$A,SMALL(PRENOTAZIONI!$AT:$AT,50)),"")</f>
        <v/>
      </c>
      <c r="B53" s="31" t="str">
        <f>IFERROR(INDEX(PRENOTAZIONI!$B:$B,SMALL(PRENOTAZIONI!$AT:$AT,50)),"")</f>
        <v/>
      </c>
      <c r="C53" s="32" t="str">
        <f t="shared" si="11"/>
        <v/>
      </c>
      <c r="D53" s="34" t="str">
        <f>IFERROR(INDEX(PRENOTAZIONI!$E:$E,SMALL(PRENOTAZIONI!$AT:$AT,50)),"")</f>
        <v/>
      </c>
      <c r="E53" s="34" t="str">
        <f>IFERROR(INDEX(PRENOTAZIONI!$F:$F,SMALL(PRENOTAZIONI!$AT:$AT,50)),"")</f>
        <v/>
      </c>
      <c r="F53" s="34" t="str">
        <f>IFERROR(INDEX(PRENOTAZIONI!$G:$G,SMALL(PRENOTAZIONI!$AT:$AT,50)),"")</f>
        <v/>
      </c>
      <c r="G53" s="35" t="str">
        <f>IFERROR(INDEX(PRENOTAZIONI!$H:$H,SMALL(PRENOTAZIONI!$AT:$AT,50)),"")</f>
        <v/>
      </c>
      <c r="H53" s="146" t="str">
        <f t="shared" si="12"/>
        <v/>
      </c>
      <c r="I53" s="35" t="str">
        <f t="shared" si="13"/>
        <v/>
      </c>
      <c r="J53" s="149" t="str">
        <f t="shared" si="14"/>
        <v/>
      </c>
      <c r="K53" s="34" t="str">
        <f>IFERROR(INDEX(PRENOTAZIONI!$K:$K,SMALL(PRENOTAZIONI!$AT:$AT,50)),"")</f>
        <v/>
      </c>
      <c r="L53" s="35" t="str">
        <f>IFERROR(INDEX(PRENOTAZIONI!$L:$L,SMALL(PRENOTAZIONI!$AT:$AT,50)),"")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34" t="str">
        <f>IFERROR(INDEX(PRENOTAZIONI!$R:$R,SMALL(PRENOTAZIONI!$AT:$AT,50)),"")</f>
        <v/>
      </c>
      <c r="T53" s="77"/>
    </row>
    <row r="54" spans="1:20" ht="22" customHeight="1" x14ac:dyDescent="0.25">
      <c r="A54" s="31" t="str">
        <f>IFERROR(INDEX(PRENOTAZIONI!$A:$A,SMALL(PRENOTAZIONI!$AT:$AT,51)),"")</f>
        <v/>
      </c>
      <c r="B54" s="31" t="str">
        <f>IFERROR(INDEX(PRENOTAZIONI!$B:$B,SMALL(PRENOTAZIONI!$AT:$AT,51)),"")</f>
        <v/>
      </c>
      <c r="C54" s="32" t="str">
        <f t="shared" si="11"/>
        <v/>
      </c>
      <c r="D54" s="34" t="str">
        <f>IFERROR(INDEX(PRENOTAZIONI!$E:$E,SMALL(PRENOTAZIONI!$AT:$AT,51)),"")</f>
        <v/>
      </c>
      <c r="E54" s="34" t="str">
        <f>IFERROR(INDEX(PRENOTAZIONI!$F:$F,SMALL(PRENOTAZIONI!$AT:$AT,51)),"")</f>
        <v/>
      </c>
      <c r="F54" s="34" t="str">
        <f>IFERROR(INDEX(PRENOTAZIONI!$G:$G,SMALL(PRENOTAZIONI!$AT:$AT,51)),"")</f>
        <v/>
      </c>
      <c r="G54" s="35" t="str">
        <f>IFERROR(INDEX(PRENOTAZIONI!$H:$H,SMALL(PRENOTAZIONI!$AT:$AT,51)),"")</f>
        <v/>
      </c>
      <c r="H54" s="146" t="str">
        <f t="shared" si="12"/>
        <v/>
      </c>
      <c r="I54" s="35" t="str">
        <f t="shared" si="13"/>
        <v/>
      </c>
      <c r="J54" s="149" t="str">
        <f t="shared" si="14"/>
        <v/>
      </c>
      <c r="K54" s="34" t="str">
        <f>IFERROR(INDEX(PRENOTAZIONI!$K:$K,SMALL(PRENOTAZIONI!$AT:$AT,51)),"")</f>
        <v/>
      </c>
      <c r="L54" s="35" t="str">
        <f>IFERROR(INDEX(PRENOTAZIONI!$L:$L,SMALL(PRENOTAZIONI!$AT:$AT,51)),"")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34" t="str">
        <f>IFERROR(INDEX(PRENOTAZIONI!$R:$R,SMALL(PRENOTAZIONI!$AT:$AT,51)),"")</f>
        <v/>
      </c>
      <c r="T54" s="77"/>
    </row>
    <row r="55" spans="1:20" ht="22" customHeight="1" x14ac:dyDescent="0.25">
      <c r="A55" s="31" t="str">
        <f>IFERROR(INDEX(PRENOTAZIONI!$A:$A,SMALL(PRENOTAZIONI!$AT:$AT,52)),"")</f>
        <v/>
      </c>
      <c r="B55" s="31" t="str">
        <f>IFERROR(INDEX(PRENOTAZIONI!$B:$B,SMALL(PRENOTAZIONI!$AT:$AT,52)),"")</f>
        <v/>
      </c>
      <c r="C55" s="32" t="str">
        <f t="shared" si="11"/>
        <v/>
      </c>
      <c r="D55" s="34" t="str">
        <f>IFERROR(INDEX(PRENOTAZIONI!$E:$E,SMALL(PRENOTAZIONI!$AT:$AT,52)),"")</f>
        <v/>
      </c>
      <c r="E55" s="34" t="str">
        <f>IFERROR(INDEX(PRENOTAZIONI!$F:$F,SMALL(PRENOTAZIONI!$AT:$AT,52)),"")</f>
        <v/>
      </c>
      <c r="F55" s="34" t="str">
        <f>IFERROR(INDEX(PRENOTAZIONI!$G:$G,SMALL(PRENOTAZIONI!$AT:$AT,52)),"")</f>
        <v/>
      </c>
      <c r="G55" s="35" t="str">
        <f>IFERROR(INDEX(PRENOTAZIONI!$H:$H,SMALL(PRENOTAZIONI!$AT:$AT,52)),"")</f>
        <v/>
      </c>
      <c r="H55" s="146" t="str">
        <f t="shared" si="12"/>
        <v/>
      </c>
      <c r="I55" s="35" t="str">
        <f t="shared" si="13"/>
        <v/>
      </c>
      <c r="J55" s="149" t="str">
        <f t="shared" si="14"/>
        <v/>
      </c>
      <c r="K55" s="34" t="str">
        <f>IFERROR(INDEX(PRENOTAZIONI!$K:$K,SMALL(PRENOTAZIONI!$AT:$AT,52)),"")</f>
        <v/>
      </c>
      <c r="L55" s="35" t="str">
        <f>IFERROR(INDEX(PRENOTAZIONI!$L:$L,SMALL(PRENOTAZIONI!$AT:$AT,52)),"")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34" t="str">
        <f>IFERROR(INDEX(PRENOTAZIONI!$R:$R,SMALL(PRENOTAZIONI!$AT:$AT,52)),"")</f>
        <v/>
      </c>
      <c r="T55" s="77"/>
    </row>
    <row r="56" spans="1:20" ht="22" customHeight="1" x14ac:dyDescent="0.25">
      <c r="A56" s="31" t="str">
        <f>IFERROR(INDEX(PRENOTAZIONI!$A:$A,SMALL(PRENOTAZIONI!$AT:$AT,53)),"")</f>
        <v/>
      </c>
      <c r="B56" s="31" t="str">
        <f>IFERROR(INDEX(PRENOTAZIONI!$B:$B,SMALL(PRENOTAZIONI!$AT:$AT,53)),"")</f>
        <v/>
      </c>
      <c r="C56" s="32" t="str">
        <f t="shared" si="11"/>
        <v/>
      </c>
      <c r="D56" s="34" t="str">
        <f>IFERROR(INDEX(PRENOTAZIONI!$E:$E,SMALL(PRENOTAZIONI!$AT:$AT,53)),"")</f>
        <v/>
      </c>
      <c r="E56" s="34" t="str">
        <f>IFERROR(INDEX(PRENOTAZIONI!$F:$F,SMALL(PRENOTAZIONI!$AT:$AT,53)),"")</f>
        <v/>
      </c>
      <c r="F56" s="34" t="str">
        <f>IFERROR(INDEX(PRENOTAZIONI!$G:$G,SMALL(PRENOTAZIONI!$AT:$AT,53)),"")</f>
        <v/>
      </c>
      <c r="G56" s="35" t="str">
        <f>IFERROR(INDEX(PRENOTAZIONI!$H:$H,SMALL(PRENOTAZIONI!$AT:$AT,53)),"")</f>
        <v/>
      </c>
      <c r="H56" s="146" t="str">
        <f t="shared" si="12"/>
        <v/>
      </c>
      <c r="I56" s="35" t="str">
        <f t="shared" si="13"/>
        <v/>
      </c>
      <c r="J56" s="149" t="str">
        <f t="shared" si="14"/>
        <v/>
      </c>
      <c r="K56" s="34" t="str">
        <f>IFERROR(INDEX(PRENOTAZIONI!$K:$K,SMALL(PRENOTAZIONI!$AT:$AT,53)),"")</f>
        <v/>
      </c>
      <c r="L56" s="35" t="str">
        <f>IFERROR(INDEX(PRENOTAZIONI!$L:$L,SMALL(PRENOTAZIONI!$AT:$AT,53)),"")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34" t="str">
        <f>IFERROR(INDEX(PRENOTAZIONI!$R:$R,SMALL(PRENOTAZIONI!$AT:$AT,53)),"")</f>
        <v/>
      </c>
      <c r="T56" s="77"/>
    </row>
    <row r="57" spans="1:20" ht="22" customHeight="1" x14ac:dyDescent="0.25">
      <c r="A57" s="31" t="str">
        <f>IFERROR(INDEX(PRENOTAZIONI!$A:$A,SMALL(PRENOTAZIONI!$AT:$AT,54)),"")</f>
        <v/>
      </c>
      <c r="B57" s="31" t="str">
        <f>IFERROR(INDEX(PRENOTAZIONI!$B:$B,SMALL(PRENOTAZIONI!$AT:$AT,54)),"")</f>
        <v/>
      </c>
      <c r="C57" s="32" t="str">
        <f t="shared" si="11"/>
        <v/>
      </c>
      <c r="D57" s="34" t="str">
        <f>IFERROR(INDEX(PRENOTAZIONI!$E:$E,SMALL(PRENOTAZIONI!$AT:$AT,54)),"")</f>
        <v/>
      </c>
      <c r="E57" s="34" t="str">
        <f>IFERROR(INDEX(PRENOTAZIONI!$F:$F,SMALL(PRENOTAZIONI!$AT:$AT,54)),"")</f>
        <v/>
      </c>
      <c r="F57" s="34" t="str">
        <f>IFERROR(INDEX(PRENOTAZIONI!$G:$G,SMALL(PRENOTAZIONI!$AT:$AT,54)),"")</f>
        <v/>
      </c>
      <c r="G57" s="35" t="str">
        <f>IFERROR(INDEX(PRENOTAZIONI!$H:$H,SMALL(PRENOTAZIONI!$AT:$AT,54)),"")</f>
        <v/>
      </c>
      <c r="H57" s="146" t="str">
        <f t="shared" si="12"/>
        <v/>
      </c>
      <c r="I57" s="35" t="str">
        <f t="shared" si="13"/>
        <v/>
      </c>
      <c r="J57" s="149" t="str">
        <f t="shared" si="14"/>
        <v/>
      </c>
      <c r="K57" s="34" t="str">
        <f>IFERROR(INDEX(PRENOTAZIONI!$K:$K,SMALL(PRENOTAZIONI!$AT:$AT,54)),"")</f>
        <v/>
      </c>
      <c r="L57" s="35" t="str">
        <f>IFERROR(INDEX(PRENOTAZIONI!$L:$L,SMALL(PRENOTAZIONI!$AT:$AT,54)),"")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34" t="str">
        <f>IFERROR(INDEX(PRENOTAZIONI!$R:$R,SMALL(PRENOTAZIONI!$AT:$AT,54)),"")</f>
        <v/>
      </c>
      <c r="T57" s="77"/>
    </row>
    <row r="58" spans="1:20" ht="22" customHeight="1" x14ac:dyDescent="0.25">
      <c r="A58" s="31" t="str">
        <f>IFERROR(INDEX(PRENOTAZIONI!$A:$A,SMALL(PRENOTAZIONI!$AT:$AT,55)),"")</f>
        <v/>
      </c>
      <c r="B58" s="31" t="str">
        <f>IFERROR(INDEX(PRENOTAZIONI!$B:$B,SMALL(PRENOTAZIONI!$AT:$AT,55)),"")</f>
        <v/>
      </c>
      <c r="C58" s="32" t="str">
        <f t="shared" si="11"/>
        <v/>
      </c>
      <c r="D58" s="34" t="str">
        <f>IFERROR(INDEX(PRENOTAZIONI!$E:$E,SMALL(PRENOTAZIONI!$AT:$AT,55)),"")</f>
        <v/>
      </c>
      <c r="E58" s="34" t="str">
        <f>IFERROR(INDEX(PRENOTAZIONI!$F:$F,SMALL(PRENOTAZIONI!$AT:$AT,55)),"")</f>
        <v/>
      </c>
      <c r="F58" s="34" t="str">
        <f>IFERROR(INDEX(PRENOTAZIONI!$G:$G,SMALL(PRENOTAZIONI!$AT:$AT,55)),"")</f>
        <v/>
      </c>
      <c r="G58" s="35" t="str">
        <f>IFERROR(INDEX(PRENOTAZIONI!$H:$H,SMALL(PRENOTAZIONI!$AT:$AT,55)),"")</f>
        <v/>
      </c>
      <c r="H58" s="146" t="str">
        <f t="shared" si="12"/>
        <v/>
      </c>
      <c r="I58" s="35" t="str">
        <f t="shared" si="13"/>
        <v/>
      </c>
      <c r="J58" s="149" t="str">
        <f t="shared" si="14"/>
        <v/>
      </c>
      <c r="K58" s="34" t="str">
        <f>IFERROR(INDEX(PRENOTAZIONI!$K:$K,SMALL(PRENOTAZIONI!$AT:$AT,55)),"")</f>
        <v/>
      </c>
      <c r="L58" s="35" t="str">
        <f>IFERROR(INDEX(PRENOTAZIONI!$L:$L,SMALL(PRENOTAZIONI!$AT:$AT,55)),"")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34" t="str">
        <f>IFERROR(INDEX(PRENOTAZIONI!$R:$R,SMALL(PRENOTAZIONI!$AT:$AT,55)),"")</f>
        <v/>
      </c>
      <c r="T58" s="77"/>
    </row>
    <row r="59" spans="1:20" ht="22" customHeight="1" x14ac:dyDescent="0.25">
      <c r="A59" s="31" t="str">
        <f>IFERROR(INDEX(PRENOTAZIONI!$A:$A,SMALL(PRENOTAZIONI!$AT:$AT,56)),"")</f>
        <v/>
      </c>
      <c r="B59" s="31" t="str">
        <f>IFERROR(INDEX(PRENOTAZIONI!$B:$B,SMALL(PRENOTAZIONI!$AT:$AT,56)),"")</f>
        <v/>
      </c>
      <c r="C59" s="32" t="str">
        <f t="shared" si="11"/>
        <v/>
      </c>
      <c r="D59" s="34" t="str">
        <f>IFERROR(INDEX(PRENOTAZIONI!$E:$E,SMALL(PRENOTAZIONI!$AT:$AT,56)),"")</f>
        <v/>
      </c>
      <c r="E59" s="34" t="str">
        <f>IFERROR(INDEX(PRENOTAZIONI!$F:$F,SMALL(PRENOTAZIONI!$AT:$AT,56)),"")</f>
        <v/>
      </c>
      <c r="F59" s="34" t="str">
        <f>IFERROR(INDEX(PRENOTAZIONI!$G:$G,SMALL(PRENOTAZIONI!$AT:$AT,56)),"")</f>
        <v/>
      </c>
      <c r="G59" s="35" t="str">
        <f>IFERROR(INDEX(PRENOTAZIONI!$H:$H,SMALL(PRENOTAZIONI!$AT:$AT,56)),"")</f>
        <v/>
      </c>
      <c r="H59" s="146" t="str">
        <f t="shared" si="12"/>
        <v/>
      </c>
      <c r="I59" s="35" t="str">
        <f t="shared" si="13"/>
        <v/>
      </c>
      <c r="J59" s="149" t="str">
        <f t="shared" si="14"/>
        <v/>
      </c>
      <c r="K59" s="34" t="str">
        <f>IFERROR(INDEX(PRENOTAZIONI!$K:$K,SMALL(PRENOTAZIONI!$AT:$AT,56)),"")</f>
        <v/>
      </c>
      <c r="L59" s="35" t="str">
        <f>IFERROR(INDEX(PRENOTAZIONI!$L:$L,SMALL(PRENOTAZIONI!$AT:$AT,56)),"")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34" t="str">
        <f>IFERROR(INDEX(PRENOTAZIONI!$R:$R,SMALL(PRENOTAZIONI!$AT:$AT,56)),"")</f>
        <v/>
      </c>
      <c r="T59" s="77"/>
    </row>
    <row r="60" spans="1:20" ht="22" customHeight="1" x14ac:dyDescent="0.25">
      <c r="A60" s="31" t="str">
        <f>IFERROR(INDEX(PRENOTAZIONI!$A:$A,SMALL(PRENOTAZIONI!$AT:$AT,57)),"")</f>
        <v/>
      </c>
      <c r="B60" s="31" t="str">
        <f>IFERROR(INDEX(PRENOTAZIONI!$B:$B,SMALL(PRENOTAZIONI!$AT:$AT,57)),"")</f>
        <v/>
      </c>
      <c r="C60" s="32" t="str">
        <f t="shared" si="11"/>
        <v/>
      </c>
      <c r="D60" s="34" t="str">
        <f>IFERROR(INDEX(PRENOTAZIONI!$E:$E,SMALL(PRENOTAZIONI!$AT:$AT,57)),"")</f>
        <v/>
      </c>
      <c r="E60" s="34" t="str">
        <f>IFERROR(INDEX(PRENOTAZIONI!$F:$F,SMALL(PRENOTAZIONI!$AT:$AT,57)),"")</f>
        <v/>
      </c>
      <c r="F60" s="34" t="str">
        <f>IFERROR(INDEX(PRENOTAZIONI!$G:$G,SMALL(PRENOTAZIONI!$AT:$AT,57)),"")</f>
        <v/>
      </c>
      <c r="G60" s="35" t="str">
        <f>IFERROR(INDEX(PRENOTAZIONI!$H:$H,SMALL(PRENOTAZIONI!$AT:$AT,57)),"")</f>
        <v/>
      </c>
      <c r="H60" s="146" t="str">
        <f t="shared" si="12"/>
        <v/>
      </c>
      <c r="I60" s="35" t="str">
        <f t="shared" si="13"/>
        <v/>
      </c>
      <c r="J60" s="149" t="str">
        <f t="shared" si="14"/>
        <v/>
      </c>
      <c r="K60" s="34" t="str">
        <f>IFERROR(INDEX(PRENOTAZIONI!$K:$K,SMALL(PRENOTAZIONI!$AT:$AT,57)),"")</f>
        <v/>
      </c>
      <c r="L60" s="35" t="str">
        <f>IFERROR(INDEX(PRENOTAZIONI!$L:$L,SMALL(PRENOTAZIONI!$AT:$AT,57)),"")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34" t="str">
        <f>IFERROR(INDEX(PRENOTAZIONI!$R:$R,SMALL(PRENOTAZIONI!$AT:$AT,57)),"")</f>
        <v/>
      </c>
      <c r="T60" s="77"/>
    </row>
    <row r="61" spans="1:20" ht="22" customHeight="1" x14ac:dyDescent="0.25">
      <c r="A61" s="31" t="str">
        <f>IFERROR(INDEX(PRENOTAZIONI!$A:$A,SMALL(PRENOTAZIONI!$AT:$AT,58)),"")</f>
        <v/>
      </c>
      <c r="B61" s="31" t="str">
        <f>IFERROR(INDEX(PRENOTAZIONI!$B:$B,SMALL(PRENOTAZIONI!$AT:$AT,58)),"")</f>
        <v/>
      </c>
      <c r="C61" s="32" t="str">
        <f t="shared" si="11"/>
        <v/>
      </c>
      <c r="D61" s="34" t="str">
        <f>IFERROR(INDEX(PRENOTAZIONI!$E:$E,SMALL(PRENOTAZIONI!$AT:$AT,58)),"")</f>
        <v/>
      </c>
      <c r="E61" s="34" t="str">
        <f>IFERROR(INDEX(PRENOTAZIONI!$F:$F,SMALL(PRENOTAZIONI!$AT:$AT,58)),"")</f>
        <v/>
      </c>
      <c r="F61" s="34" t="str">
        <f>IFERROR(INDEX(PRENOTAZIONI!$G:$G,SMALL(PRENOTAZIONI!$AT:$AT,58)),"")</f>
        <v/>
      </c>
      <c r="G61" s="35" t="str">
        <f>IFERROR(INDEX(PRENOTAZIONI!$H:$H,SMALL(PRENOTAZIONI!$AT:$AT,58)),"")</f>
        <v/>
      </c>
      <c r="H61" s="146" t="str">
        <f t="shared" si="12"/>
        <v/>
      </c>
      <c r="I61" s="35" t="str">
        <f t="shared" si="13"/>
        <v/>
      </c>
      <c r="J61" s="149" t="str">
        <f t="shared" si="14"/>
        <v/>
      </c>
      <c r="K61" s="34" t="str">
        <f>IFERROR(INDEX(PRENOTAZIONI!$K:$K,SMALL(PRENOTAZIONI!$AT:$AT,58)),"")</f>
        <v/>
      </c>
      <c r="L61" s="35" t="str">
        <f>IFERROR(INDEX(PRENOTAZIONI!$L:$L,SMALL(PRENOTAZIONI!$AT:$AT,58)),"")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34" t="str">
        <f>IFERROR(INDEX(PRENOTAZIONI!$R:$R,SMALL(PRENOTAZIONI!$AT:$AT,58)),"")</f>
        <v/>
      </c>
      <c r="T61" s="77"/>
    </row>
    <row r="62" spans="1:20" ht="22" customHeight="1" x14ac:dyDescent="0.25">
      <c r="A62" s="31" t="str">
        <f>IFERROR(INDEX(PRENOTAZIONI!$A:$A,SMALL(PRENOTAZIONI!$AT:$AT,59)),"")</f>
        <v/>
      </c>
      <c r="B62" s="31" t="str">
        <f>IFERROR(INDEX(PRENOTAZIONI!$B:$B,SMALL(PRENOTAZIONI!$AT:$AT,59)),"")</f>
        <v/>
      </c>
      <c r="C62" s="32" t="str">
        <f t="shared" si="11"/>
        <v/>
      </c>
      <c r="D62" s="34" t="str">
        <f>IFERROR(INDEX(PRENOTAZIONI!$E:$E,SMALL(PRENOTAZIONI!$AT:$AT,59)),"")</f>
        <v/>
      </c>
      <c r="E62" s="34" t="str">
        <f>IFERROR(INDEX(PRENOTAZIONI!$F:$F,SMALL(PRENOTAZIONI!$AT:$AT,59)),"")</f>
        <v/>
      </c>
      <c r="F62" s="34" t="str">
        <f>IFERROR(INDEX(PRENOTAZIONI!$G:$G,SMALL(PRENOTAZIONI!$AT:$AT,59)),"")</f>
        <v/>
      </c>
      <c r="G62" s="35" t="str">
        <f>IFERROR(INDEX(PRENOTAZIONI!$H:$H,SMALL(PRENOTAZIONI!$AT:$AT,59)),"")</f>
        <v/>
      </c>
      <c r="H62" s="146" t="str">
        <f t="shared" si="12"/>
        <v/>
      </c>
      <c r="I62" s="35" t="str">
        <f t="shared" si="13"/>
        <v/>
      </c>
      <c r="J62" s="149" t="str">
        <f t="shared" si="14"/>
        <v/>
      </c>
      <c r="K62" s="34" t="str">
        <f>IFERROR(INDEX(PRENOTAZIONI!$K:$K,SMALL(PRENOTAZIONI!$AT:$AT,59)),"")</f>
        <v/>
      </c>
      <c r="L62" s="35" t="str">
        <f>IFERROR(INDEX(PRENOTAZIONI!$L:$L,SMALL(PRENOTAZIONI!$AT:$AT,59)),"")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34" t="str">
        <f>IFERROR(INDEX(PRENOTAZIONI!$R:$R,SMALL(PRENOTAZIONI!$AT:$AT,59)),"")</f>
        <v/>
      </c>
      <c r="T62" s="77"/>
    </row>
    <row r="63" spans="1:20" ht="22" customHeight="1" x14ac:dyDescent="0.25">
      <c r="A63" s="31" t="str">
        <f>IFERROR(INDEX(PRENOTAZIONI!$A:$A,SMALL(PRENOTAZIONI!$AT:$AT,60)),"")</f>
        <v/>
      </c>
      <c r="B63" s="31" t="str">
        <f>IFERROR(INDEX(PRENOTAZIONI!$B:$B,SMALL(PRENOTAZIONI!$AT:$AT,60)),"")</f>
        <v/>
      </c>
      <c r="C63" s="32" t="str">
        <f t="shared" si="11"/>
        <v/>
      </c>
      <c r="D63" s="34" t="str">
        <f>IFERROR(INDEX(PRENOTAZIONI!$E:$E,SMALL(PRENOTAZIONI!$AT:$AT,60)),"")</f>
        <v/>
      </c>
      <c r="E63" s="34" t="str">
        <f>IFERROR(INDEX(PRENOTAZIONI!$F:$F,SMALL(PRENOTAZIONI!$AT:$AT,60)),"")</f>
        <v/>
      </c>
      <c r="F63" s="34" t="str">
        <f>IFERROR(INDEX(PRENOTAZIONI!$G:$G,SMALL(PRENOTAZIONI!$AT:$AT,60)),"")</f>
        <v/>
      </c>
      <c r="G63" s="35" t="str">
        <f>IFERROR(INDEX(PRENOTAZIONI!$H:$H,SMALL(PRENOTAZIONI!$AT:$AT,60)),"")</f>
        <v/>
      </c>
      <c r="H63" s="146" t="str">
        <f t="shared" si="12"/>
        <v/>
      </c>
      <c r="I63" s="35" t="str">
        <f t="shared" si="13"/>
        <v/>
      </c>
      <c r="J63" s="149" t="str">
        <f t="shared" si="14"/>
        <v/>
      </c>
      <c r="K63" s="34" t="str">
        <f>IFERROR(INDEX(PRENOTAZIONI!$K:$K,SMALL(PRENOTAZIONI!$AT:$AT,60)),"")</f>
        <v/>
      </c>
      <c r="L63" s="35" t="str">
        <f>IFERROR(INDEX(PRENOTAZIONI!$L:$L,SMALL(PRENOTAZIONI!$AT:$AT,60)),"")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34" t="str">
        <f>IFERROR(INDEX(PRENOTAZIONI!$R:$R,SMALL(PRENOTAZIONI!$AT:$AT,60)),"")</f>
        <v/>
      </c>
      <c r="T63" s="77"/>
    </row>
    <row r="64" spans="1:20" ht="19" customHeight="1" x14ac:dyDescent="0.25">
      <c r="T64" s="77"/>
    </row>
    <row r="65" spans="20:20" ht="19" customHeight="1" x14ac:dyDescent="0.25">
      <c r="T65" s="77"/>
    </row>
  </sheetData>
  <pageMargins left="0.75" right="0.75" top="1" bottom="1" header="0.5" footer="0.5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03864"/>
    <pageSetUpPr fitToPage="1"/>
  </sheetPr>
  <dimension ref="A1:BG65"/>
  <sheetViews>
    <sheetView zoomScale="120" zoomScaleNormal="120" workbookViewId="0">
      <pane ySplit="3" topLeftCell="A4" activePane="bottomLeft" state="frozen"/>
      <selection pane="bottomLeft" activeCell="M9" sqref="M9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9" width="11" customWidth="1"/>
    <col min="10" max="10" width="10" customWidth="1"/>
    <col min="11" max="11" width="17" bestFit="1" customWidth="1"/>
    <col min="12" max="12" width="10" style="120" customWidth="1"/>
    <col min="13" max="15" width="10" customWidth="1"/>
    <col min="16" max="16" width="20" customWidth="1"/>
    <col min="17" max="17" width="18" style="120" customWidth="1"/>
    <col min="18" max="18" width="30" style="93" customWidth="1"/>
    <col min="19" max="19" width="57.33203125" style="93" bestFit="1" customWidth="1"/>
    <col min="20" max="20" width="11.5" style="93" bestFit="1" customWidth="1"/>
    <col min="21" max="21" width="11.5" bestFit="1" customWidth="1"/>
    <col min="22" max="22" width="7" customWidth="1"/>
    <col min="23" max="23" width="21.1640625" bestFit="1" customWidth="1"/>
    <col min="24" max="24" width="10" customWidth="1"/>
    <col min="25" max="25" width="11" customWidth="1"/>
    <col min="26" max="26" width="12" customWidth="1"/>
    <col min="27" max="28" width="10" customWidth="1"/>
    <col min="29" max="30" width="12" customWidth="1"/>
    <col min="31" max="31" width="39.1640625" bestFit="1" customWidth="1"/>
    <col min="32" max="32" width="2" customWidth="1"/>
    <col min="33" max="33" width="13" customWidth="1"/>
    <col min="34" max="34" width="8.83203125" bestFit="1" customWidth="1"/>
    <col min="35" max="35" width="9" bestFit="1" customWidth="1"/>
    <col min="36" max="36" width="13.33203125" bestFit="1" customWidth="1"/>
    <col min="37" max="37" width="12.1640625" bestFit="1" customWidth="1"/>
    <col min="38" max="38" width="10" customWidth="1"/>
    <col min="39" max="39" width="12" customWidth="1"/>
    <col min="40" max="40" width="11" bestFit="1" customWidth="1"/>
    <col min="41" max="42" width="11" customWidth="1"/>
  </cols>
  <sheetData>
    <row r="1" spans="1:59" ht="28" customHeight="1" x14ac:dyDescent="0.25">
      <c r="A1" s="1" t="s">
        <v>272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2"/>
      <c r="R1" s="92"/>
      <c r="S1" s="78"/>
      <c r="AF1" s="38"/>
      <c r="AG1" s="110" t="s">
        <v>273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59" ht="4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7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</row>
    <row r="3" spans="1:59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39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56" t="s">
        <v>18</v>
      </c>
      <c r="S3" s="79"/>
      <c r="T3" s="51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59" ht="20" customHeight="1" thickBot="1" x14ac:dyDescent="0.25">
      <c r="A4" s="247">
        <f>IFERROR(INDEX(PRENOTAZIONI!$A:$A,SMALL(PRENOTAZIONI!$V:$V,1)),"")</f>
        <v>46066</v>
      </c>
      <c r="B4" s="248">
        <f>IFERROR(INDEX(PRENOTAZIONI!$B:$B,SMALL(PRENOTAZIONI!$V:$V,1)),"")</f>
        <v>46072</v>
      </c>
      <c r="C4" s="249">
        <f t="shared" ref="C4:C35" si="0">IF(A4&lt;&gt;"",B4-A4,"")</f>
        <v>6</v>
      </c>
      <c r="D4" s="250" t="str">
        <f>IFERROR(INDEX(PRENOTAZIONI!$E:$E,SMALL(PRENOTAZIONI!$V:$V,1)),"")</f>
        <v xml:space="preserve">Cornelia Bruckner </v>
      </c>
      <c r="E4" s="250" t="str">
        <f>IFERROR(INDEX(PRENOTAZIONI!$F:$F,SMALL(PRENOTAZIONI!$V:$V,1)),"")</f>
        <v>2 ad</v>
      </c>
      <c r="F4" s="250" t="str">
        <f>IFERROR(INDEX(PRENOTAZIONI!$G:$G,SMALL(PRENOTAZIONI!$V:$V,1)),"")</f>
        <v>booking.com</v>
      </c>
      <c r="G4" s="251">
        <f>IFERROR(INDEX(PRENOTAZIONI!$H:$H,SMALL(PRENOTAZIONI!$V:$V,1)),"")</f>
        <v>475.13</v>
      </c>
      <c r="H4" s="251">
        <f t="shared" ref="H4:H35" si="1">IF(AND(G4&lt;&gt;"",C4&lt;&gt;"",C4&lt;&gt;0),G4/C4,"")</f>
        <v>79.188333333333333</v>
      </c>
      <c r="I4" s="251">
        <f t="shared" ref="I4:I35" si="2">IF(G4="","",IF(NOT(ISERROR(SEARCH("diretta",F4))),0,IF(NOT(ISERROR(SEARCH("booking",F4))),G4*0.15,IF(NOT(ISERROR(SEARCH("airbnb",F4))),G4*0.155,""))))</f>
        <v>71.269499999999994</v>
      </c>
      <c r="J4" s="253">
        <f t="shared" ref="J4:J35" si="3">IF(I4&lt;&gt;"",I4*0.22,"")</f>
        <v>15.679289999999998</v>
      </c>
      <c r="K4" s="250" t="str">
        <f>IFERROR(INDEX(PRENOTAZIONI!$K:$K,SMALL(PRENOTAZIONI!$V:$V,1)),"")</f>
        <v>VISA</v>
      </c>
      <c r="L4" s="251">
        <f>IFERROR(INDEX(PRENOTAZIONI!$L:$L,SMALL(PRENOTAZIONI!$V:$V,1)),"")</f>
        <v>4</v>
      </c>
      <c r="M4" s="254">
        <f t="shared" ref="M4:M35" si="4">IF(G4&lt;&gt;"",G4*0.21,"")</f>
        <v>99.777299999999997</v>
      </c>
      <c r="N4" s="251">
        <f t="shared" ref="N4:N35" si="5">IF(G4&lt;&gt;"",G4*0.25,"")</f>
        <v>118.7825</v>
      </c>
      <c r="O4" s="251">
        <v>50</v>
      </c>
      <c r="P4" s="255"/>
      <c r="Q4" s="254">
        <f t="shared" ref="Q4:Q35" si="6">IF(G4&lt;&gt;"",G4-I4-J4-M4-N4-O4,"")</f>
        <v>119.62141</v>
      </c>
      <c r="R4" s="256" t="str">
        <f>IFERROR(INDEX(PRENOTAZIONI!$R:$R,SMALL(PRENOTAZIONI!$V:$V,1)),"")</f>
        <v>NON RIMBORSABILE</v>
      </c>
      <c r="S4" s="233" t="s">
        <v>274</v>
      </c>
      <c r="T4" s="94">
        <f>IFERROR(INDEX(PRENOTAZIONI!$A:$A,SMALL(PRENOTAZIONI!$AJ:$AJ,1)),"")</f>
        <v>46029</v>
      </c>
      <c r="U4" s="31">
        <f>IFERROR(INDEX(PRENOTAZIONI!$B:$B,SMALL(PRENOTAZIONI!$AJ:$AJ,1)),"")</f>
        <v>46052</v>
      </c>
      <c r="V4" s="32">
        <f t="shared" ref="V4:V33" si="7">IF(T4&lt;&gt;"",U4-T4,"")</f>
        <v>23</v>
      </c>
      <c r="W4" s="34" t="str">
        <f>IFERROR(INDEX(PRENOTAZIONI!$E:$E,SMALL(PRENOTAZIONI!$AJ:$AJ,1)),"")</f>
        <v>Filomena Adduocchio</v>
      </c>
      <c r="X4" s="34" t="str">
        <f>IFERROR(INDEX(PRENOTAZIONI!$F:$F,SMALL(PRENOTAZIONI!$AJ:$AJ,1)),"")</f>
        <v>1 ad</v>
      </c>
      <c r="Y4" s="35">
        <f>IFERROR(INDEX(PRENOTAZIONI!$H:$H,SMALL(PRENOTAZIONI!$AJ:$AJ,1)),"")</f>
        <v>300</v>
      </c>
      <c r="Z4" s="34" t="str">
        <f>IFERROR(INDEX(PRENOTAZIONI!$K:$K,SMALL(PRENOTAZIONI!$AJ:$AJ,1)),"")</f>
        <v>contanti</v>
      </c>
      <c r="AA4" s="34" t="s">
        <v>269</v>
      </c>
      <c r="AB4" s="34" t="s">
        <v>270</v>
      </c>
      <c r="AC4" s="40">
        <f t="shared" ref="AC4:AC33" si="8">IF(Y4&lt;&gt;"",Y4*0.25,"")</f>
        <v>75</v>
      </c>
      <c r="AD4" s="41">
        <f t="shared" ref="AD4:AD33" si="9">IF(Y4&lt;&gt;"",Y4-AC4,"")</f>
        <v>225</v>
      </c>
      <c r="AE4" s="97"/>
      <c r="AF4" s="38"/>
      <c r="AG4" s="113" t="s">
        <v>174</v>
      </c>
      <c r="AH4" s="114">
        <f>SUMPRODUCT((MONTH(PRENOTAZIONI!$A$3:$A$262)=1)*(YEAR(PRENOTAZIONI!$A$3:$A$262)=2026)*(PRENOTAZIONI!$D$3:$D$262="Casa nel Borgo"))</f>
        <v>1</v>
      </c>
      <c r="AI4" s="114">
        <f>SUMPRODUCT((PRENOTAZIONI!$A$3:$A$262&lt;DATE(2026,2,1))*(PRENOTAZIONI!$B$3:$B$262&gt;DATE(2026,1,1))*(YEAR(PRENOTAZIONI!$A$3:$A$262)=2026)*(PRENOTAZIONI!$D$3:$D$262="Casa nel Borgo")*((PRENOTAZIONI!$B$3:$B$262*(PRENOTAZIONI!$B$3:$B$262&lt;DATE(2026,2,1))+DATE(2026,2,1)*(PRENOTAZIONI!$B$3:$B$262&gt;=DATE(2026,2,1)))-(PRENOTAZIONI!$A$3:$A$262*(PRENOTAZIONI!$A$3:$A$262&gt;DATE(2026,1,1))+DATE(2026,1,1)*(PRENOTAZIONI!$A$3:$A$262&lt;=DATE(2026,1,1)))))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23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59" ht="20" customHeight="1" x14ac:dyDescent="0.2">
      <c r="A5" s="260">
        <f>IFERROR(INDEX(PRENOTAZIONI!$A:$A,SMALL(PRENOTAZIONI!$V:$V,2)),"")</f>
        <v>46114</v>
      </c>
      <c r="B5" s="261">
        <f>IFERROR(INDEX(PRENOTAZIONI!$B:$B,SMALL(PRENOTAZIONI!$V:$V,2)),"")</f>
        <v>46118</v>
      </c>
      <c r="C5" s="262">
        <f t="shared" si="0"/>
        <v>4</v>
      </c>
      <c r="D5" s="263" t="str">
        <f>IFERROR(INDEX(PRENOTAZIONI!$E:$E,SMALL(PRENOTAZIONI!$V:$V,2)),"")</f>
        <v>Tommaso Rossini</v>
      </c>
      <c r="E5" s="263" t="str">
        <f>IFERROR(INDEX(PRENOTAZIONI!$F:$F,SMALL(PRENOTAZIONI!$V:$V,2)),"")</f>
        <v>2 ad 1 b</v>
      </c>
      <c r="F5" s="263" t="str">
        <f>IFERROR(INDEX(PRENOTAZIONI!$G:$G,SMALL(PRENOTAZIONI!$V:$V,2)),"")</f>
        <v>booking.com</v>
      </c>
      <c r="G5" s="231">
        <f>IFERROR(INDEX(PRENOTAZIONI!$H:$H,SMALL(PRENOTAZIONI!$V:$V,2)),"")</f>
        <v>383.08</v>
      </c>
      <c r="H5" s="231">
        <f t="shared" si="1"/>
        <v>95.77</v>
      </c>
      <c r="I5" s="231">
        <f t="shared" si="2"/>
        <v>57.461999999999996</v>
      </c>
      <c r="J5" s="264">
        <f t="shared" si="3"/>
        <v>12.641639999999999</v>
      </c>
      <c r="K5" s="263" t="str">
        <f>IFERROR(INDEX(PRENOTAZIONI!$K:$K,SMALL(PRENOTAZIONI!$V:$V,2)),"")</f>
        <v>BONIFICO</v>
      </c>
      <c r="L5" s="231">
        <f>IFERROR(INDEX(PRENOTAZIONI!$L:$L,SMALL(PRENOTAZIONI!$V:$V,2)),"")</f>
        <v>4</v>
      </c>
      <c r="M5" s="265">
        <f t="shared" si="4"/>
        <v>80.446799999999996</v>
      </c>
      <c r="N5" s="231">
        <f t="shared" si="5"/>
        <v>95.77</v>
      </c>
      <c r="O5" s="231">
        <v>10</v>
      </c>
      <c r="P5" s="266"/>
      <c r="Q5" s="265">
        <f t="shared" si="6"/>
        <v>126.75956000000002</v>
      </c>
      <c r="R5" s="263">
        <f>IFERROR(INDEX(PRENOTAZIONI!$R:$R,SMALL(PRENOTAZIONI!$V:$V,2)),"")</f>
        <v>0</v>
      </c>
      <c r="S5" s="233" t="s">
        <v>275</v>
      </c>
      <c r="T5" s="94">
        <f>IFERROR(INDEX(PRENOTAZIONI!$A:$A,SMALL(PRENOTAZIONI!$AJ:$AJ,2)),"")</f>
        <v>46055</v>
      </c>
      <c r="U5" s="31">
        <f>IFERROR(INDEX(PRENOTAZIONI!$B:$B,SMALL(PRENOTAZIONI!$AJ:$AJ,2)),"")</f>
        <v>46064</v>
      </c>
      <c r="V5" s="32">
        <f t="shared" si="7"/>
        <v>9</v>
      </c>
      <c r="W5" s="34" t="str">
        <f>IFERROR(INDEX(PRENOTAZIONI!$E:$E,SMALL(PRENOTAZIONI!$AJ:$AJ,2)),"")</f>
        <v>Filomena Adduocchio</v>
      </c>
      <c r="X5" s="34" t="str">
        <f>IFERROR(INDEX(PRENOTAZIONI!$F:$F,SMALL(PRENOTAZIONI!$AJ:$AJ,2)),"")</f>
        <v>1 ad</v>
      </c>
      <c r="Y5" s="35">
        <f>IFERROR(INDEX(PRENOTAZIONI!$H:$H,SMALL(PRENOTAZIONI!$AJ:$AJ,2)),"")</f>
        <v>300</v>
      </c>
      <c r="Z5" s="34" t="str">
        <f>IFERROR(INDEX(PRENOTAZIONI!$K:$K,SMALL(PRENOTAZIONI!$AJ:$AJ,2)),"")</f>
        <v>contanti</v>
      </c>
      <c r="AA5" s="34" t="s">
        <v>269</v>
      </c>
      <c r="AB5" s="34" t="s">
        <v>270</v>
      </c>
      <c r="AC5" s="40">
        <f t="shared" si="8"/>
        <v>75</v>
      </c>
      <c r="AD5" s="41">
        <f t="shared" si="9"/>
        <v>225</v>
      </c>
      <c r="AF5" s="38"/>
      <c r="AG5" s="113" t="s">
        <v>182</v>
      </c>
      <c r="AH5" s="114">
        <f>SUMPRODUCT((MONTH(PRENOTAZIONI!$A$3:$A$262)=2)*(YEAR(PRENOTAZIONI!$A$3:$A$262)=2026)*(PRENOTAZIONI!$D$3:$D$262="Casa nel Borgo"))</f>
        <v>3</v>
      </c>
      <c r="AI5" s="114">
        <f>SUMPRODUCT((PRENOTAZIONI!$A$3:$A$262&lt;DATE(2026,3,1))*(PRENOTAZIONI!$B$3:$B$262&gt;DATE(2026,2,1))*(YEAR(PRENOTAZIONI!$A$3:$A$262)=2026)*(PRENOTAZIONI!$D$3:$D$262="Casa nel Borgo")*((PRENOTAZIONI!$B$3:$B$262*(PRENOTAZIONI!$B$3:$B$262&lt;DATE(2026,3,1))+DATE(2026,3,1)*(PRENOTAZIONI!$B$3:$B$262&gt;=DATE(2026,3,1)))-(PRENOTAZIONI!$A$3:$A$262*(PRENOTAZIONI!$A$3:$A$262&gt;DATE(2026,2,1))+DATE(2026,2,1)*(PRENOTAZIONI!$A$3:$A$262&lt;=DATE(2026,2,1)))))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25</v>
      </c>
      <c r="AJ5" s="151">
        <f>SUMIF(A4:A33,"&gt;="&amp;DATE(2026,2,1),G4:G33)-SUMIF(A4:A33,"&gt;="&amp;DATE(2026,3,1),G4:G33)</f>
        <v>475.13000000000011</v>
      </c>
      <c r="AK5" s="151">
        <f>SUMIF(A4:A33,"&gt;="&amp;DATE(2026,2,1),I4:I33)-SUMIF(A4:A33,"&gt;="&amp;DATE(2026,3,1),I4:I33)</f>
        <v>71.269499999999994</v>
      </c>
      <c r="AL5" s="151">
        <f>SUMIF(A4:A33,"&gt;="&amp;DATE(2026,2,1),L4:L33)-SUMIF(A4:A33,"&gt;="&amp;DATE(2026,3,1),L4:L33)</f>
        <v>4</v>
      </c>
      <c r="AM5" s="151">
        <f>SUMIF(A4:A33,"&gt;="&amp;DATE(2026,2,1),N4:N33)-SUMIF(A4:A33,"&gt;="&amp;DATE(2026,3,1),N4:N33)</f>
        <v>118.78250000000003</v>
      </c>
      <c r="AN5" s="152">
        <f>SUMIF(A4:A33,"&gt;="&amp;DATE(2026,2,1),M4:M33)-SUMIF(A4:A33,"&gt;="&amp;DATE(2026,3,1),M4:M33)</f>
        <v>99.777299999999968</v>
      </c>
      <c r="AO5" s="152">
        <f>SUMIF(A4:A33,"&gt;="&amp;DATE(2026,2,1),J4:J33)-SUMIF(A4:A33,"&gt;="&amp;DATE(2026,3,1),J4:J33)</f>
        <v>15.679289999999995</v>
      </c>
      <c r="AP5" s="153">
        <f>SUMIF(A4:A33,"&gt;="&amp;DATE(2026,2,1),Q4:Q33)-SUMIF(A4:A33,"&gt;="&amp;DATE(2026,3,1),Q4:Q33)</f>
        <v>119.62140999999997</v>
      </c>
    </row>
    <row r="6" spans="1:59" ht="20" customHeight="1" thickBot="1" x14ac:dyDescent="0.25">
      <c r="A6" s="267">
        <f>IFERROR(INDEX(PRENOTAZIONI!$A:$A,SMALL(PRENOTAZIONI!$V:$V,3)),"")</f>
        <v>46134</v>
      </c>
      <c r="B6" s="268">
        <f>IFERROR(INDEX(PRENOTAZIONI!$B:$B,SMALL(PRENOTAZIONI!$V:$V,3)),"")</f>
        <v>46136</v>
      </c>
      <c r="C6" s="269">
        <f t="shared" si="0"/>
        <v>2</v>
      </c>
      <c r="D6" s="270" t="str">
        <f>IFERROR(INDEX(PRENOTAZIONI!$E:$E,SMALL(PRENOTAZIONI!$V:$V,3)),"")</f>
        <v>Marina Alves</v>
      </c>
      <c r="E6" s="270" t="str">
        <f>IFERROR(INDEX(PRENOTAZIONI!$F:$F,SMALL(PRENOTAZIONI!$V:$V,3)),"")</f>
        <v>1 ad</v>
      </c>
      <c r="F6" s="270" t="str">
        <f>IFERROR(INDEX(PRENOTAZIONI!$G:$G,SMALL(PRENOTAZIONI!$V:$V,3)),"")</f>
        <v>Airbnb</v>
      </c>
      <c r="G6" s="232">
        <f>IFERROR(INDEX(PRENOTAZIONI!$H:$H,SMALL(PRENOTAZIONI!$V:$V,3)),"")</f>
        <v>196</v>
      </c>
      <c r="H6" s="232">
        <f t="shared" si="1"/>
        <v>98</v>
      </c>
      <c r="I6" s="232">
        <f t="shared" si="2"/>
        <v>30.38</v>
      </c>
      <c r="J6" s="271">
        <f t="shared" si="3"/>
        <v>6.6836000000000002</v>
      </c>
      <c r="K6" s="270" t="str">
        <f>IFERROR(INDEX(PRENOTAZIONI!$K:$K,SMALL(PRENOTAZIONI!$V:$V,3)),"")</f>
        <v>Airbnb</v>
      </c>
      <c r="L6" s="272">
        <f>IFERROR(INDEX(PRENOTAZIONI!$L:$L,SMALL(PRENOTAZIONI!$V:$V,3)),"")</f>
        <v>2</v>
      </c>
      <c r="M6" s="211">
        <f t="shared" si="4"/>
        <v>41.16</v>
      </c>
      <c r="N6" s="273">
        <f t="shared" si="5"/>
        <v>49</v>
      </c>
      <c r="O6" s="232">
        <v>0</v>
      </c>
      <c r="P6" s="274"/>
      <c r="Q6" s="275">
        <f t="shared" si="6"/>
        <v>68.776399999999995</v>
      </c>
      <c r="R6" s="276">
        <f>IFERROR(INDEX(PRENOTAZIONI!$R:$R,SMALL(PRENOTAZIONI!$V:$V,3)),"")</f>
        <v>0</v>
      </c>
      <c r="S6" s="228"/>
      <c r="T6" s="94">
        <f>IFERROR(INDEX(PRENOTAZIONI!$A:$A,SMALL(PRENOTAZIONI!$AJ:$AJ,3)),"")</f>
        <v>46072</v>
      </c>
      <c r="U6" s="31">
        <f>IFERROR(INDEX(PRENOTAZIONI!$B:$B,SMALL(PRENOTAZIONI!$AJ:$AJ,3)),"")</f>
        <v>46089</v>
      </c>
      <c r="V6" s="32">
        <f t="shared" si="7"/>
        <v>17</v>
      </c>
      <c r="W6" s="34" t="str">
        <f>IFERROR(INDEX(PRENOTAZIONI!$E:$E,SMALL(PRENOTAZIONI!$AJ:$AJ,3)),"")</f>
        <v>Filomena Adduocchio</v>
      </c>
      <c r="X6" s="34" t="str">
        <f>IFERROR(INDEX(PRENOTAZIONI!$F:$F,SMALL(PRENOTAZIONI!$AJ:$AJ,3)),"")</f>
        <v>1 ad</v>
      </c>
      <c r="Y6" s="35">
        <f>IFERROR(INDEX(PRENOTAZIONI!$H:$H,SMALL(PRENOTAZIONI!$AJ:$AJ,3)),"")</f>
        <v>300</v>
      </c>
      <c r="Z6" s="34" t="str">
        <f>IFERROR(INDEX(PRENOTAZIONI!$K:$K,SMALL(PRENOTAZIONI!$AJ:$AJ,3)),"")</f>
        <v>contanti</v>
      </c>
      <c r="AA6" s="34" t="s">
        <v>269</v>
      </c>
      <c r="AB6" s="34" t="s">
        <v>270</v>
      </c>
      <c r="AC6" s="40">
        <f t="shared" si="8"/>
        <v>75</v>
      </c>
      <c r="AD6" s="41">
        <f t="shared" si="9"/>
        <v>225</v>
      </c>
      <c r="AF6" s="38"/>
      <c r="AG6" s="113" t="s">
        <v>183</v>
      </c>
      <c r="AH6" s="114">
        <f>SUMPRODUCT((MONTH(PRENOTAZIONI!$A$3:$A$262)=3)*(YEAR(PRENOTAZIONI!$A$3:$A$262)=2026)*(PRENOTAZIONI!$D$3:$D$262="Casa nel Borgo"))</f>
        <v>1</v>
      </c>
      <c r="AI6" s="114">
        <f>SUMPRODUCT((PRENOTAZIONI!$A$3:$A$262&lt;DATE(2026,4,1))*(PRENOTAZIONI!$B$3:$B$262&gt;DATE(2026,3,1))*(YEAR(PRENOTAZIONI!$A$3:$A$262)=2026)*(PRENOTAZIONI!$D$3:$D$262="Casa nel Borgo")*((PRENOTAZIONI!$B$3:$B$262*(PRENOTAZIONI!$B$3:$B$262&lt;DATE(2026,4,1))+DATE(2026,4,1)*(PRENOTAZIONI!$B$3:$B$262&gt;=DATE(2026,4,1)))-(PRENOTAZIONI!$A$3:$A$262*(PRENOTAZIONI!$A$3:$A$262&gt;DATE(2026,3,1))+DATE(2026,3,1)*(PRENOTAZIONI!$A$3:$A$262&lt;=DATE(2026,3,1)))))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20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59" ht="20" customHeight="1" x14ac:dyDescent="0.2">
      <c r="A7" s="157">
        <f>IFERROR(INDEX(PRENOTAZIONI!$A:$A,SMALL(PRENOTAZIONI!$V:$V,4)),"")</f>
        <v>46231</v>
      </c>
      <c r="B7" s="157">
        <f>IFERROR(INDEX(PRENOTAZIONI!$B:$B,SMALL(PRENOTAZIONI!$V:$V,4)),"")</f>
        <v>46237</v>
      </c>
      <c r="C7" s="158">
        <f t="shared" si="0"/>
        <v>6</v>
      </c>
      <c r="D7" s="159" t="str">
        <f>IFERROR(INDEX(PRENOTAZIONI!$E:$E,SMALL(PRENOTAZIONI!$V:$V,4)),"")</f>
        <v>Donatella Chiodo</v>
      </c>
      <c r="E7" s="159" t="str">
        <f>IFERROR(INDEX(PRENOTAZIONI!$F:$F,SMALL(PRENOTAZIONI!$V:$V,4)),"")</f>
        <v>2 ad</v>
      </c>
      <c r="F7" s="159" t="str">
        <f>IFERROR(INDEX(PRENOTAZIONI!$G:$G,SMALL(PRENOTAZIONI!$V:$V,4)),"")</f>
        <v>diretta</v>
      </c>
      <c r="G7" s="160">
        <f>IFERROR(INDEX(PRENOTAZIONI!$H:$H,SMALL(PRENOTAZIONI!$V:$V,4)),"")</f>
        <v>420</v>
      </c>
      <c r="H7" s="160">
        <f t="shared" si="1"/>
        <v>70</v>
      </c>
      <c r="I7" s="160">
        <f t="shared" si="2"/>
        <v>0</v>
      </c>
      <c r="J7" s="161">
        <f t="shared" si="3"/>
        <v>0</v>
      </c>
      <c r="K7" s="159" t="str">
        <f>IFERROR(INDEX(PRENOTAZIONI!$K:$K,SMALL(PRENOTAZIONI!$V:$V,4)),"")</f>
        <v>MASTER</v>
      </c>
      <c r="L7" s="160">
        <f>IFERROR(INDEX(PRENOTAZIONI!$L:$L,SMALL(PRENOTAZIONI!$V:$V,4)),"")</f>
        <v>4</v>
      </c>
      <c r="M7" s="154">
        <f t="shared" si="4"/>
        <v>88.2</v>
      </c>
      <c r="N7" s="160">
        <f t="shared" si="5"/>
        <v>105</v>
      </c>
      <c r="O7" s="160"/>
      <c r="P7" s="162"/>
      <c r="Q7" s="154">
        <f t="shared" si="6"/>
        <v>226.8</v>
      </c>
      <c r="R7" s="209">
        <f>IFERROR(INDEX(PRENOTAZIONI!$R:$R,SMALL(PRENOTAZIONI!$V:$V,4)),"")</f>
        <v>0</v>
      </c>
      <c r="S7" s="95"/>
      <c r="T7" s="94">
        <f>IFERROR(INDEX(PRENOTAZIONI!$A:$A,SMALL(PRENOTAZIONI!$AJ:$AJ,4)),"")</f>
        <v>46097</v>
      </c>
      <c r="U7" s="31">
        <f>IFERROR(INDEX(PRENOTAZIONI!$B:$B,SMALL(PRENOTAZIONI!$AJ:$AJ,4)),"")</f>
        <v>46110</v>
      </c>
      <c r="V7" s="32">
        <f t="shared" si="7"/>
        <v>13</v>
      </c>
      <c r="W7" s="34" t="str">
        <f>IFERROR(INDEX(PRENOTAZIONI!$E:$E,SMALL(PRENOTAZIONI!$AJ:$AJ,4)),"")</f>
        <v>Filomena Adduocchio</v>
      </c>
      <c r="X7" s="34" t="str">
        <f>IFERROR(INDEX(PRENOTAZIONI!$F:$F,SMALL(PRENOTAZIONI!$AJ:$AJ,4)),"")</f>
        <v>2 ad</v>
      </c>
      <c r="Y7" s="35">
        <f>IFERROR(INDEX(PRENOTAZIONI!$H:$H,SMALL(PRENOTAZIONI!$AJ:$AJ,4)),"")</f>
        <v>300</v>
      </c>
      <c r="Z7" s="34" t="str">
        <f>IFERROR(INDEX(PRENOTAZIONI!$K:$K,SMALL(PRENOTAZIONI!$AJ:$AJ,4)),"")</f>
        <v>contanti</v>
      </c>
      <c r="AA7" s="34" t="s">
        <v>269</v>
      </c>
      <c r="AB7" s="34" t="s">
        <v>270</v>
      </c>
      <c r="AC7" s="40">
        <f t="shared" si="8"/>
        <v>75</v>
      </c>
      <c r="AD7" s="41">
        <f t="shared" si="9"/>
        <v>225</v>
      </c>
      <c r="AF7" s="38"/>
      <c r="AG7" s="113" t="s">
        <v>184</v>
      </c>
      <c r="AH7" s="114">
        <f>SUMPRODUCT((MONTH(PRENOTAZIONI!$A$3:$A$262)=4)*(YEAR(PRENOTAZIONI!$A$3:$A$262)=2026)*(PRENOTAZIONI!$D$3:$D$262="Casa nel Borgo"))</f>
        <v>2</v>
      </c>
      <c r="AI7" s="114">
        <f>SUMPRODUCT((PRENOTAZIONI!$A$3:$A$262&lt;DATE(2026,5,1))*(PRENOTAZIONI!$B$3:$B$262&gt;DATE(2026,4,1))*(YEAR(PRENOTAZIONI!$A$3:$A$262)=2026)*(PRENOTAZIONI!$D$3:$D$262="Casa nel Borgo")*((PRENOTAZIONI!$B$3:$B$262*(PRENOTAZIONI!$B$3:$B$262&lt;DATE(2026,5,1))+DATE(2026,5,1)*(PRENOTAZIONI!$B$3:$B$262&gt;=DATE(2026,5,1)))-(PRENOTAZIONI!$A$3:$A$262*(PRENOTAZIONI!$A$3:$A$262&gt;DATE(2026,4,1))+DATE(2026,4,1)*(PRENOTAZIONI!$A$3:$A$262&lt;=DATE(2026,4,1)))))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6</v>
      </c>
      <c r="AJ7" s="151">
        <f>SUMIF(A4:A33,"&gt;="&amp;DATE(2026,4,1),G4:G33)-SUMIF(A4:A33,"&gt;="&amp;DATE(2026,5,1),G4:G33)</f>
        <v>579.07999999999993</v>
      </c>
      <c r="AK7" s="151">
        <f>SUMIF(A4:A33,"&gt;="&amp;DATE(2026,4,1),I4:I33)-SUMIF(A4:A33,"&gt;="&amp;DATE(2026,5,1),I4:I33)</f>
        <v>87.841999999999985</v>
      </c>
      <c r="AL7" s="151">
        <f>SUMIF(A4:A33,"&gt;="&amp;DATE(2026,4,1),L4:L33)-SUMIF(A4:A33,"&gt;="&amp;DATE(2026,5,1),L4:L33)</f>
        <v>6</v>
      </c>
      <c r="AM7" s="151">
        <f>SUMIF(A4:A33,"&gt;="&amp;DATE(2026,4,1),N4:N33)-SUMIF(A4:A33,"&gt;="&amp;DATE(2026,5,1),N4:N33)</f>
        <v>144.76999999999998</v>
      </c>
      <c r="AN7" s="152">
        <f>SUMIF(A4:A33,"&gt;="&amp;DATE(2026,4,1),M4:M33)-SUMIF(A4:A33,"&gt;="&amp;DATE(2026,5,1),M4:M33)</f>
        <v>121.60680000000002</v>
      </c>
      <c r="AO7" s="152">
        <f>SUMIF(A4:A33,"&gt;="&amp;DATE(2026,4,1),J4:J33)-SUMIF(A4:A33,"&gt;="&amp;DATE(2026,5,1),J4:J33)</f>
        <v>19.325240000000008</v>
      </c>
      <c r="AP7" s="153">
        <f>SUMIF(A4:A33,"&gt;="&amp;DATE(2026,4,1),Q4:Q33)-SUMIF(A4:A33,"&gt;="&amp;DATE(2026,5,1),Q4:Q33)</f>
        <v>195.53595999999993</v>
      </c>
    </row>
    <row r="8" spans="1:59" ht="20" customHeight="1" x14ac:dyDescent="0.2">
      <c r="A8" s="31">
        <f>IFERROR(INDEX(PRENOTAZIONI!$A:$A,SMALL(PRENOTAZIONI!$V:$V,5)),"")</f>
        <v>46237</v>
      </c>
      <c r="B8" s="31">
        <f>IFERROR(INDEX(PRENOTAZIONI!$B:$B,SMALL(PRENOTAZIONI!$V:$V,5)),"")</f>
        <v>46241</v>
      </c>
      <c r="C8" s="32">
        <f t="shared" si="0"/>
        <v>4</v>
      </c>
      <c r="D8" s="34" t="str">
        <f>IFERROR(INDEX(PRENOTAZIONI!$E:$E,SMALL(PRENOTAZIONI!$V:$V,5)),"")</f>
        <v>Antonio Salzano</v>
      </c>
      <c r="E8" s="34" t="str">
        <f>IFERROR(INDEX(PRENOTAZIONI!$F:$F,SMALL(PRENOTAZIONI!$V:$V,5)),"")</f>
        <v>2 ad</v>
      </c>
      <c r="F8" s="34" t="str">
        <f>IFERROR(INDEX(PRENOTAZIONI!$G:$G,SMALL(PRENOTAZIONI!$V:$V,5)),"")</f>
        <v>booking.com</v>
      </c>
      <c r="G8" s="35">
        <f>IFERROR(INDEX(PRENOTAZIONI!$H:$H,SMALL(PRENOTAZIONI!$V:$V,5)),"")</f>
        <v>345.34</v>
      </c>
      <c r="H8" s="35">
        <f t="shared" si="1"/>
        <v>86.334999999999994</v>
      </c>
      <c r="I8" s="35">
        <f t="shared" si="2"/>
        <v>51.800999999999995</v>
      </c>
      <c r="J8" s="149">
        <f t="shared" si="3"/>
        <v>11.39622</v>
      </c>
      <c r="K8" s="34" t="str">
        <f>IFERROR(INDEX(PRENOTAZIONI!$K:$K,SMALL(PRENOTAZIONI!$V:$V,5)),"")</f>
        <v>MASTER</v>
      </c>
      <c r="L8" s="35">
        <f>IFERROR(INDEX(PRENOTAZIONI!$L:$L,SMALL(PRENOTAZIONI!$V:$V,5)),"")</f>
        <v>4</v>
      </c>
      <c r="M8" s="150">
        <f t="shared" si="4"/>
        <v>72.521399999999986</v>
      </c>
      <c r="N8" s="35">
        <f t="shared" si="5"/>
        <v>86.334999999999994</v>
      </c>
      <c r="O8" s="35"/>
      <c r="P8" s="43"/>
      <c r="Q8" s="150">
        <f t="shared" si="6"/>
        <v>123.28638000000005</v>
      </c>
      <c r="R8" s="47">
        <f>IFERROR(INDEX(PRENOTAZIONI!$R:$R,SMALL(PRENOTAZIONI!$V:$V,5)),"")</f>
        <v>0</v>
      </c>
      <c r="S8" s="95"/>
      <c r="T8" s="94">
        <f>IFERROR(INDEX(PRENOTAZIONI!$A:$A,SMALL(PRENOTAZIONI!$AJ:$AJ,5)),"")</f>
        <v>46221</v>
      </c>
      <c r="U8" s="31">
        <f>IFERROR(INDEX(PRENOTAZIONI!$B:$B,SMALL(PRENOTAZIONI!$AJ:$AJ,5)),"")</f>
        <v>46229</v>
      </c>
      <c r="V8" s="32">
        <f t="shared" si="7"/>
        <v>8</v>
      </c>
      <c r="W8" s="34" t="str">
        <f>IFERROR(INDEX(PRENOTAZIONI!$E:$E,SMALL(PRENOTAZIONI!$AJ:$AJ,5)),"")</f>
        <v>Giorgio Gangiulio</v>
      </c>
      <c r="X8" s="34" t="str">
        <f>IFERROR(INDEX(PRENOTAZIONI!$F:$F,SMALL(PRENOTAZIONI!$AJ:$AJ,5)),"")</f>
        <v>1 ad</v>
      </c>
      <c r="Y8" s="35">
        <f>IFERROR(INDEX(PRENOTAZIONI!$H:$H,SMALL(PRENOTAZIONI!$AJ:$AJ,5)),"")</f>
        <v>520</v>
      </c>
      <c r="Z8" s="34" t="str">
        <f>IFERROR(INDEX(PRENOTAZIONI!$K:$K,SMALL(PRENOTAZIONI!$AJ:$AJ,5)),"")</f>
        <v>contanti</v>
      </c>
      <c r="AA8" s="34"/>
      <c r="AB8" s="34"/>
      <c r="AC8" s="40">
        <f t="shared" si="8"/>
        <v>130</v>
      </c>
      <c r="AD8" s="41">
        <f t="shared" si="9"/>
        <v>390</v>
      </c>
      <c r="AF8" s="38"/>
      <c r="AG8" s="113" t="s">
        <v>185</v>
      </c>
      <c r="AH8" s="114">
        <f>SUMPRODUCT((MONTH(PRENOTAZIONI!$A$3:$A$262)=5)*(YEAR(PRENOTAZIONI!$A$3:$A$262)=2026)*(PRENOTAZIONI!$D$3:$D$262="Casa nel Borgo"))</f>
        <v>0</v>
      </c>
      <c r="AI8" s="114">
        <f>SUMPRODUCT((PRENOTAZIONI!$A$3:$A$262&lt;DATE(2026,6,1))*(PRENOTAZIONI!$B$3:$B$262&gt;DATE(2026,5,1))*(YEAR(PRENOTAZIONI!$A$3:$A$262)=2026)*(PRENOTAZIONI!$D$3:$D$262="Casa nel Borgo")*((PRENOTAZIONI!$B$3:$B$262*(PRENOTAZIONI!$B$3:$B$262&lt;DATE(2026,6,1))+DATE(2026,6,1)*(PRENOTAZIONI!$B$3:$B$262&gt;=DATE(2026,6,1)))-(PRENOTAZIONI!$A$3:$A$262*(PRENOTAZIONI!$A$3:$A$262&gt;DATE(2026,5,1))+DATE(2026,5,1)*(PRENOTAZIONI!$A$3:$A$262&lt;=DATE(2026,5,1)))))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59" ht="20" customHeight="1" x14ac:dyDescent="0.2">
      <c r="A9" s="31">
        <f>IFERROR(INDEX(PRENOTAZIONI!$A:$A,SMALL(PRENOTAZIONI!$V:$V,6)),"")</f>
        <v>46242</v>
      </c>
      <c r="B9" s="31">
        <f>IFERROR(INDEX(PRENOTAZIONI!$B:$B,SMALL(PRENOTAZIONI!$V:$V,6)),"")</f>
        <v>46250</v>
      </c>
      <c r="C9" s="32">
        <f t="shared" si="0"/>
        <v>8</v>
      </c>
      <c r="D9" s="34" t="str">
        <f>IFERROR(INDEX(PRENOTAZIONI!$E:$E,SMALL(PRENOTAZIONI!$V:$V,6)),"")</f>
        <v>Pascal Nucara</v>
      </c>
      <c r="E9" s="34" t="str">
        <f>IFERROR(INDEX(PRENOTAZIONI!$F:$F,SMALL(PRENOTAZIONI!$V:$V,6)),"")</f>
        <v>2 ad 1 b</v>
      </c>
      <c r="F9" s="34" t="str">
        <f>IFERROR(INDEX(PRENOTAZIONI!$G:$G,SMALL(PRENOTAZIONI!$V:$V,6)),"")</f>
        <v>booking.com</v>
      </c>
      <c r="G9" s="35">
        <f>IFERROR(INDEX(PRENOTAZIONI!$H:$H,SMALL(PRENOTAZIONI!$V:$V,6)),"")</f>
        <v>1029.02</v>
      </c>
      <c r="H9" s="35">
        <f t="shared" si="1"/>
        <v>128.6275</v>
      </c>
      <c r="I9" s="35">
        <f t="shared" si="2"/>
        <v>154.35299999999998</v>
      </c>
      <c r="J9" s="149">
        <f t="shared" si="3"/>
        <v>33.957659999999997</v>
      </c>
      <c r="K9" s="34" t="str">
        <f>IFERROR(INDEX(PRENOTAZIONI!$K:$K,SMALL(PRENOTAZIONI!$V:$V,6)),"")</f>
        <v>contanti e master</v>
      </c>
      <c r="L9" s="35">
        <f>IFERROR(INDEX(PRENOTAZIONI!$L:$L,SMALL(PRENOTAZIONI!$V:$V,6)),"")</f>
        <v>6</v>
      </c>
      <c r="M9" s="150">
        <f t="shared" si="4"/>
        <v>216.0942</v>
      </c>
      <c r="N9" s="35">
        <f t="shared" si="5"/>
        <v>257.255</v>
      </c>
      <c r="O9" s="35"/>
      <c r="P9" s="43"/>
      <c r="Q9" s="150">
        <f t="shared" si="6"/>
        <v>367.36014</v>
      </c>
      <c r="R9" s="47">
        <f>IFERROR(INDEX(PRENOTAZIONI!$R:$R,SMALL(PRENOTAZIONI!$V:$V,6)),"")</f>
        <v>0</v>
      </c>
      <c r="S9" s="95"/>
      <c r="T9" s="94" t="str">
        <f>IFERROR(INDEX(PRENOTAZIONI!$A:$A,SMALL(PRENOTAZIONI!$AJ:$AJ,6)),"")</f>
        <v/>
      </c>
      <c r="U9" s="31" t="str">
        <f>IFERROR(INDEX(PRENOTAZIONI!$B:$B,SMALL(PRENOTAZIONI!$AJ:$AJ,6)),"")</f>
        <v/>
      </c>
      <c r="V9" s="32" t="str">
        <f t="shared" si="7"/>
        <v/>
      </c>
      <c r="W9" s="34" t="str">
        <f>IFERROR(INDEX(PRENOTAZIONI!$E:$E,SMALL(PRENOTAZIONI!$AJ:$AJ,6)),"")</f>
        <v/>
      </c>
      <c r="X9" s="34" t="str">
        <f>IFERROR(INDEX(PRENOTAZIONI!$F:$F,SMALL(PRENOTAZIONI!$AJ:$AJ,6)),"")</f>
        <v/>
      </c>
      <c r="Y9" s="35" t="str">
        <f>IFERROR(INDEX(PRENOTAZIONI!$H:$H,SMALL(PRENOTAZIONI!$AJ:$AJ,6)),"")</f>
        <v/>
      </c>
      <c r="Z9" s="34" t="str">
        <f>IFERROR(INDEX(PRENOTAZIONI!$K:$K,SMALL(PRENOTAZIONI!$AJ:$AJ,6)),"")</f>
        <v/>
      </c>
      <c r="AA9" s="34"/>
      <c r="AB9" s="34"/>
      <c r="AC9" s="40" t="str">
        <f t="shared" si="8"/>
        <v/>
      </c>
      <c r="AD9" s="41" t="str">
        <f t="shared" si="9"/>
        <v/>
      </c>
      <c r="AF9" s="38"/>
      <c r="AG9" s="113" t="s">
        <v>186</v>
      </c>
      <c r="AH9" s="114">
        <f>SUMPRODUCT((MONTH(PRENOTAZIONI!$A$3:$A$262)=6)*(YEAR(PRENOTAZIONI!$A$3:$A$262)=2026)*(PRENOTAZIONI!$D$3:$D$262="Casa nel Borgo"))</f>
        <v>0</v>
      </c>
      <c r="AI9" s="114">
        <f>SUMPRODUCT((PRENOTAZIONI!$A$3:$A$262&lt;DATE(2026,7,1))*(PRENOTAZIONI!$B$3:$B$262&gt;DATE(2026,6,1))*(YEAR(PRENOTAZIONI!$A$3:$A$262)=2026)*(PRENOTAZIONI!$D$3:$D$262="Casa nel Borgo")*((PRENOTAZIONI!$B$3:$B$262*(PRENOTAZIONI!$B$3:$B$262&lt;DATE(2026,7,1))+DATE(2026,7,1)*(PRENOTAZIONI!$B$3:$B$262&gt;=DATE(2026,7,1)))-(PRENOTAZIONI!$A$3:$A$262*(PRENOTAZIONI!$A$3:$A$262&gt;DATE(2026,6,1))+DATE(2026,6,1)*(PRENOTAZIONI!$A$3:$A$262&lt;=DATE(2026,6,1)))))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59" ht="20" customHeight="1" x14ac:dyDescent="0.2">
      <c r="A10" s="31">
        <f>IFERROR(INDEX(PRENOTAZIONI!$A:$A,SMALL(PRENOTAZIONI!$V:$V,7)),"")</f>
        <v>46250</v>
      </c>
      <c r="B10" s="31">
        <f>IFERROR(INDEX(PRENOTAZIONI!$B:$B,SMALL(PRENOTAZIONI!$V:$V,7)),"")</f>
        <v>46253</v>
      </c>
      <c r="C10" s="32">
        <f t="shared" si="0"/>
        <v>3</v>
      </c>
      <c r="D10" s="34" t="str">
        <f>IFERROR(INDEX(PRENOTAZIONI!$E:$E,SMALL(PRENOTAZIONI!$V:$V,7)),"")</f>
        <v>Carolin Prusseit</v>
      </c>
      <c r="E10" s="34" t="str">
        <f>IFERROR(INDEX(PRENOTAZIONI!$F:$F,SMALL(PRENOTAZIONI!$V:$V,7)),"")</f>
        <v>2 ad</v>
      </c>
      <c r="F10" s="34" t="str">
        <f>IFERROR(INDEX(PRENOTAZIONI!$G:$G,SMALL(PRENOTAZIONI!$V:$V,7)),"")</f>
        <v>booking.com</v>
      </c>
      <c r="G10" s="35">
        <f>IFERROR(INDEX(PRENOTAZIONI!$H:$H,SMALL(PRENOTAZIONI!$V:$V,7)),"")</f>
        <v>379.62</v>
      </c>
      <c r="H10" s="35">
        <f t="shared" si="1"/>
        <v>126.54</v>
      </c>
      <c r="I10" s="35">
        <f t="shared" si="2"/>
        <v>56.942999999999998</v>
      </c>
      <c r="J10" s="149">
        <f t="shared" si="3"/>
        <v>12.52746</v>
      </c>
      <c r="K10" s="34">
        <f>IFERROR(INDEX(PRENOTAZIONI!$K:$K,SMALL(PRENOTAZIONI!$V:$V,7)),"")</f>
        <v>0</v>
      </c>
      <c r="L10" s="35">
        <f>IFERROR(INDEX(PRENOTAZIONI!$L:$L,SMALL(PRENOTAZIONI!$V:$V,7)),"")</f>
        <v>0</v>
      </c>
      <c r="M10" s="150">
        <f t="shared" si="4"/>
        <v>79.720199999999991</v>
      </c>
      <c r="N10" s="35">
        <f t="shared" si="5"/>
        <v>94.905000000000001</v>
      </c>
      <c r="O10" s="35"/>
      <c r="P10" s="43"/>
      <c r="Q10" s="150">
        <f t="shared" si="6"/>
        <v>135.52434000000002</v>
      </c>
      <c r="R10" s="47">
        <f>IFERROR(INDEX(PRENOTAZIONI!$R:$R,SMALL(PRENOTAZIONI!$V:$V,7)),"")</f>
        <v>0</v>
      </c>
      <c r="S10" s="95"/>
      <c r="T10" s="94" t="str">
        <f>IFERROR(INDEX(PRENOTAZIONI!$A:$A,SMALL(PRENOTAZIONI!$AJ:$AJ,7)),"")</f>
        <v/>
      </c>
      <c r="U10" s="31" t="str">
        <f>IFERROR(INDEX(PRENOTAZIONI!$B:$B,SMALL(PRENOTAZIONI!$AJ:$AJ,7)),"")</f>
        <v/>
      </c>
      <c r="V10" s="32" t="str">
        <f t="shared" si="7"/>
        <v/>
      </c>
      <c r="W10" s="34" t="str">
        <f>IFERROR(INDEX(PRENOTAZIONI!$E:$E,SMALL(PRENOTAZIONI!$AJ:$AJ,7)),"")</f>
        <v/>
      </c>
      <c r="X10" s="34" t="str">
        <f>IFERROR(INDEX(PRENOTAZIONI!$F:$F,SMALL(PRENOTAZIONI!$AJ:$AJ,7)),"")</f>
        <v/>
      </c>
      <c r="Y10" s="35" t="str">
        <f>IFERROR(INDEX(PRENOTAZIONI!$H:$H,SMALL(PRENOTAZIONI!$AJ:$AJ,7)),"")</f>
        <v/>
      </c>
      <c r="Z10" s="34" t="str">
        <f>IFERROR(INDEX(PRENOTAZIONI!$K:$K,SMALL(PRENOTAZIONI!$AJ:$AJ,7)),"")</f>
        <v/>
      </c>
      <c r="AA10" s="34"/>
      <c r="AB10" s="34"/>
      <c r="AC10" s="40" t="str">
        <f t="shared" si="8"/>
        <v/>
      </c>
      <c r="AD10" s="41" t="str">
        <f t="shared" si="9"/>
        <v/>
      </c>
      <c r="AF10" s="38"/>
      <c r="AG10" s="113" t="s">
        <v>187</v>
      </c>
      <c r="AH10" s="114">
        <f>SUMPRODUCT((MONTH(PRENOTAZIONI!$A$3:$A$262)=7)*(YEAR(PRENOTAZIONI!$A$3:$A$262)=2026)*(PRENOTAZIONI!$D$3:$D$262="Casa nel Borgo"))</f>
        <v>2</v>
      </c>
      <c r="AI10" s="114">
        <f>SUMPRODUCT((PRENOTAZIONI!$A$3:$A$262&lt;DATE(2026,8,1))*(PRENOTAZIONI!$B$3:$B$262&gt;DATE(2026,7,1))*(YEAR(PRENOTAZIONI!$A$3:$A$262)=2026)*(PRENOTAZIONI!$D$3:$D$262="Casa nel Borgo")*((PRENOTAZIONI!$B$3:$B$262*(PRENOTAZIONI!$B$3:$B$262&lt;DATE(2026,8,1))+DATE(2026,8,1)*(PRENOTAZIONI!$B$3:$B$262&gt;=DATE(2026,8,1)))-(PRENOTAZIONI!$A$3:$A$262*(PRENOTAZIONI!$A$3:$A$262&gt;DATE(2026,7,1))+DATE(2026,7,1)*(PRENOTAZIONI!$A$3:$A$262&lt;=DATE(2026,7,1)))))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12</v>
      </c>
      <c r="AJ10" s="151">
        <f>SUMIF(A4:A33,"&gt;="&amp;DATE(2026,7,1),G4:G33)-SUMIF(A4:A33,"&gt;="&amp;DATE(2026,8,1),G4:G33)</f>
        <v>420</v>
      </c>
      <c r="AK10" s="151">
        <f>SUMIF(A4:A33,"&gt;="&amp;DATE(2026,7,1),I4:I33)-SUMIF(A4:A33,"&gt;="&amp;DATE(2026,8,1),I4:I33)</f>
        <v>0</v>
      </c>
      <c r="AL10" s="151">
        <f>SUMIF(A4:A33,"&gt;="&amp;DATE(2026,7,1),L4:L33)-SUMIF(A4:A33,"&gt;="&amp;DATE(2026,8,1),L4:L33)</f>
        <v>4</v>
      </c>
      <c r="AM10" s="151">
        <f>SUMIF(A4:A33,"&gt;="&amp;DATE(2026,7,1),N4:N33)-SUMIF(A4:A33,"&gt;="&amp;DATE(2026,8,1),N4:N33)</f>
        <v>105</v>
      </c>
      <c r="AN10" s="152">
        <f>SUMIF(A4:A33,"&gt;="&amp;DATE(2026,7,1),M4:M33)-SUMIF(A4:A33,"&gt;="&amp;DATE(2026,8,1),M4:M33)</f>
        <v>88.199999999999989</v>
      </c>
      <c r="AO10" s="152">
        <f>SUMIF(A4:A33,"&gt;="&amp;DATE(2026,7,1),J4:J33)-SUMIF(A4:A33,"&gt;="&amp;DATE(2026,8,1),J4:J33)</f>
        <v>0</v>
      </c>
      <c r="AP10" s="153">
        <f>SUMIF(A4:A33,"&gt;="&amp;DATE(2026,7,1),Q4:Q33)-SUMIF(A4:A33,"&gt;="&amp;DATE(2026,8,1),Q4:Q33)</f>
        <v>226.80000000000007</v>
      </c>
    </row>
    <row r="11" spans="1:59" ht="20" customHeight="1" x14ac:dyDescent="0.2">
      <c r="A11" s="31">
        <f>IFERROR(INDEX(PRENOTAZIONI!$A:$A,SMALL(PRENOTAZIONI!$V:$V,8)),"")</f>
        <v>46254</v>
      </c>
      <c r="B11" s="31">
        <f>IFERROR(INDEX(PRENOTAZIONI!$B:$B,SMALL(PRENOTAZIONI!$V:$V,8)),"")</f>
        <v>46259</v>
      </c>
      <c r="C11" s="32">
        <f t="shared" si="0"/>
        <v>5</v>
      </c>
      <c r="D11" s="34" t="str">
        <f>IFERROR(INDEX(PRENOTAZIONI!$E:$E,SMALL(PRENOTAZIONI!$V:$V,8)),"")</f>
        <v>Margaret Aitken</v>
      </c>
      <c r="E11" s="34" t="str">
        <f>IFERROR(INDEX(PRENOTAZIONI!$F:$F,SMALL(PRENOTAZIONI!$V:$V,8)),"")</f>
        <v>2 ad</v>
      </c>
      <c r="F11" s="34" t="str">
        <f>IFERROR(INDEX(PRENOTAZIONI!$G:$G,SMALL(PRENOTAZIONI!$V:$V,8)),"")</f>
        <v>booking.com</v>
      </c>
      <c r="G11" s="35">
        <f>IFERROR(INDEX(PRENOTAZIONI!$H:$H,SMALL(PRENOTAZIONI!$V:$V,8)),"")</f>
        <v>451.97</v>
      </c>
      <c r="H11" s="35">
        <f t="shared" si="1"/>
        <v>90.394000000000005</v>
      </c>
      <c r="I11" s="35">
        <f t="shared" si="2"/>
        <v>67.795500000000004</v>
      </c>
      <c r="J11" s="149">
        <f t="shared" si="3"/>
        <v>14.915010000000001</v>
      </c>
      <c r="K11" s="34" t="str">
        <f>IFERROR(INDEX(PRENOTAZIONI!$K:$K,SMALL(PRENOTAZIONI!$V:$V,8)),"")</f>
        <v>da prendere</v>
      </c>
      <c r="L11" s="35">
        <f>IFERROR(INDEX(PRENOTAZIONI!$L:$L,SMALL(PRENOTAZIONI!$V:$V,8)),"")</f>
        <v>0</v>
      </c>
      <c r="M11" s="150">
        <f t="shared" si="4"/>
        <v>94.913700000000006</v>
      </c>
      <c r="N11" s="35">
        <f t="shared" si="5"/>
        <v>112.99250000000001</v>
      </c>
      <c r="O11" s="35"/>
      <c r="P11" s="43"/>
      <c r="Q11" s="150">
        <f t="shared" si="6"/>
        <v>161.35329000000002</v>
      </c>
      <c r="R11" s="47" t="str">
        <f>IFERROR(INDEX(PRENOTAZIONI!$R:$R,SMALL(PRENOTAZIONI!$V:$V,8)),"")</f>
        <v>NON RIMBORSABILE</v>
      </c>
      <c r="S11" s="95"/>
      <c r="T11" s="94" t="str">
        <f>IFERROR(INDEX(PRENOTAZIONI!$A:$A,SMALL(PRENOTAZIONI!$AJ:$AJ,8)),"")</f>
        <v/>
      </c>
      <c r="U11" s="31" t="str">
        <f>IFERROR(INDEX(PRENOTAZIONI!$B:$B,SMALL(PRENOTAZIONI!$AJ:$AJ,8)),"")</f>
        <v/>
      </c>
      <c r="V11" s="32" t="str">
        <f t="shared" si="7"/>
        <v/>
      </c>
      <c r="W11" s="34" t="str">
        <f>IFERROR(INDEX(PRENOTAZIONI!$E:$E,SMALL(PRENOTAZIONI!$AJ:$AJ,8)),"")</f>
        <v/>
      </c>
      <c r="X11" s="34" t="str">
        <f>IFERROR(INDEX(PRENOTAZIONI!$F:$F,SMALL(PRENOTAZIONI!$AJ:$AJ,8)),"")</f>
        <v/>
      </c>
      <c r="Y11" s="35" t="str">
        <f>IFERROR(INDEX(PRENOTAZIONI!$H:$H,SMALL(PRENOTAZIONI!$AJ:$AJ,8)),"")</f>
        <v/>
      </c>
      <c r="Z11" s="34" t="str">
        <f>IFERROR(INDEX(PRENOTAZIONI!$K:$K,SMALL(PRENOTAZIONI!$AJ:$AJ,8)),"")</f>
        <v/>
      </c>
      <c r="AA11" s="34"/>
      <c r="AB11" s="34"/>
      <c r="AC11" s="40" t="str">
        <f t="shared" si="8"/>
        <v/>
      </c>
      <c r="AD11" s="41" t="str">
        <f t="shared" si="9"/>
        <v/>
      </c>
      <c r="AF11" s="38"/>
      <c r="AG11" s="113" t="s">
        <v>188</v>
      </c>
      <c r="AH11" s="114">
        <f>SUMPRODUCT((MONTH(PRENOTAZIONI!$A$3:$A$262)=8)*(YEAR(PRENOTAZIONI!$A$3:$A$262)=2026)*(PRENOTAZIONI!$D$3:$D$262="Casa nel Borgo"))</f>
        <v>4</v>
      </c>
      <c r="AI11" s="114">
        <f>SUMPRODUCT((PRENOTAZIONI!$A$3:$A$262&lt;DATE(2026,9,1))*(PRENOTAZIONI!$B$3:$B$262&gt;DATE(2026,8,1))*(YEAR(PRENOTAZIONI!$A$3:$A$262)=2026)*(PRENOTAZIONI!$D$3:$D$262="Casa nel Borgo")*((PRENOTAZIONI!$B$3:$B$262*(PRENOTAZIONI!$B$3:$B$262&lt;DATE(2026,9,1))+DATE(2026,9,1)*(PRENOTAZIONI!$B$3:$B$262&gt;=DATE(2026,9,1)))-(PRENOTAZIONI!$A$3:$A$262*(PRENOTAZIONI!$A$3:$A$262&gt;DATE(2026,8,1))+DATE(2026,8,1)*(PRENOTAZIONI!$A$3:$A$262&lt;=DATE(2026,8,1)))))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22</v>
      </c>
      <c r="AJ11" s="151">
        <f>SUMIF(A4:A33,"&gt;="&amp;DATE(2026,8,1),G4:G33)-SUMIF(A4:A33,"&gt;="&amp;DATE(2026,9,1),G4:G33)</f>
        <v>2205.9499999999998</v>
      </c>
      <c r="AK11" s="151">
        <f>SUMIF(A4:A33,"&gt;="&amp;DATE(2026,8,1),I4:I33)-SUMIF(A4:A33,"&gt;="&amp;DATE(2026,9,1),I4:I33)</f>
        <v>330.89249999999998</v>
      </c>
      <c r="AL11" s="151">
        <f>SUMIF(A4:A33,"&gt;="&amp;DATE(2026,8,1),L4:L33)-SUMIF(A4:A33,"&gt;="&amp;DATE(2026,9,1),L4:L33)</f>
        <v>10</v>
      </c>
      <c r="AM11" s="151">
        <f>SUMIF(A4:A33,"&gt;="&amp;DATE(2026,8,1),N4:N33)-SUMIF(A4:A33,"&gt;="&amp;DATE(2026,9,1),N4:N33)</f>
        <v>551.48749999999995</v>
      </c>
      <c r="AN11" s="152">
        <f>SUMIF(A4:A33,"&gt;="&amp;DATE(2026,8,1),M4:M33)-SUMIF(A4:A33,"&gt;="&amp;DATE(2026,9,1),M4:M33)</f>
        <v>463.24949999999995</v>
      </c>
      <c r="AO11" s="152">
        <f>SUMIF(A4:A33,"&gt;="&amp;DATE(2026,8,1),J4:J33)-SUMIF(A4:A33,"&gt;="&amp;DATE(2026,9,1),J4:J33)</f>
        <v>72.79634999999999</v>
      </c>
      <c r="AP11" s="153">
        <f>SUMIF(A4:A33,"&gt;="&amp;DATE(2026,8,1),Q4:Q33)-SUMIF(A4:A33,"&gt;="&amp;DATE(2026,9,1),Q4:Q33)</f>
        <v>787.52415000000008</v>
      </c>
    </row>
    <row r="12" spans="1:59" ht="20" customHeight="1" x14ac:dyDescent="0.2">
      <c r="A12" s="31" t="str">
        <f>IFERROR(INDEX(PRENOTAZIONI!$A:$A,SMALL(PRENOTAZIONI!$V:$V,9)),"")</f>
        <v/>
      </c>
      <c r="B12" s="31" t="str">
        <f>IFERROR(INDEX(PRENOTAZIONI!$B:$B,SMALL(PRENOTAZIONI!$V:$V,9)),"")</f>
        <v/>
      </c>
      <c r="C12" s="32" t="str">
        <f t="shared" si="0"/>
        <v/>
      </c>
      <c r="D12" s="34" t="str">
        <f>IFERROR(INDEX(PRENOTAZIONI!$E:$E,SMALL(PRENOTAZIONI!$V:$V,9)),"")</f>
        <v/>
      </c>
      <c r="E12" s="34" t="str">
        <f>IFERROR(INDEX(PRENOTAZIONI!$F:$F,SMALL(PRENOTAZIONI!$V:$V,9)),"")</f>
        <v/>
      </c>
      <c r="F12" s="34" t="str">
        <f>IFERROR(INDEX(PRENOTAZIONI!$G:$G,SMALL(PRENOTAZIONI!$V:$V,9)),"")</f>
        <v/>
      </c>
      <c r="G12" s="35" t="str">
        <f>IFERROR(INDEX(PRENOTAZIONI!$H:$H,SMALL(PRENOTAZIONI!$V:$V,9)),"")</f>
        <v/>
      </c>
      <c r="H12" s="35" t="str">
        <f t="shared" si="1"/>
        <v/>
      </c>
      <c r="I12" s="35" t="str">
        <f t="shared" si="2"/>
        <v/>
      </c>
      <c r="J12" s="149" t="str">
        <f t="shared" si="3"/>
        <v/>
      </c>
      <c r="K12" s="34" t="str">
        <f>IFERROR(INDEX(PRENOTAZIONI!$K:$K,SMALL(PRENOTAZIONI!$V:$V,9)),"")</f>
        <v/>
      </c>
      <c r="L12" s="35" t="str">
        <f>IFERROR(INDEX(PRENOTAZIONI!$L:$L,SMALL(PRENOTAZIONI!$V:$V,9)),"")</f>
        <v/>
      </c>
      <c r="M12" s="150" t="str">
        <f t="shared" si="4"/>
        <v/>
      </c>
      <c r="N12" s="35" t="str">
        <f t="shared" si="5"/>
        <v/>
      </c>
      <c r="O12" s="35"/>
      <c r="P12" s="43"/>
      <c r="Q12" s="150" t="str">
        <f t="shared" si="6"/>
        <v/>
      </c>
      <c r="R12" s="47" t="str">
        <f>IFERROR(INDEX(PRENOTAZIONI!$R:$R,SMALL(PRENOTAZIONI!$V:$V,9)),"")</f>
        <v/>
      </c>
      <c r="S12" s="95"/>
      <c r="T12" s="94" t="str">
        <f>IFERROR(INDEX(PRENOTAZIONI!$A:$A,SMALL(PRENOTAZIONI!$AJ:$AJ,9)),"")</f>
        <v/>
      </c>
      <c r="U12" s="31" t="str">
        <f>IFERROR(INDEX(PRENOTAZIONI!$B:$B,SMALL(PRENOTAZIONI!$AJ:$AJ,9)),"")</f>
        <v/>
      </c>
      <c r="V12" s="32" t="str">
        <f t="shared" si="7"/>
        <v/>
      </c>
      <c r="W12" s="34" t="str">
        <f>IFERROR(INDEX(PRENOTAZIONI!$E:$E,SMALL(PRENOTAZIONI!$AJ:$AJ,9)),"")</f>
        <v/>
      </c>
      <c r="X12" s="34" t="str">
        <f>IFERROR(INDEX(PRENOTAZIONI!$F:$F,SMALL(PRENOTAZIONI!$AJ:$AJ,9)),"")</f>
        <v/>
      </c>
      <c r="Y12" s="35" t="str">
        <f>IFERROR(INDEX(PRENOTAZIONI!$H:$H,SMALL(PRENOTAZIONI!$AJ:$AJ,9)),"")</f>
        <v/>
      </c>
      <c r="Z12" s="34" t="str">
        <f>IFERROR(INDEX(PRENOTAZIONI!$K:$K,SMALL(PRENOTAZIONI!$AJ:$AJ,9)),"")</f>
        <v/>
      </c>
      <c r="AA12" s="34"/>
      <c r="AB12" s="34"/>
      <c r="AC12" s="40" t="str">
        <f t="shared" si="8"/>
        <v/>
      </c>
      <c r="AD12" s="41" t="str">
        <f t="shared" si="9"/>
        <v/>
      </c>
      <c r="AF12" s="38"/>
      <c r="AG12" s="113" t="s">
        <v>189</v>
      </c>
      <c r="AH12" s="114">
        <f>SUMPRODUCT((MONTH(PRENOTAZIONI!$A$3:$A$262)=9)*(YEAR(PRENOTAZIONI!$A$3:$A$262)=2026)*(PRENOTAZIONI!$D$3:$D$262="Casa nel Borgo"))</f>
        <v>0</v>
      </c>
      <c r="AI12" s="114">
        <f>SUMPRODUCT((PRENOTAZIONI!$A$3:$A$262&lt;DATE(2026,10,1))*(PRENOTAZIONI!$B$3:$B$262&gt;DATE(2026,9,1))*(YEAR(PRENOTAZIONI!$A$3:$A$262)=2026)*(PRENOTAZIONI!$D$3:$D$262="Casa nel Borgo")*((PRENOTAZIONI!$B$3:$B$262*(PRENOTAZIONI!$B$3:$B$262&lt;DATE(2026,10,1))+DATE(2026,10,1)*(PRENOTAZIONI!$B$3:$B$262&gt;=DATE(2026,10,1)))-(PRENOTAZIONI!$A$3:$A$262*(PRENOTAZIONI!$A$3:$A$262&gt;DATE(2026,9,1))+DATE(2026,9,1)*(PRENOTAZIONI!$A$3:$A$262&lt;=DATE(2026,9,1)))))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59" ht="20" customHeight="1" x14ac:dyDescent="0.2">
      <c r="A13" s="31" t="str">
        <f>IFERROR(INDEX(PRENOTAZIONI!$A:$A,SMALL(PRENOTAZIONI!$V:$V,10)),"")</f>
        <v/>
      </c>
      <c r="B13" s="31" t="str">
        <f>IFERROR(INDEX(PRENOTAZIONI!$B:$B,SMALL(PRENOTAZIONI!$V:$V,10)),"")</f>
        <v/>
      </c>
      <c r="C13" s="32" t="str">
        <f t="shared" si="0"/>
        <v/>
      </c>
      <c r="D13" s="34" t="str">
        <f>IFERROR(INDEX(PRENOTAZIONI!$E:$E,SMALL(PRENOTAZIONI!$V:$V,10)),"")</f>
        <v/>
      </c>
      <c r="E13" s="34" t="str">
        <f>IFERROR(INDEX(PRENOTAZIONI!$F:$F,SMALL(PRENOTAZIONI!$V:$V,10)),"")</f>
        <v/>
      </c>
      <c r="F13" s="34" t="str">
        <f>IFERROR(INDEX(PRENOTAZIONI!$G:$G,SMALL(PRENOTAZIONI!$V:$V,10)),"")</f>
        <v/>
      </c>
      <c r="G13" s="35" t="str">
        <f>IFERROR(INDEX(PRENOTAZIONI!$H:$H,SMALL(PRENOTAZIONI!$V:$V,10)),"")</f>
        <v/>
      </c>
      <c r="H13" s="35" t="str">
        <f t="shared" si="1"/>
        <v/>
      </c>
      <c r="I13" s="35" t="str">
        <f t="shared" si="2"/>
        <v/>
      </c>
      <c r="J13" s="149" t="str">
        <f t="shared" si="3"/>
        <v/>
      </c>
      <c r="K13" s="34" t="str">
        <f>IFERROR(INDEX(PRENOTAZIONI!$K:$K,SMALL(PRENOTAZIONI!$V:$V,10)),"")</f>
        <v/>
      </c>
      <c r="L13" s="35" t="str">
        <f>IFERROR(INDEX(PRENOTAZIONI!$L:$L,SMALL(PRENOTAZIONI!$V:$V,10)),"")</f>
        <v/>
      </c>
      <c r="M13" s="150" t="str">
        <f t="shared" si="4"/>
        <v/>
      </c>
      <c r="N13" s="35" t="str">
        <f t="shared" si="5"/>
        <v/>
      </c>
      <c r="O13" s="35"/>
      <c r="P13" s="43"/>
      <c r="Q13" s="150" t="str">
        <f t="shared" si="6"/>
        <v/>
      </c>
      <c r="R13" s="47" t="str">
        <f>IFERROR(INDEX(PRENOTAZIONI!$R:$R,SMALL(PRENOTAZIONI!$V:$V,10)),"")</f>
        <v/>
      </c>
      <c r="S13" s="95"/>
      <c r="T13" s="94" t="str">
        <f>IFERROR(INDEX(PRENOTAZIONI!$A:$A,SMALL(PRENOTAZIONI!$AJ:$AJ,10)),"")</f>
        <v/>
      </c>
      <c r="U13" s="31" t="str">
        <f>IFERROR(INDEX(PRENOTAZIONI!$B:$B,SMALL(PRENOTAZIONI!$AJ:$AJ,10)),"")</f>
        <v/>
      </c>
      <c r="V13" s="32" t="str">
        <f t="shared" si="7"/>
        <v/>
      </c>
      <c r="W13" s="34" t="str">
        <f>IFERROR(INDEX(PRENOTAZIONI!$E:$E,SMALL(PRENOTAZIONI!$AJ:$AJ,10)),"")</f>
        <v/>
      </c>
      <c r="X13" s="34" t="str">
        <f>IFERROR(INDEX(PRENOTAZIONI!$F:$F,SMALL(PRENOTAZIONI!$AJ:$AJ,10)),"")</f>
        <v/>
      </c>
      <c r="Y13" s="35" t="str">
        <f>IFERROR(INDEX(PRENOTAZIONI!$H:$H,SMALL(PRENOTAZIONI!$AJ:$AJ,10)),"")</f>
        <v/>
      </c>
      <c r="Z13" s="34" t="str">
        <f>IFERROR(INDEX(PRENOTAZIONI!$K:$K,SMALL(PRENOTAZIONI!$AJ:$AJ,10)),"")</f>
        <v/>
      </c>
      <c r="AA13" s="34"/>
      <c r="AB13" s="34"/>
      <c r="AC13" s="40" t="str">
        <f t="shared" si="8"/>
        <v/>
      </c>
      <c r="AD13" s="41" t="str">
        <f t="shared" si="9"/>
        <v/>
      </c>
      <c r="AF13" s="38"/>
      <c r="AG13" s="113" t="s">
        <v>190</v>
      </c>
      <c r="AH13" s="114">
        <f>SUMPRODUCT((MONTH(PRENOTAZIONI!$A$3:$A$262)=10)*(YEAR(PRENOTAZIONI!$A$3:$A$262)=2026)*(PRENOTAZIONI!$D$3:$D$262="Casa nel Borgo"))</f>
        <v>0</v>
      </c>
      <c r="AI13" s="114">
        <f>SUMPRODUCT((PRENOTAZIONI!$A$3:$A$262&lt;DATE(2026,11,1))*(PRENOTAZIONI!$B$3:$B$262&gt;DATE(2026,10,1))*(YEAR(PRENOTAZIONI!$A$3:$A$262)=2026)*(PRENOTAZIONI!$D$3:$D$262="Casa nel Borgo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59" ht="20" customHeight="1" x14ac:dyDescent="0.2">
      <c r="A14" s="31" t="str">
        <f>IFERROR(INDEX(PRENOTAZIONI!$A:$A,SMALL(PRENOTAZIONI!$V:$V,11)),"")</f>
        <v/>
      </c>
      <c r="B14" s="31" t="str">
        <f>IFERROR(INDEX(PRENOTAZIONI!$B:$B,SMALL(PRENOTAZIONI!$V:$V,11)),"")</f>
        <v/>
      </c>
      <c r="C14" s="32" t="str">
        <f t="shared" si="0"/>
        <v/>
      </c>
      <c r="D14" s="34" t="str">
        <f>IFERROR(INDEX(PRENOTAZIONI!$E:$E,SMALL(PRENOTAZIONI!$V:$V,11)),"")</f>
        <v/>
      </c>
      <c r="E14" s="34" t="str">
        <f>IFERROR(INDEX(PRENOTAZIONI!$F:$F,SMALL(PRENOTAZIONI!$V:$V,11)),"")</f>
        <v/>
      </c>
      <c r="F14" s="34" t="str">
        <f>IFERROR(INDEX(PRENOTAZIONI!$G:$G,SMALL(PRENOTAZIONI!$V:$V,11)),"")</f>
        <v/>
      </c>
      <c r="G14" s="35" t="str">
        <f>IFERROR(INDEX(PRENOTAZIONI!$H:$H,SMALL(PRENOTAZIONI!$V:$V,11)),"")</f>
        <v/>
      </c>
      <c r="H14" s="35" t="str">
        <f t="shared" si="1"/>
        <v/>
      </c>
      <c r="I14" s="35" t="str">
        <f t="shared" si="2"/>
        <v/>
      </c>
      <c r="J14" s="149" t="str">
        <f t="shared" si="3"/>
        <v/>
      </c>
      <c r="K14" s="34" t="str">
        <f>IFERROR(INDEX(PRENOTAZIONI!$K:$K,SMALL(PRENOTAZIONI!$V:$V,11)),"")</f>
        <v/>
      </c>
      <c r="L14" s="35" t="str">
        <f>IFERROR(INDEX(PRENOTAZIONI!$L:$L,SMALL(PRENOTAZIONI!$V:$V,11)),"")</f>
        <v/>
      </c>
      <c r="M14" s="150" t="str">
        <f t="shared" si="4"/>
        <v/>
      </c>
      <c r="N14" s="35" t="str">
        <f t="shared" si="5"/>
        <v/>
      </c>
      <c r="O14" s="35"/>
      <c r="P14" s="43"/>
      <c r="Q14" s="150" t="str">
        <f t="shared" si="6"/>
        <v/>
      </c>
      <c r="R14" s="47" t="str">
        <f>IFERROR(INDEX(PRENOTAZIONI!$R:$R,SMALL(PRENOTAZIONI!$V:$V,11)),"")</f>
        <v/>
      </c>
      <c r="S14" s="95"/>
      <c r="T14" s="94" t="str">
        <f>IFERROR(INDEX(PRENOTAZIONI!$A:$A,SMALL(PRENOTAZIONI!$AJ:$AJ,11)),"")</f>
        <v/>
      </c>
      <c r="U14" s="31" t="str">
        <f>IFERROR(INDEX(PRENOTAZIONI!$B:$B,SMALL(PRENOTAZIONI!$AJ:$AJ,11)),"")</f>
        <v/>
      </c>
      <c r="V14" s="32" t="str">
        <f t="shared" si="7"/>
        <v/>
      </c>
      <c r="W14" s="34" t="str">
        <f>IFERROR(INDEX(PRENOTAZIONI!$E:$E,SMALL(PRENOTAZIONI!$AJ:$AJ,11)),"")</f>
        <v/>
      </c>
      <c r="X14" s="34" t="str">
        <f>IFERROR(INDEX(PRENOTAZIONI!$F:$F,SMALL(PRENOTAZIONI!$AJ:$AJ,11)),"")</f>
        <v/>
      </c>
      <c r="Y14" s="35" t="str">
        <f>IFERROR(INDEX(PRENOTAZIONI!$H:$H,SMALL(PRENOTAZIONI!$AJ:$AJ,11)),"")</f>
        <v/>
      </c>
      <c r="Z14" s="34" t="str">
        <f>IFERROR(INDEX(PRENOTAZIONI!$K:$K,SMALL(PRENOTAZIONI!$AJ:$AJ,11)),"")</f>
        <v/>
      </c>
      <c r="AA14" s="34"/>
      <c r="AB14" s="34"/>
      <c r="AC14" s="40" t="str">
        <f t="shared" si="8"/>
        <v/>
      </c>
      <c r="AD14" s="41" t="str">
        <f t="shared" si="9"/>
        <v/>
      </c>
      <c r="AF14" s="38"/>
      <c r="AG14" s="113" t="s">
        <v>191</v>
      </c>
      <c r="AH14" s="114">
        <f>SUMPRODUCT((MONTH(PRENOTAZIONI!$A$3:$A$262)=11)*(YEAR(PRENOTAZIONI!$A$3:$A$262)=2026)*(PRENOTAZIONI!$D$3:$D$262="Casa nel Borgo"))</f>
        <v>0</v>
      </c>
      <c r="AI14" s="114">
        <f>SUMPRODUCT((PRENOTAZIONI!$A$3:$A$262&lt;DATE(2026,12,1))*(PRENOTAZIONI!$B$3:$B$262&gt;DATE(2026,11,1))*(YEAR(PRENOTAZIONI!$A$3:$A$262)=2026)*(PRENOTAZIONI!$D$3:$D$262="Casa nel Borgo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59" ht="20" customHeight="1" x14ac:dyDescent="0.2">
      <c r="A15" s="31" t="str">
        <f>IFERROR(INDEX(PRENOTAZIONI!$A:$A,SMALL(PRENOTAZIONI!$V:$V,12)),"")</f>
        <v/>
      </c>
      <c r="B15" s="31" t="str">
        <f>IFERROR(INDEX(PRENOTAZIONI!$B:$B,SMALL(PRENOTAZIONI!$V:$V,12)),"")</f>
        <v/>
      </c>
      <c r="C15" s="32" t="str">
        <f t="shared" si="0"/>
        <v/>
      </c>
      <c r="D15" s="34" t="str">
        <f>IFERROR(INDEX(PRENOTAZIONI!$E:$E,SMALL(PRENOTAZIONI!$V:$V,12)),"")</f>
        <v/>
      </c>
      <c r="E15" s="34" t="str">
        <f>IFERROR(INDEX(PRENOTAZIONI!$F:$F,SMALL(PRENOTAZIONI!$V:$V,12)),"")</f>
        <v/>
      </c>
      <c r="F15" s="34" t="str">
        <f>IFERROR(INDEX(PRENOTAZIONI!$G:$G,SMALL(PRENOTAZIONI!$V:$V,12)),"")</f>
        <v/>
      </c>
      <c r="G15" s="35" t="str">
        <f>IFERROR(INDEX(PRENOTAZIONI!$H:$H,SMALL(PRENOTAZIONI!$V:$V,12)),"")</f>
        <v/>
      </c>
      <c r="H15" s="35" t="str">
        <f t="shared" si="1"/>
        <v/>
      </c>
      <c r="I15" s="35" t="str">
        <f t="shared" si="2"/>
        <v/>
      </c>
      <c r="J15" s="149" t="str">
        <f t="shared" si="3"/>
        <v/>
      </c>
      <c r="K15" s="34" t="str">
        <f>IFERROR(INDEX(PRENOTAZIONI!$K:$K,SMALL(PRENOTAZIONI!$V:$V,12)),"")</f>
        <v/>
      </c>
      <c r="L15" s="35" t="str">
        <f>IFERROR(INDEX(PRENOTAZIONI!$L:$L,SMALL(PRENOTAZIONI!$V:$V,12)),"")</f>
        <v/>
      </c>
      <c r="M15" s="150" t="str">
        <f t="shared" si="4"/>
        <v/>
      </c>
      <c r="N15" s="35" t="str">
        <f t="shared" si="5"/>
        <v/>
      </c>
      <c r="O15" s="35"/>
      <c r="P15" s="43"/>
      <c r="Q15" s="150" t="str">
        <f t="shared" si="6"/>
        <v/>
      </c>
      <c r="R15" s="47" t="str">
        <f>IFERROR(INDEX(PRENOTAZIONI!$R:$R,SMALL(PRENOTAZIONI!$V:$V,12)),"")</f>
        <v/>
      </c>
      <c r="S15" s="95"/>
      <c r="T15" s="94" t="str">
        <f>IFERROR(INDEX(PRENOTAZIONI!$A:$A,SMALL(PRENOTAZIONI!$AJ:$AJ,12)),"")</f>
        <v/>
      </c>
      <c r="U15" s="31" t="str">
        <f>IFERROR(INDEX(PRENOTAZIONI!$B:$B,SMALL(PRENOTAZIONI!$AJ:$AJ,12)),"")</f>
        <v/>
      </c>
      <c r="V15" s="32" t="str">
        <f t="shared" si="7"/>
        <v/>
      </c>
      <c r="W15" s="34" t="str">
        <f>IFERROR(INDEX(PRENOTAZIONI!$E:$E,SMALL(PRENOTAZIONI!$AJ:$AJ,12)),"")</f>
        <v/>
      </c>
      <c r="X15" s="34" t="str">
        <f>IFERROR(INDEX(PRENOTAZIONI!$F:$F,SMALL(PRENOTAZIONI!$AJ:$AJ,12)),"")</f>
        <v/>
      </c>
      <c r="Y15" s="35" t="str">
        <f>IFERROR(INDEX(PRENOTAZIONI!$H:$H,SMALL(PRENOTAZIONI!$AJ:$AJ,12)),"")</f>
        <v/>
      </c>
      <c r="Z15" s="34" t="str">
        <f>IFERROR(INDEX(PRENOTAZIONI!$K:$K,SMALL(PRENOTAZIONI!$AJ:$AJ,12)),"")</f>
        <v/>
      </c>
      <c r="AA15" s="34"/>
      <c r="AB15" s="34"/>
      <c r="AC15" s="40" t="str">
        <f t="shared" si="8"/>
        <v/>
      </c>
      <c r="AD15" s="41" t="str">
        <f t="shared" si="9"/>
        <v/>
      </c>
      <c r="AF15" s="38"/>
      <c r="AG15" s="113" t="s">
        <v>192</v>
      </c>
      <c r="AH15" s="114">
        <f>SUMPRODUCT((MONTH(PRENOTAZIONI!$A$3:$A$262)=12)*(YEAR(PRENOTAZIONI!$A$3:$A$262)=2026)*(PRENOTAZIONI!$D$3:$D$262="Casa nel Borgo"))</f>
        <v>0</v>
      </c>
      <c r="AI15" s="114">
        <f>SUMPRODUCT((PRENOTAZIONI!$A$3:$A$262&lt;DATE(2027,1,1))*(PRENOTAZIONI!$B$3:$B$262&gt;DATE(2026,12,1))*(YEAR(PRENOTAZIONI!$A$3:$A$262)=2026)*(PRENOTAZIONI!$D$3:$D$262="Casa nel Borgo")*((PRENOTAZIONI!$B$3:$B$262*(PRENOTAZIONI!$B$3:$B$262&lt;DATE(2027,1,1))+DATE(2027,1,1)*(PRENOTAZIONI!$B$3:$B$262&gt;=DATE(2027,1,1)))-(PRENOTAZIONI!$A$3:$A$262*(PRENOTAZIONI!$A$3:$A$262&gt;DATE(2026,12,1))+DATE(2026,12,1)*(PRENOTAZIONI!$A$3:$A$262&lt;=DATE(2026,12,1)))))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59" ht="26" customHeight="1" x14ac:dyDescent="0.2">
      <c r="A16" s="31" t="str">
        <f>IFERROR(INDEX(PRENOTAZIONI!$A:$A,SMALL(PRENOTAZIONI!$V:$V,13)),"")</f>
        <v/>
      </c>
      <c r="B16" s="31" t="str">
        <f>IFERROR(INDEX(PRENOTAZIONI!$B:$B,SMALL(PRENOTAZIONI!$V:$V,13)),"")</f>
        <v/>
      </c>
      <c r="C16" s="32" t="str">
        <f t="shared" si="0"/>
        <v/>
      </c>
      <c r="D16" s="34" t="str">
        <f>IFERROR(INDEX(PRENOTAZIONI!$E:$E,SMALL(PRENOTAZIONI!$V:$V,13)),"")</f>
        <v/>
      </c>
      <c r="E16" s="34" t="str">
        <f>IFERROR(INDEX(PRENOTAZIONI!$F:$F,SMALL(PRENOTAZIONI!$V:$V,13)),"")</f>
        <v/>
      </c>
      <c r="F16" s="34" t="str">
        <f>IFERROR(INDEX(PRENOTAZIONI!$G:$G,SMALL(PRENOTAZIONI!$V:$V,13)),"")</f>
        <v/>
      </c>
      <c r="G16" s="35" t="str">
        <f>IFERROR(INDEX(PRENOTAZIONI!$H:$H,SMALL(PRENOTAZIONI!$V:$V,13)),"")</f>
        <v/>
      </c>
      <c r="H16" s="35" t="str">
        <f t="shared" si="1"/>
        <v/>
      </c>
      <c r="I16" s="35" t="str">
        <f t="shared" si="2"/>
        <v/>
      </c>
      <c r="J16" s="149" t="str">
        <f t="shared" si="3"/>
        <v/>
      </c>
      <c r="K16" s="34" t="str">
        <f>IFERROR(INDEX(PRENOTAZIONI!$K:$K,SMALL(PRENOTAZIONI!$V:$V,13)),"")</f>
        <v/>
      </c>
      <c r="L16" s="35" t="str">
        <f>IFERROR(INDEX(PRENOTAZIONI!$L:$L,SMALL(PRENOTAZIONI!$V:$V,13)),"")</f>
        <v/>
      </c>
      <c r="M16" s="150" t="str">
        <f t="shared" si="4"/>
        <v/>
      </c>
      <c r="N16" s="35" t="str">
        <f t="shared" si="5"/>
        <v/>
      </c>
      <c r="O16" s="35"/>
      <c r="P16" s="43"/>
      <c r="Q16" s="150" t="str">
        <f t="shared" si="6"/>
        <v/>
      </c>
      <c r="R16" s="47" t="str">
        <f>IFERROR(INDEX(PRENOTAZIONI!$R:$R,SMALL(PRENOTAZIONI!$V:$V,13)),"")</f>
        <v/>
      </c>
      <c r="S16" s="95"/>
      <c r="T16" s="94" t="str">
        <f>IFERROR(INDEX(PRENOTAZIONI!$A:$A,SMALL(PRENOTAZIONI!$AJ:$AJ,13)),"")</f>
        <v/>
      </c>
      <c r="U16" s="31" t="str">
        <f>IFERROR(INDEX(PRENOTAZIONI!$B:$B,SMALL(PRENOTAZIONI!$AJ:$AJ,13)),"")</f>
        <v/>
      </c>
      <c r="V16" s="32" t="str">
        <f t="shared" si="7"/>
        <v/>
      </c>
      <c r="W16" s="34" t="str">
        <f>IFERROR(INDEX(PRENOTAZIONI!$E:$E,SMALL(PRENOTAZIONI!$AJ:$AJ,13)),"")</f>
        <v/>
      </c>
      <c r="X16" s="34" t="str">
        <f>IFERROR(INDEX(PRENOTAZIONI!$F:$F,SMALL(PRENOTAZIONI!$AJ:$AJ,13)),"")</f>
        <v/>
      </c>
      <c r="Y16" s="35" t="str">
        <f>IFERROR(INDEX(PRENOTAZIONI!$H:$H,SMALL(PRENOTAZIONI!$AJ:$AJ,13)),"")</f>
        <v/>
      </c>
      <c r="Z16" s="34" t="str">
        <f>IFERROR(INDEX(PRENOTAZIONI!$K:$K,SMALL(PRENOTAZIONI!$AJ:$AJ,13)),"")</f>
        <v/>
      </c>
      <c r="AA16" s="34"/>
      <c r="AB16" s="34"/>
      <c r="AC16" s="40" t="str">
        <f t="shared" si="8"/>
        <v/>
      </c>
      <c r="AD16" s="41" t="str">
        <f t="shared" si="9"/>
        <v/>
      </c>
      <c r="AF16" s="38"/>
      <c r="AG16" s="115" t="s">
        <v>196</v>
      </c>
      <c r="AH16" s="116">
        <f t="shared" ref="AH16:AP16" si="10">SUM(AH4:AH15)</f>
        <v>13</v>
      </c>
      <c r="AI16" s="116">
        <f t="shared" si="10"/>
        <v>108</v>
      </c>
      <c r="AJ16" s="116">
        <f t="shared" si="10"/>
        <v>3680.16</v>
      </c>
      <c r="AK16" s="116">
        <f t="shared" si="10"/>
        <v>490.00399999999996</v>
      </c>
      <c r="AL16" s="116">
        <f t="shared" si="10"/>
        <v>24</v>
      </c>
      <c r="AM16" s="116">
        <f t="shared" si="10"/>
        <v>920.04</v>
      </c>
      <c r="AN16" s="116">
        <f t="shared" si="10"/>
        <v>772.83359999999993</v>
      </c>
      <c r="AO16" s="117">
        <f t="shared" si="10"/>
        <v>107.80087999999999</v>
      </c>
      <c r="AP16" s="117">
        <f t="shared" si="10"/>
        <v>1329.48152</v>
      </c>
    </row>
    <row r="17" spans="1:42" ht="22" customHeight="1" x14ac:dyDescent="0.2">
      <c r="A17" s="31" t="str">
        <f>IFERROR(INDEX(PRENOTAZIONI!$A:$A,SMALL(PRENOTAZIONI!$V:$V,14)),"")</f>
        <v/>
      </c>
      <c r="B17" s="31" t="str">
        <f>IFERROR(INDEX(PRENOTAZIONI!$B:$B,SMALL(PRENOTAZIONI!$V:$V,14)),"")</f>
        <v/>
      </c>
      <c r="C17" s="32" t="str">
        <f t="shared" si="0"/>
        <v/>
      </c>
      <c r="D17" s="34" t="str">
        <f>IFERROR(INDEX(PRENOTAZIONI!$E:$E,SMALL(PRENOTAZIONI!$V:$V,14)),"")</f>
        <v/>
      </c>
      <c r="E17" s="34" t="str">
        <f>IFERROR(INDEX(PRENOTAZIONI!$F:$F,SMALL(PRENOTAZIONI!$V:$V,14)),"")</f>
        <v/>
      </c>
      <c r="F17" s="34" t="str">
        <f>IFERROR(INDEX(PRENOTAZIONI!$G:$G,SMALL(PRENOTAZIONI!$V:$V,14)),"")</f>
        <v/>
      </c>
      <c r="G17" s="35" t="str">
        <f>IFERROR(INDEX(PRENOTAZIONI!$H:$H,SMALL(PRENOTAZIONI!$V:$V,14)),"")</f>
        <v/>
      </c>
      <c r="H17" s="35" t="str">
        <f t="shared" si="1"/>
        <v/>
      </c>
      <c r="I17" s="35" t="str">
        <f t="shared" si="2"/>
        <v/>
      </c>
      <c r="J17" s="149" t="str">
        <f t="shared" si="3"/>
        <v/>
      </c>
      <c r="K17" s="34" t="str">
        <f>IFERROR(INDEX(PRENOTAZIONI!$K:$K,SMALL(PRENOTAZIONI!$V:$V,14)),"")</f>
        <v/>
      </c>
      <c r="L17" s="35" t="str">
        <f>IFERROR(INDEX(PRENOTAZIONI!$L:$L,SMALL(PRENOTAZIONI!$V:$V,14)),"")</f>
        <v/>
      </c>
      <c r="M17" s="150" t="str">
        <f t="shared" si="4"/>
        <v/>
      </c>
      <c r="N17" s="35" t="str">
        <f t="shared" si="5"/>
        <v/>
      </c>
      <c r="O17" s="35"/>
      <c r="P17" s="43"/>
      <c r="Q17" s="150" t="str">
        <f t="shared" si="6"/>
        <v/>
      </c>
      <c r="R17" s="47" t="str">
        <f>IFERROR(INDEX(PRENOTAZIONI!$R:$R,SMALL(PRENOTAZIONI!$V:$V,14)),"")</f>
        <v/>
      </c>
      <c r="S17" s="95"/>
      <c r="T17" s="94" t="str">
        <f>IFERROR(INDEX(PRENOTAZIONI!$A:$A,SMALL(PRENOTAZIONI!$AJ:$AJ,14)),"")</f>
        <v/>
      </c>
      <c r="U17" s="31" t="str">
        <f>IFERROR(INDEX(PRENOTAZIONI!$B:$B,SMALL(PRENOTAZIONI!$AJ:$AJ,14)),"")</f>
        <v/>
      </c>
      <c r="V17" s="32" t="str">
        <f t="shared" si="7"/>
        <v/>
      </c>
      <c r="W17" s="34" t="str">
        <f>IFERROR(INDEX(PRENOTAZIONI!$E:$E,SMALL(PRENOTAZIONI!$AJ:$AJ,14)),"")</f>
        <v/>
      </c>
      <c r="X17" s="34" t="str">
        <f>IFERROR(INDEX(PRENOTAZIONI!$F:$F,SMALL(PRENOTAZIONI!$AJ:$AJ,14)),"")</f>
        <v/>
      </c>
      <c r="Y17" s="35" t="str">
        <f>IFERROR(INDEX(PRENOTAZIONI!$H:$H,SMALL(PRENOTAZIONI!$AJ:$AJ,14)),"")</f>
        <v/>
      </c>
      <c r="Z17" s="34" t="str">
        <f>IFERROR(INDEX(PRENOTAZIONI!$K:$K,SMALL(PRENOTAZIONI!$AJ:$AJ,14)),"")</f>
        <v/>
      </c>
      <c r="AA17" s="34"/>
      <c r="AB17" s="34"/>
      <c r="AC17" s="40" t="str">
        <f t="shared" si="8"/>
        <v/>
      </c>
      <c r="AD17" s="41" t="str">
        <f t="shared" si="9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IFERROR(INDEX(PRENOTAZIONI!$A:$A,SMALL(PRENOTAZIONI!$V:$V,15)),"")</f>
        <v/>
      </c>
      <c r="B18" s="31" t="str">
        <f>IFERROR(INDEX(PRENOTAZIONI!$B:$B,SMALL(PRENOTAZIONI!$V:$V,15)),"")</f>
        <v/>
      </c>
      <c r="C18" s="32" t="str">
        <f t="shared" si="0"/>
        <v/>
      </c>
      <c r="D18" s="34" t="str">
        <f>IFERROR(INDEX(PRENOTAZIONI!$E:$E,SMALL(PRENOTAZIONI!$V:$V,15)),"")</f>
        <v/>
      </c>
      <c r="E18" s="34" t="str">
        <f>IFERROR(INDEX(PRENOTAZIONI!$F:$F,SMALL(PRENOTAZIONI!$V:$V,15)),"")</f>
        <v/>
      </c>
      <c r="F18" s="34" t="str">
        <f>IFERROR(INDEX(PRENOTAZIONI!$G:$G,SMALL(PRENOTAZIONI!$V:$V,15)),"")</f>
        <v/>
      </c>
      <c r="G18" s="35" t="str">
        <f>IFERROR(INDEX(PRENOTAZIONI!$H:$H,SMALL(PRENOTAZIONI!$V:$V,15)),"")</f>
        <v/>
      </c>
      <c r="H18" s="35" t="str">
        <f t="shared" si="1"/>
        <v/>
      </c>
      <c r="I18" s="35" t="str">
        <f t="shared" si="2"/>
        <v/>
      </c>
      <c r="J18" s="149" t="str">
        <f t="shared" si="3"/>
        <v/>
      </c>
      <c r="K18" s="34" t="str">
        <f>IFERROR(INDEX(PRENOTAZIONI!$K:$K,SMALL(PRENOTAZIONI!$V:$V,15)),"")</f>
        <v/>
      </c>
      <c r="L18" s="35" t="str">
        <f>IFERROR(INDEX(PRENOTAZIONI!$L:$L,SMALL(PRENOTAZIONI!$V:$V,15)),"")</f>
        <v/>
      </c>
      <c r="M18" s="150" t="str">
        <f t="shared" si="4"/>
        <v/>
      </c>
      <c r="N18" s="35" t="str">
        <f t="shared" si="5"/>
        <v/>
      </c>
      <c r="O18" s="35"/>
      <c r="P18" s="43"/>
      <c r="Q18" s="150" t="str">
        <f t="shared" si="6"/>
        <v/>
      </c>
      <c r="R18" s="47" t="str">
        <f>IFERROR(INDEX(PRENOTAZIONI!$R:$R,SMALL(PRENOTAZIONI!$V:$V,15)),"")</f>
        <v/>
      </c>
      <c r="S18" s="95"/>
      <c r="T18" s="94" t="str">
        <f>IFERROR(INDEX(PRENOTAZIONI!$A:$A,SMALL(PRENOTAZIONI!$AJ:$AJ,15)),"")</f>
        <v/>
      </c>
      <c r="U18" s="31" t="str">
        <f>IFERROR(INDEX(PRENOTAZIONI!$B:$B,SMALL(PRENOTAZIONI!$AJ:$AJ,15)),"")</f>
        <v/>
      </c>
      <c r="V18" s="32" t="str">
        <f t="shared" si="7"/>
        <v/>
      </c>
      <c r="W18" s="34" t="str">
        <f>IFERROR(INDEX(PRENOTAZIONI!$E:$E,SMALL(PRENOTAZIONI!$AJ:$AJ,15)),"")</f>
        <v/>
      </c>
      <c r="X18" s="34" t="str">
        <f>IFERROR(INDEX(PRENOTAZIONI!$F:$F,SMALL(PRENOTAZIONI!$AJ:$AJ,15)),"")</f>
        <v/>
      </c>
      <c r="Y18" s="35" t="str">
        <f>IFERROR(INDEX(PRENOTAZIONI!$H:$H,SMALL(PRENOTAZIONI!$AJ:$AJ,15)),"")</f>
        <v/>
      </c>
      <c r="Z18" s="34" t="str">
        <f>IFERROR(INDEX(PRENOTAZIONI!$K:$K,SMALL(PRENOTAZIONI!$AJ:$AJ,15)),"")</f>
        <v/>
      </c>
      <c r="AA18" s="34"/>
      <c r="AB18" s="34"/>
      <c r="AC18" s="40" t="str">
        <f t="shared" si="8"/>
        <v/>
      </c>
      <c r="AD18" s="41" t="str">
        <f t="shared" si="9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IFERROR(INDEX(PRENOTAZIONI!$A:$A,SMALL(PRENOTAZIONI!$V:$V,16)),"")</f>
        <v/>
      </c>
      <c r="B19" s="31" t="str">
        <f>IFERROR(INDEX(PRENOTAZIONI!$B:$B,SMALL(PRENOTAZIONI!$V:$V,16)),"")</f>
        <v/>
      </c>
      <c r="C19" s="32" t="str">
        <f t="shared" si="0"/>
        <v/>
      </c>
      <c r="D19" s="34" t="str">
        <f>IFERROR(INDEX(PRENOTAZIONI!$E:$E,SMALL(PRENOTAZIONI!$V:$V,16)),"")</f>
        <v/>
      </c>
      <c r="E19" s="34" t="str">
        <f>IFERROR(INDEX(PRENOTAZIONI!$F:$F,SMALL(PRENOTAZIONI!$V:$V,16)),"")</f>
        <v/>
      </c>
      <c r="F19" s="34" t="str">
        <f>IFERROR(INDEX(PRENOTAZIONI!$G:$G,SMALL(PRENOTAZIONI!$V:$V,16)),"")</f>
        <v/>
      </c>
      <c r="G19" s="35" t="str">
        <f>IFERROR(INDEX(PRENOTAZIONI!$H:$H,SMALL(PRENOTAZIONI!$V:$V,16)),"")</f>
        <v/>
      </c>
      <c r="H19" s="35" t="str">
        <f t="shared" si="1"/>
        <v/>
      </c>
      <c r="I19" s="35" t="str">
        <f t="shared" si="2"/>
        <v/>
      </c>
      <c r="J19" s="149" t="str">
        <f t="shared" si="3"/>
        <v/>
      </c>
      <c r="K19" s="34" t="str">
        <f>IFERROR(INDEX(PRENOTAZIONI!$K:$K,SMALL(PRENOTAZIONI!$V:$V,16)),"")</f>
        <v/>
      </c>
      <c r="L19" s="35" t="str">
        <f>IFERROR(INDEX(PRENOTAZIONI!$L:$L,SMALL(PRENOTAZIONI!$V:$V,16)),"")</f>
        <v/>
      </c>
      <c r="M19" s="150" t="str">
        <f t="shared" si="4"/>
        <v/>
      </c>
      <c r="N19" s="35" t="str">
        <f t="shared" si="5"/>
        <v/>
      </c>
      <c r="O19" s="35"/>
      <c r="P19" s="43"/>
      <c r="Q19" s="150" t="str">
        <f t="shared" si="6"/>
        <v/>
      </c>
      <c r="R19" s="47" t="str">
        <f>IFERROR(INDEX(PRENOTAZIONI!$R:$R,SMALL(PRENOTAZIONI!$V:$V,16)),"")</f>
        <v/>
      </c>
      <c r="S19" s="95"/>
      <c r="T19" s="94" t="str">
        <f>IFERROR(INDEX(PRENOTAZIONI!$A:$A,SMALL(PRENOTAZIONI!$AJ:$AJ,16)),"")</f>
        <v/>
      </c>
      <c r="U19" s="31" t="str">
        <f>IFERROR(INDEX(PRENOTAZIONI!$B:$B,SMALL(PRENOTAZIONI!$AJ:$AJ,16)),"")</f>
        <v/>
      </c>
      <c r="V19" s="32" t="str">
        <f t="shared" si="7"/>
        <v/>
      </c>
      <c r="W19" s="34" t="str">
        <f>IFERROR(INDEX(PRENOTAZIONI!$E:$E,SMALL(PRENOTAZIONI!$AJ:$AJ,16)),"")</f>
        <v/>
      </c>
      <c r="X19" s="34" t="str">
        <f>IFERROR(INDEX(PRENOTAZIONI!$F:$F,SMALL(PRENOTAZIONI!$AJ:$AJ,16)),"")</f>
        <v/>
      </c>
      <c r="Y19" s="35" t="str">
        <f>IFERROR(INDEX(PRENOTAZIONI!$H:$H,SMALL(PRENOTAZIONI!$AJ:$AJ,16)),"")</f>
        <v/>
      </c>
      <c r="Z19" s="34" t="str">
        <f>IFERROR(INDEX(PRENOTAZIONI!$K:$K,SMALL(PRENOTAZIONI!$AJ:$AJ,16)),"")</f>
        <v/>
      </c>
      <c r="AA19" s="34"/>
      <c r="AB19" s="34"/>
      <c r="AC19" s="40" t="str">
        <f t="shared" si="8"/>
        <v/>
      </c>
      <c r="AD19" s="41" t="str">
        <f t="shared" si="9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IFERROR(INDEX(PRENOTAZIONI!$A:$A,SMALL(PRENOTAZIONI!$V:$V,17)),"")</f>
        <v/>
      </c>
      <c r="B20" s="31" t="str">
        <f>IFERROR(INDEX(PRENOTAZIONI!$B:$B,SMALL(PRENOTAZIONI!$V:$V,17)),"")</f>
        <v/>
      </c>
      <c r="C20" s="32" t="str">
        <f t="shared" si="0"/>
        <v/>
      </c>
      <c r="D20" s="34" t="str">
        <f>IFERROR(INDEX(PRENOTAZIONI!$E:$E,SMALL(PRENOTAZIONI!$V:$V,17)),"")</f>
        <v/>
      </c>
      <c r="E20" s="34" t="str">
        <f>IFERROR(INDEX(PRENOTAZIONI!$F:$F,SMALL(PRENOTAZIONI!$V:$V,17)),"")</f>
        <v/>
      </c>
      <c r="F20" s="34" t="str">
        <f>IFERROR(INDEX(PRENOTAZIONI!$G:$G,SMALL(PRENOTAZIONI!$V:$V,17)),"")</f>
        <v/>
      </c>
      <c r="G20" s="35" t="str">
        <f>IFERROR(INDEX(PRENOTAZIONI!$H:$H,SMALL(PRENOTAZIONI!$V:$V,17)),"")</f>
        <v/>
      </c>
      <c r="H20" s="35" t="str">
        <f t="shared" si="1"/>
        <v/>
      </c>
      <c r="I20" s="35" t="str">
        <f t="shared" si="2"/>
        <v/>
      </c>
      <c r="J20" s="149" t="str">
        <f t="shared" si="3"/>
        <v/>
      </c>
      <c r="K20" s="34" t="str">
        <f>IFERROR(INDEX(PRENOTAZIONI!$K:$K,SMALL(PRENOTAZIONI!$V:$V,17)),"")</f>
        <v/>
      </c>
      <c r="L20" s="35" t="str">
        <f>IFERROR(INDEX(PRENOTAZIONI!$L:$L,SMALL(PRENOTAZIONI!$V:$V,17)),"")</f>
        <v/>
      </c>
      <c r="M20" s="150" t="str">
        <f t="shared" si="4"/>
        <v/>
      </c>
      <c r="N20" s="35" t="str">
        <f t="shared" si="5"/>
        <v/>
      </c>
      <c r="O20" s="35"/>
      <c r="P20" s="43"/>
      <c r="Q20" s="150" t="str">
        <f t="shared" si="6"/>
        <v/>
      </c>
      <c r="R20" s="47" t="str">
        <f>IFERROR(INDEX(PRENOTAZIONI!$R:$R,SMALL(PRENOTAZIONI!$V:$V,17)),"")</f>
        <v/>
      </c>
      <c r="S20" s="95"/>
      <c r="T20" s="94" t="str">
        <f>IFERROR(INDEX(PRENOTAZIONI!$A:$A,SMALL(PRENOTAZIONI!$AJ:$AJ,17)),"")</f>
        <v/>
      </c>
      <c r="U20" s="31" t="str">
        <f>IFERROR(INDEX(PRENOTAZIONI!$B:$B,SMALL(PRENOTAZIONI!$AJ:$AJ,17)),"")</f>
        <v/>
      </c>
      <c r="V20" s="32" t="str">
        <f t="shared" si="7"/>
        <v/>
      </c>
      <c r="W20" s="34" t="str">
        <f>IFERROR(INDEX(PRENOTAZIONI!$E:$E,SMALL(PRENOTAZIONI!$AJ:$AJ,17)),"")</f>
        <v/>
      </c>
      <c r="X20" s="34" t="str">
        <f>IFERROR(INDEX(PRENOTAZIONI!$F:$F,SMALL(PRENOTAZIONI!$AJ:$AJ,17)),"")</f>
        <v/>
      </c>
      <c r="Y20" s="35" t="str">
        <f>IFERROR(INDEX(PRENOTAZIONI!$H:$H,SMALL(PRENOTAZIONI!$AJ:$AJ,17)),"")</f>
        <v/>
      </c>
      <c r="Z20" s="34" t="str">
        <f>IFERROR(INDEX(PRENOTAZIONI!$K:$K,SMALL(PRENOTAZIONI!$AJ:$AJ,17)),"")</f>
        <v/>
      </c>
      <c r="AA20" s="34"/>
      <c r="AB20" s="34"/>
      <c r="AC20" s="40" t="str">
        <f t="shared" si="8"/>
        <v/>
      </c>
      <c r="AD20" s="41" t="str">
        <f t="shared" si="9"/>
        <v/>
      </c>
    </row>
    <row r="21" spans="1:42" ht="22" customHeight="1" x14ac:dyDescent="0.2">
      <c r="A21" s="31" t="str">
        <f>IFERROR(INDEX(PRENOTAZIONI!$A:$A,SMALL(PRENOTAZIONI!$V:$V,18)),"")</f>
        <v/>
      </c>
      <c r="B21" s="31" t="str">
        <f>IFERROR(INDEX(PRENOTAZIONI!$B:$B,SMALL(PRENOTAZIONI!$V:$V,18)),"")</f>
        <v/>
      </c>
      <c r="C21" s="32" t="str">
        <f t="shared" si="0"/>
        <v/>
      </c>
      <c r="D21" s="34" t="str">
        <f>IFERROR(INDEX(PRENOTAZIONI!$E:$E,SMALL(PRENOTAZIONI!$V:$V,18)),"")</f>
        <v/>
      </c>
      <c r="E21" s="34" t="str">
        <f>IFERROR(INDEX(PRENOTAZIONI!$F:$F,SMALL(PRENOTAZIONI!$V:$V,18)),"")</f>
        <v/>
      </c>
      <c r="F21" s="34" t="str">
        <f>IFERROR(INDEX(PRENOTAZIONI!$G:$G,SMALL(PRENOTAZIONI!$V:$V,18)),"")</f>
        <v/>
      </c>
      <c r="G21" s="35" t="str">
        <f>IFERROR(INDEX(PRENOTAZIONI!$H:$H,SMALL(PRENOTAZIONI!$V:$V,18)),"")</f>
        <v/>
      </c>
      <c r="H21" s="35" t="str">
        <f t="shared" si="1"/>
        <v/>
      </c>
      <c r="I21" s="35" t="str">
        <f t="shared" si="2"/>
        <v/>
      </c>
      <c r="J21" s="149" t="str">
        <f t="shared" si="3"/>
        <v/>
      </c>
      <c r="K21" s="34" t="str">
        <f>IFERROR(INDEX(PRENOTAZIONI!$K:$K,SMALL(PRENOTAZIONI!$V:$V,18)),"")</f>
        <v/>
      </c>
      <c r="L21" s="35" t="str">
        <f>IFERROR(INDEX(PRENOTAZIONI!$L:$L,SMALL(PRENOTAZIONI!$V:$V,18)),"")</f>
        <v/>
      </c>
      <c r="M21" s="150" t="str">
        <f t="shared" si="4"/>
        <v/>
      </c>
      <c r="N21" s="35" t="str">
        <f t="shared" si="5"/>
        <v/>
      </c>
      <c r="O21" s="35"/>
      <c r="P21" s="43"/>
      <c r="Q21" s="150" t="str">
        <f t="shared" si="6"/>
        <v/>
      </c>
      <c r="R21" s="47" t="str">
        <f>IFERROR(INDEX(PRENOTAZIONI!$R:$R,SMALL(PRENOTAZIONI!$V:$V,18)),"")</f>
        <v/>
      </c>
      <c r="S21" s="95"/>
      <c r="T21" s="94" t="str">
        <f>IFERROR(INDEX(PRENOTAZIONI!$A:$A,SMALL(PRENOTAZIONI!$AJ:$AJ,18)),"")</f>
        <v/>
      </c>
      <c r="U21" s="31" t="str">
        <f>IFERROR(INDEX(PRENOTAZIONI!$B:$B,SMALL(PRENOTAZIONI!$AJ:$AJ,18)),"")</f>
        <v/>
      </c>
      <c r="V21" s="32" t="str">
        <f t="shared" si="7"/>
        <v/>
      </c>
      <c r="W21" s="34" t="str">
        <f>IFERROR(INDEX(PRENOTAZIONI!$E:$E,SMALL(PRENOTAZIONI!$AJ:$AJ,18)),"")</f>
        <v/>
      </c>
      <c r="X21" s="34" t="str">
        <f>IFERROR(INDEX(PRENOTAZIONI!$F:$F,SMALL(PRENOTAZIONI!$AJ:$AJ,18)),"")</f>
        <v/>
      </c>
      <c r="Y21" s="35" t="str">
        <f>IFERROR(INDEX(PRENOTAZIONI!$H:$H,SMALL(PRENOTAZIONI!$AJ:$AJ,18)),"")</f>
        <v/>
      </c>
      <c r="Z21" s="34" t="str">
        <f>IFERROR(INDEX(PRENOTAZIONI!$K:$K,SMALL(PRENOTAZIONI!$AJ:$AJ,18)),"")</f>
        <v/>
      </c>
      <c r="AA21" s="34"/>
      <c r="AB21" s="34"/>
      <c r="AC21" s="40" t="str">
        <f t="shared" si="8"/>
        <v/>
      </c>
      <c r="AD21" s="41" t="str">
        <f t="shared" si="9"/>
        <v/>
      </c>
    </row>
    <row r="22" spans="1:42" ht="22" customHeight="1" x14ac:dyDescent="0.2">
      <c r="A22" s="31" t="str">
        <f>IFERROR(INDEX(PRENOTAZIONI!$A:$A,SMALL(PRENOTAZIONI!$V:$V,19)),"")</f>
        <v/>
      </c>
      <c r="B22" s="31" t="str">
        <f>IFERROR(INDEX(PRENOTAZIONI!$B:$B,SMALL(PRENOTAZIONI!$V:$V,19)),"")</f>
        <v/>
      </c>
      <c r="C22" s="32" t="str">
        <f t="shared" si="0"/>
        <v/>
      </c>
      <c r="D22" s="34" t="str">
        <f>IFERROR(INDEX(PRENOTAZIONI!$E:$E,SMALL(PRENOTAZIONI!$V:$V,19)),"")</f>
        <v/>
      </c>
      <c r="E22" s="34" t="str">
        <f>IFERROR(INDEX(PRENOTAZIONI!$F:$F,SMALL(PRENOTAZIONI!$V:$V,19)),"")</f>
        <v/>
      </c>
      <c r="F22" s="34" t="str">
        <f>IFERROR(INDEX(PRENOTAZIONI!$G:$G,SMALL(PRENOTAZIONI!$V:$V,19)),"")</f>
        <v/>
      </c>
      <c r="G22" s="35" t="str">
        <f>IFERROR(INDEX(PRENOTAZIONI!$H:$H,SMALL(PRENOTAZIONI!$V:$V,19)),"")</f>
        <v/>
      </c>
      <c r="H22" s="35" t="str">
        <f t="shared" si="1"/>
        <v/>
      </c>
      <c r="I22" s="35" t="str">
        <f t="shared" si="2"/>
        <v/>
      </c>
      <c r="J22" s="149" t="str">
        <f t="shared" si="3"/>
        <v/>
      </c>
      <c r="K22" s="34" t="str">
        <f>IFERROR(INDEX(PRENOTAZIONI!$K:$K,SMALL(PRENOTAZIONI!$V:$V,19)),"")</f>
        <v/>
      </c>
      <c r="L22" s="35" t="str">
        <f>IFERROR(INDEX(PRENOTAZIONI!$L:$L,SMALL(PRENOTAZIONI!$V:$V,19)),"")</f>
        <v/>
      </c>
      <c r="M22" s="150" t="str">
        <f t="shared" si="4"/>
        <v/>
      </c>
      <c r="N22" s="35" t="str">
        <f t="shared" si="5"/>
        <v/>
      </c>
      <c r="O22" s="35"/>
      <c r="P22" s="43"/>
      <c r="Q22" s="150" t="str">
        <f t="shared" si="6"/>
        <v/>
      </c>
      <c r="R22" s="47" t="str">
        <f>IFERROR(INDEX(PRENOTAZIONI!$R:$R,SMALL(PRENOTAZIONI!$V:$V,19)),"")</f>
        <v/>
      </c>
      <c r="S22" s="95"/>
      <c r="T22" s="94" t="str">
        <f>IFERROR(INDEX(PRENOTAZIONI!$A:$A,SMALL(PRENOTAZIONI!$AJ:$AJ,19)),"")</f>
        <v/>
      </c>
      <c r="U22" s="31" t="str">
        <f>IFERROR(INDEX(PRENOTAZIONI!$B:$B,SMALL(PRENOTAZIONI!$AJ:$AJ,19)),"")</f>
        <v/>
      </c>
      <c r="V22" s="32" t="str">
        <f t="shared" si="7"/>
        <v/>
      </c>
      <c r="W22" s="34" t="str">
        <f>IFERROR(INDEX(PRENOTAZIONI!$E:$E,SMALL(PRENOTAZIONI!$AJ:$AJ,19)),"")</f>
        <v/>
      </c>
      <c r="X22" s="34" t="str">
        <f>IFERROR(INDEX(PRENOTAZIONI!$F:$F,SMALL(PRENOTAZIONI!$AJ:$AJ,19)),"")</f>
        <v/>
      </c>
      <c r="Y22" s="35" t="str">
        <f>IFERROR(INDEX(PRENOTAZIONI!$H:$H,SMALL(PRENOTAZIONI!$AJ:$AJ,19)),"")</f>
        <v/>
      </c>
      <c r="Z22" s="34" t="str">
        <f>IFERROR(INDEX(PRENOTAZIONI!$K:$K,SMALL(PRENOTAZIONI!$AJ:$AJ,19)),"")</f>
        <v/>
      </c>
      <c r="AA22" s="34"/>
      <c r="AB22" s="34"/>
      <c r="AC22" s="40" t="str">
        <f t="shared" si="8"/>
        <v/>
      </c>
      <c r="AD22" s="41" t="str">
        <f t="shared" si="9"/>
        <v/>
      </c>
    </row>
    <row r="23" spans="1:42" ht="22" customHeight="1" x14ac:dyDescent="0.2">
      <c r="A23" s="31" t="str">
        <f>IFERROR(INDEX(PRENOTAZIONI!$A:$A,SMALL(PRENOTAZIONI!$V:$V,20)),"")</f>
        <v/>
      </c>
      <c r="B23" s="31" t="str">
        <f>IFERROR(INDEX(PRENOTAZIONI!$B:$B,SMALL(PRENOTAZIONI!$V:$V,20)),"")</f>
        <v/>
      </c>
      <c r="C23" s="32" t="str">
        <f t="shared" si="0"/>
        <v/>
      </c>
      <c r="D23" s="34" t="str">
        <f>IFERROR(INDEX(PRENOTAZIONI!$E:$E,SMALL(PRENOTAZIONI!$V:$V,20)),"")</f>
        <v/>
      </c>
      <c r="E23" s="34" t="str">
        <f>IFERROR(INDEX(PRENOTAZIONI!$F:$F,SMALL(PRENOTAZIONI!$V:$V,20)),"")</f>
        <v/>
      </c>
      <c r="F23" s="34" t="str">
        <f>IFERROR(INDEX(PRENOTAZIONI!$G:$G,SMALL(PRENOTAZIONI!$V:$V,20)),"")</f>
        <v/>
      </c>
      <c r="G23" s="35" t="str">
        <f>IFERROR(INDEX(PRENOTAZIONI!$H:$H,SMALL(PRENOTAZIONI!$V:$V,20)),"")</f>
        <v/>
      </c>
      <c r="H23" s="35" t="str">
        <f t="shared" si="1"/>
        <v/>
      </c>
      <c r="I23" s="35" t="str">
        <f t="shared" si="2"/>
        <v/>
      </c>
      <c r="J23" s="149" t="str">
        <f t="shared" si="3"/>
        <v/>
      </c>
      <c r="K23" s="34" t="str">
        <f>IFERROR(INDEX(PRENOTAZIONI!$K:$K,SMALL(PRENOTAZIONI!$V:$V,20)),"")</f>
        <v/>
      </c>
      <c r="L23" s="35" t="str">
        <f>IFERROR(INDEX(PRENOTAZIONI!$L:$L,SMALL(PRENOTAZIONI!$V:$V,20)),"")</f>
        <v/>
      </c>
      <c r="M23" s="150" t="str">
        <f t="shared" si="4"/>
        <v/>
      </c>
      <c r="N23" s="35" t="str">
        <f t="shared" si="5"/>
        <v/>
      </c>
      <c r="O23" s="35"/>
      <c r="P23" s="43"/>
      <c r="Q23" s="150" t="str">
        <f t="shared" si="6"/>
        <v/>
      </c>
      <c r="R23" s="47" t="str">
        <f>IFERROR(INDEX(PRENOTAZIONI!$R:$R,SMALL(PRENOTAZIONI!$V:$V,20)),"")</f>
        <v/>
      </c>
      <c r="S23" s="95"/>
      <c r="T23" s="94" t="str">
        <f>IFERROR(INDEX(PRENOTAZIONI!$A:$A,SMALL(PRENOTAZIONI!$AJ:$AJ,20)),"")</f>
        <v/>
      </c>
      <c r="U23" s="31" t="str">
        <f>IFERROR(INDEX(PRENOTAZIONI!$B:$B,SMALL(PRENOTAZIONI!$AJ:$AJ,20)),"")</f>
        <v/>
      </c>
      <c r="V23" s="32" t="str">
        <f t="shared" si="7"/>
        <v/>
      </c>
      <c r="W23" s="34" t="str">
        <f>IFERROR(INDEX(PRENOTAZIONI!$E:$E,SMALL(PRENOTAZIONI!$AJ:$AJ,20)),"")</f>
        <v/>
      </c>
      <c r="X23" s="34" t="str">
        <f>IFERROR(INDEX(PRENOTAZIONI!$F:$F,SMALL(PRENOTAZIONI!$AJ:$AJ,20)),"")</f>
        <v/>
      </c>
      <c r="Y23" s="35" t="str">
        <f>IFERROR(INDEX(PRENOTAZIONI!$H:$H,SMALL(PRENOTAZIONI!$AJ:$AJ,20)),"")</f>
        <v/>
      </c>
      <c r="Z23" s="34" t="str">
        <f>IFERROR(INDEX(PRENOTAZIONI!$K:$K,SMALL(PRENOTAZIONI!$AJ:$AJ,20)),"")</f>
        <v/>
      </c>
      <c r="AA23" s="34"/>
      <c r="AB23" s="34"/>
      <c r="AC23" s="40" t="str">
        <f t="shared" si="8"/>
        <v/>
      </c>
      <c r="AD23" s="41" t="str">
        <f t="shared" si="9"/>
        <v/>
      </c>
    </row>
    <row r="24" spans="1:42" ht="22" customHeight="1" x14ac:dyDescent="0.2">
      <c r="A24" s="31" t="str">
        <f>IFERROR(INDEX(PRENOTAZIONI!$A:$A,SMALL(PRENOTAZIONI!$V:$V,21)),"")</f>
        <v/>
      </c>
      <c r="B24" s="31" t="str">
        <f>IFERROR(INDEX(PRENOTAZIONI!$B:$B,SMALL(PRENOTAZIONI!$V:$V,21)),"")</f>
        <v/>
      </c>
      <c r="C24" s="32" t="str">
        <f t="shared" si="0"/>
        <v/>
      </c>
      <c r="D24" s="34" t="str">
        <f>IFERROR(INDEX(PRENOTAZIONI!$E:$E,SMALL(PRENOTAZIONI!$V:$V,21)),"")</f>
        <v/>
      </c>
      <c r="E24" s="34" t="str">
        <f>IFERROR(INDEX(PRENOTAZIONI!$F:$F,SMALL(PRENOTAZIONI!$V:$V,21)),"")</f>
        <v/>
      </c>
      <c r="F24" s="34" t="str">
        <f>IFERROR(INDEX(PRENOTAZIONI!$G:$G,SMALL(PRENOTAZIONI!$V:$V,21)),"")</f>
        <v/>
      </c>
      <c r="G24" s="35" t="str">
        <f>IFERROR(INDEX(PRENOTAZIONI!$H:$H,SMALL(PRENOTAZIONI!$V:$V,21)),"")</f>
        <v/>
      </c>
      <c r="H24" s="35" t="str">
        <f t="shared" si="1"/>
        <v/>
      </c>
      <c r="I24" s="35" t="str">
        <f t="shared" si="2"/>
        <v/>
      </c>
      <c r="J24" s="149" t="str">
        <f t="shared" si="3"/>
        <v/>
      </c>
      <c r="K24" s="34" t="str">
        <f>IFERROR(INDEX(PRENOTAZIONI!$K:$K,SMALL(PRENOTAZIONI!$V:$V,21)),"")</f>
        <v/>
      </c>
      <c r="L24" s="35" t="str">
        <f>IFERROR(INDEX(PRENOTAZIONI!$L:$L,SMALL(PRENOTAZIONI!$V:$V,21)),"")</f>
        <v/>
      </c>
      <c r="M24" s="150" t="str">
        <f t="shared" si="4"/>
        <v/>
      </c>
      <c r="N24" s="35" t="str">
        <f t="shared" si="5"/>
        <v/>
      </c>
      <c r="O24" s="35"/>
      <c r="P24" s="43"/>
      <c r="Q24" s="150" t="str">
        <f t="shared" si="6"/>
        <v/>
      </c>
      <c r="R24" s="47" t="str">
        <f>IFERROR(INDEX(PRENOTAZIONI!$R:$R,SMALL(PRENOTAZIONI!$V:$V,21)),"")</f>
        <v/>
      </c>
      <c r="S24" s="95"/>
      <c r="T24" s="94" t="str">
        <f>IFERROR(INDEX(PRENOTAZIONI!$A:$A,SMALL(PRENOTAZIONI!$AJ:$AJ,21)),"")</f>
        <v/>
      </c>
      <c r="U24" s="31" t="str">
        <f>IFERROR(INDEX(PRENOTAZIONI!$B:$B,SMALL(PRENOTAZIONI!$AJ:$AJ,21)),"")</f>
        <v/>
      </c>
      <c r="V24" s="32" t="str">
        <f t="shared" si="7"/>
        <v/>
      </c>
      <c r="W24" s="34" t="str">
        <f>IFERROR(INDEX(PRENOTAZIONI!$E:$E,SMALL(PRENOTAZIONI!$AJ:$AJ,21)),"")</f>
        <v/>
      </c>
      <c r="X24" s="34" t="str">
        <f>IFERROR(INDEX(PRENOTAZIONI!$F:$F,SMALL(PRENOTAZIONI!$AJ:$AJ,21)),"")</f>
        <v/>
      </c>
      <c r="Y24" s="35" t="str">
        <f>IFERROR(INDEX(PRENOTAZIONI!$H:$H,SMALL(PRENOTAZIONI!$AJ:$AJ,21)),"")</f>
        <v/>
      </c>
      <c r="Z24" s="34" t="str">
        <f>IFERROR(INDEX(PRENOTAZIONI!$K:$K,SMALL(PRENOTAZIONI!$AJ:$AJ,21)),"")</f>
        <v/>
      </c>
      <c r="AA24" s="34"/>
      <c r="AB24" s="34"/>
      <c r="AC24" s="40" t="str">
        <f t="shared" si="8"/>
        <v/>
      </c>
      <c r="AD24" s="41" t="str">
        <f t="shared" si="9"/>
        <v/>
      </c>
    </row>
    <row r="25" spans="1:42" ht="22" customHeight="1" x14ac:dyDescent="0.2">
      <c r="A25" s="31" t="str">
        <f>IFERROR(INDEX(PRENOTAZIONI!$A:$A,SMALL(PRENOTAZIONI!$V:$V,22)),"")</f>
        <v/>
      </c>
      <c r="B25" s="31" t="str">
        <f>IFERROR(INDEX(PRENOTAZIONI!$B:$B,SMALL(PRENOTAZIONI!$V:$V,22)),"")</f>
        <v/>
      </c>
      <c r="C25" s="32" t="str">
        <f t="shared" si="0"/>
        <v/>
      </c>
      <c r="D25" s="34" t="str">
        <f>IFERROR(INDEX(PRENOTAZIONI!$E:$E,SMALL(PRENOTAZIONI!$V:$V,22)),"")</f>
        <v/>
      </c>
      <c r="E25" s="34" t="str">
        <f>IFERROR(INDEX(PRENOTAZIONI!$F:$F,SMALL(PRENOTAZIONI!$V:$V,22)),"")</f>
        <v/>
      </c>
      <c r="F25" s="34" t="str">
        <f>IFERROR(INDEX(PRENOTAZIONI!$G:$G,SMALL(PRENOTAZIONI!$V:$V,22)),"")</f>
        <v/>
      </c>
      <c r="G25" s="35" t="str">
        <f>IFERROR(INDEX(PRENOTAZIONI!$H:$H,SMALL(PRENOTAZIONI!$V:$V,22)),"")</f>
        <v/>
      </c>
      <c r="H25" s="35" t="str">
        <f t="shared" si="1"/>
        <v/>
      </c>
      <c r="I25" s="35" t="str">
        <f t="shared" si="2"/>
        <v/>
      </c>
      <c r="J25" s="149" t="str">
        <f t="shared" si="3"/>
        <v/>
      </c>
      <c r="K25" s="34" t="str">
        <f>IFERROR(INDEX(PRENOTAZIONI!$K:$K,SMALL(PRENOTAZIONI!$V:$V,22)),"")</f>
        <v/>
      </c>
      <c r="L25" s="35" t="str">
        <f>IFERROR(INDEX(PRENOTAZIONI!$L:$L,SMALL(PRENOTAZIONI!$V:$V,22)),"")</f>
        <v/>
      </c>
      <c r="M25" s="150" t="str">
        <f t="shared" si="4"/>
        <v/>
      </c>
      <c r="N25" s="35" t="str">
        <f t="shared" si="5"/>
        <v/>
      </c>
      <c r="O25" s="35"/>
      <c r="P25" s="43"/>
      <c r="Q25" s="150" t="str">
        <f t="shared" si="6"/>
        <v/>
      </c>
      <c r="R25" s="47" t="str">
        <f>IFERROR(INDEX(PRENOTAZIONI!$R:$R,SMALL(PRENOTAZIONI!$V:$V,22)),"")</f>
        <v/>
      </c>
      <c r="S25" s="95"/>
      <c r="T25" s="94" t="str">
        <f>IFERROR(INDEX(PRENOTAZIONI!$A:$A,SMALL(PRENOTAZIONI!$AJ:$AJ,22)),"")</f>
        <v/>
      </c>
      <c r="U25" s="31" t="str">
        <f>IFERROR(INDEX(PRENOTAZIONI!$B:$B,SMALL(PRENOTAZIONI!$AJ:$AJ,22)),"")</f>
        <v/>
      </c>
      <c r="V25" s="32" t="str">
        <f t="shared" si="7"/>
        <v/>
      </c>
      <c r="W25" s="34" t="str">
        <f>IFERROR(INDEX(PRENOTAZIONI!$E:$E,SMALL(PRENOTAZIONI!$AJ:$AJ,22)),"")</f>
        <v/>
      </c>
      <c r="X25" s="34" t="str">
        <f>IFERROR(INDEX(PRENOTAZIONI!$F:$F,SMALL(PRENOTAZIONI!$AJ:$AJ,22)),"")</f>
        <v/>
      </c>
      <c r="Y25" s="35" t="str">
        <f>IFERROR(INDEX(PRENOTAZIONI!$H:$H,SMALL(PRENOTAZIONI!$AJ:$AJ,22)),"")</f>
        <v/>
      </c>
      <c r="Z25" s="34" t="str">
        <f>IFERROR(INDEX(PRENOTAZIONI!$K:$K,SMALL(PRENOTAZIONI!$AJ:$AJ,22)),"")</f>
        <v/>
      </c>
      <c r="AA25" s="34"/>
      <c r="AB25" s="34"/>
      <c r="AC25" s="40" t="str">
        <f t="shared" si="8"/>
        <v/>
      </c>
      <c r="AD25" s="41" t="str">
        <f t="shared" si="9"/>
        <v/>
      </c>
    </row>
    <row r="26" spans="1:42" ht="22" customHeight="1" x14ac:dyDescent="0.2">
      <c r="A26" s="31" t="str">
        <f>IFERROR(INDEX(PRENOTAZIONI!$A:$A,SMALL(PRENOTAZIONI!$V:$V,23)),"")</f>
        <v/>
      </c>
      <c r="B26" s="31" t="str">
        <f>IFERROR(INDEX(PRENOTAZIONI!$B:$B,SMALL(PRENOTAZIONI!$V:$V,23)),"")</f>
        <v/>
      </c>
      <c r="C26" s="32" t="str">
        <f t="shared" si="0"/>
        <v/>
      </c>
      <c r="D26" s="34" t="str">
        <f>IFERROR(INDEX(PRENOTAZIONI!$E:$E,SMALL(PRENOTAZIONI!$V:$V,23)),"")</f>
        <v/>
      </c>
      <c r="E26" s="34" t="str">
        <f>IFERROR(INDEX(PRENOTAZIONI!$F:$F,SMALL(PRENOTAZIONI!$V:$V,23)),"")</f>
        <v/>
      </c>
      <c r="F26" s="34" t="str">
        <f>IFERROR(INDEX(PRENOTAZIONI!$G:$G,SMALL(PRENOTAZIONI!$V:$V,23)),"")</f>
        <v/>
      </c>
      <c r="G26" s="35" t="str">
        <f>IFERROR(INDEX(PRENOTAZIONI!$H:$H,SMALL(PRENOTAZIONI!$V:$V,23)),"")</f>
        <v/>
      </c>
      <c r="H26" s="35" t="str">
        <f t="shared" si="1"/>
        <v/>
      </c>
      <c r="I26" s="35" t="str">
        <f t="shared" si="2"/>
        <v/>
      </c>
      <c r="J26" s="149" t="str">
        <f t="shared" si="3"/>
        <v/>
      </c>
      <c r="K26" s="34" t="str">
        <f>IFERROR(INDEX(PRENOTAZIONI!$K:$K,SMALL(PRENOTAZIONI!$V:$V,23)),"")</f>
        <v/>
      </c>
      <c r="L26" s="35" t="str">
        <f>IFERROR(INDEX(PRENOTAZIONI!$L:$L,SMALL(PRENOTAZIONI!$V:$V,23)),"")</f>
        <v/>
      </c>
      <c r="M26" s="150" t="str">
        <f t="shared" si="4"/>
        <v/>
      </c>
      <c r="N26" s="35" t="str">
        <f t="shared" si="5"/>
        <v/>
      </c>
      <c r="O26" s="35"/>
      <c r="P26" s="43"/>
      <c r="Q26" s="150" t="str">
        <f t="shared" si="6"/>
        <v/>
      </c>
      <c r="R26" s="47" t="str">
        <f>IFERROR(INDEX(PRENOTAZIONI!$R:$R,SMALL(PRENOTAZIONI!$V:$V,23)),"")</f>
        <v/>
      </c>
      <c r="S26" s="95"/>
      <c r="T26" s="94" t="str">
        <f>IFERROR(INDEX(PRENOTAZIONI!$A:$A,SMALL(PRENOTAZIONI!$AJ:$AJ,23)),"")</f>
        <v/>
      </c>
      <c r="U26" s="31" t="str">
        <f>IFERROR(INDEX(PRENOTAZIONI!$B:$B,SMALL(PRENOTAZIONI!$AJ:$AJ,23)),"")</f>
        <v/>
      </c>
      <c r="V26" s="32" t="str">
        <f t="shared" si="7"/>
        <v/>
      </c>
      <c r="W26" s="34" t="str">
        <f>IFERROR(INDEX(PRENOTAZIONI!$E:$E,SMALL(PRENOTAZIONI!$AJ:$AJ,23)),"")</f>
        <v/>
      </c>
      <c r="X26" s="34" t="str">
        <f>IFERROR(INDEX(PRENOTAZIONI!$F:$F,SMALL(PRENOTAZIONI!$AJ:$AJ,23)),"")</f>
        <v/>
      </c>
      <c r="Y26" s="35" t="str">
        <f>IFERROR(INDEX(PRENOTAZIONI!$H:$H,SMALL(PRENOTAZIONI!$AJ:$AJ,23)),"")</f>
        <v/>
      </c>
      <c r="Z26" s="34" t="str">
        <f>IFERROR(INDEX(PRENOTAZIONI!$K:$K,SMALL(PRENOTAZIONI!$AJ:$AJ,23)),"")</f>
        <v/>
      </c>
      <c r="AA26" s="34"/>
      <c r="AB26" s="34"/>
      <c r="AC26" s="40" t="str">
        <f t="shared" si="8"/>
        <v/>
      </c>
      <c r="AD26" s="41" t="str">
        <f t="shared" si="9"/>
        <v/>
      </c>
    </row>
    <row r="27" spans="1:42" ht="22" customHeight="1" x14ac:dyDescent="0.2">
      <c r="A27" s="31" t="str">
        <f>IFERROR(INDEX(PRENOTAZIONI!$A:$A,SMALL(PRENOTAZIONI!$V:$V,24)),"")</f>
        <v/>
      </c>
      <c r="B27" s="31" t="str">
        <f>IFERROR(INDEX(PRENOTAZIONI!$B:$B,SMALL(PRENOTAZIONI!$V:$V,24)),"")</f>
        <v/>
      </c>
      <c r="C27" s="32" t="str">
        <f t="shared" si="0"/>
        <v/>
      </c>
      <c r="D27" s="34" t="str">
        <f>IFERROR(INDEX(PRENOTAZIONI!$E:$E,SMALL(PRENOTAZIONI!$V:$V,24)),"")</f>
        <v/>
      </c>
      <c r="E27" s="34" t="str">
        <f>IFERROR(INDEX(PRENOTAZIONI!$F:$F,SMALL(PRENOTAZIONI!$V:$V,24)),"")</f>
        <v/>
      </c>
      <c r="F27" s="34" t="str">
        <f>IFERROR(INDEX(PRENOTAZIONI!$G:$G,SMALL(PRENOTAZIONI!$V:$V,24)),"")</f>
        <v/>
      </c>
      <c r="G27" s="35" t="str">
        <f>IFERROR(INDEX(PRENOTAZIONI!$H:$H,SMALL(PRENOTAZIONI!$V:$V,24)),"")</f>
        <v/>
      </c>
      <c r="H27" s="35" t="str">
        <f t="shared" si="1"/>
        <v/>
      </c>
      <c r="I27" s="35" t="str">
        <f t="shared" si="2"/>
        <v/>
      </c>
      <c r="J27" s="149" t="str">
        <f t="shared" si="3"/>
        <v/>
      </c>
      <c r="K27" s="34" t="str">
        <f>IFERROR(INDEX(PRENOTAZIONI!$K:$K,SMALL(PRENOTAZIONI!$V:$V,24)),"")</f>
        <v/>
      </c>
      <c r="L27" s="35" t="str">
        <f>IFERROR(INDEX(PRENOTAZIONI!$L:$L,SMALL(PRENOTAZIONI!$V:$V,24)),"")</f>
        <v/>
      </c>
      <c r="M27" s="150" t="str">
        <f t="shared" si="4"/>
        <v/>
      </c>
      <c r="N27" s="35" t="str">
        <f t="shared" si="5"/>
        <v/>
      </c>
      <c r="O27" s="35"/>
      <c r="P27" s="43"/>
      <c r="Q27" s="150" t="str">
        <f t="shared" si="6"/>
        <v/>
      </c>
      <c r="R27" s="47" t="str">
        <f>IFERROR(INDEX(PRENOTAZIONI!$R:$R,SMALL(PRENOTAZIONI!$V:$V,24)),"")</f>
        <v/>
      </c>
      <c r="S27" s="95"/>
      <c r="T27" s="94" t="str">
        <f>IFERROR(INDEX(PRENOTAZIONI!$A:$A,SMALL(PRENOTAZIONI!$AJ:$AJ,24)),"")</f>
        <v/>
      </c>
      <c r="U27" s="31" t="str">
        <f>IFERROR(INDEX(PRENOTAZIONI!$B:$B,SMALL(PRENOTAZIONI!$AJ:$AJ,24)),"")</f>
        <v/>
      </c>
      <c r="V27" s="32" t="str">
        <f t="shared" si="7"/>
        <v/>
      </c>
      <c r="W27" s="34" t="str">
        <f>IFERROR(INDEX(PRENOTAZIONI!$E:$E,SMALL(PRENOTAZIONI!$AJ:$AJ,24)),"")</f>
        <v/>
      </c>
      <c r="X27" s="34" t="str">
        <f>IFERROR(INDEX(PRENOTAZIONI!$F:$F,SMALL(PRENOTAZIONI!$AJ:$AJ,24)),"")</f>
        <v/>
      </c>
      <c r="Y27" s="35" t="str">
        <f>IFERROR(INDEX(PRENOTAZIONI!$H:$H,SMALL(PRENOTAZIONI!$AJ:$AJ,24)),"")</f>
        <v/>
      </c>
      <c r="Z27" s="34" t="str">
        <f>IFERROR(INDEX(PRENOTAZIONI!$K:$K,SMALL(PRENOTAZIONI!$AJ:$AJ,24)),"")</f>
        <v/>
      </c>
      <c r="AA27" s="34"/>
      <c r="AB27" s="34"/>
      <c r="AC27" s="40" t="str">
        <f t="shared" si="8"/>
        <v/>
      </c>
      <c r="AD27" s="41" t="str">
        <f t="shared" si="9"/>
        <v/>
      </c>
    </row>
    <row r="28" spans="1:42" ht="22" customHeight="1" x14ac:dyDescent="0.2">
      <c r="A28" s="31" t="str">
        <f>IFERROR(INDEX(PRENOTAZIONI!$A:$A,SMALL(PRENOTAZIONI!$V:$V,25)),"")</f>
        <v/>
      </c>
      <c r="B28" s="31" t="str">
        <f>IFERROR(INDEX(PRENOTAZIONI!$B:$B,SMALL(PRENOTAZIONI!$V:$V,25)),"")</f>
        <v/>
      </c>
      <c r="C28" s="32" t="str">
        <f t="shared" si="0"/>
        <v/>
      </c>
      <c r="D28" s="34" t="str">
        <f>IFERROR(INDEX(PRENOTAZIONI!$E:$E,SMALL(PRENOTAZIONI!$V:$V,25)),"")</f>
        <v/>
      </c>
      <c r="E28" s="34" t="str">
        <f>IFERROR(INDEX(PRENOTAZIONI!$F:$F,SMALL(PRENOTAZIONI!$V:$V,25)),"")</f>
        <v/>
      </c>
      <c r="F28" s="34" t="str">
        <f>IFERROR(INDEX(PRENOTAZIONI!$G:$G,SMALL(PRENOTAZIONI!$V:$V,25)),"")</f>
        <v/>
      </c>
      <c r="G28" s="35" t="str">
        <f>IFERROR(INDEX(PRENOTAZIONI!$H:$H,SMALL(PRENOTAZIONI!$V:$V,25)),"")</f>
        <v/>
      </c>
      <c r="H28" s="35" t="str">
        <f t="shared" si="1"/>
        <v/>
      </c>
      <c r="I28" s="35" t="str">
        <f t="shared" si="2"/>
        <v/>
      </c>
      <c r="J28" s="149" t="str">
        <f t="shared" si="3"/>
        <v/>
      </c>
      <c r="K28" s="34" t="str">
        <f>IFERROR(INDEX(PRENOTAZIONI!$K:$K,SMALL(PRENOTAZIONI!$V:$V,25)),"")</f>
        <v/>
      </c>
      <c r="L28" s="35" t="str">
        <f>IFERROR(INDEX(PRENOTAZIONI!$L:$L,SMALL(PRENOTAZIONI!$V:$V,25)),"")</f>
        <v/>
      </c>
      <c r="M28" s="150" t="str">
        <f t="shared" si="4"/>
        <v/>
      </c>
      <c r="N28" s="35" t="str">
        <f t="shared" si="5"/>
        <v/>
      </c>
      <c r="O28" s="35"/>
      <c r="P28" s="43"/>
      <c r="Q28" s="150" t="str">
        <f t="shared" si="6"/>
        <v/>
      </c>
      <c r="R28" s="47" t="str">
        <f>IFERROR(INDEX(PRENOTAZIONI!$R:$R,SMALL(PRENOTAZIONI!$V:$V,25)),"")</f>
        <v/>
      </c>
      <c r="S28" s="95"/>
      <c r="T28" s="94" t="str">
        <f>IFERROR(INDEX(PRENOTAZIONI!$A:$A,SMALL(PRENOTAZIONI!$AJ:$AJ,25)),"")</f>
        <v/>
      </c>
      <c r="U28" s="31" t="str">
        <f>IFERROR(INDEX(PRENOTAZIONI!$B:$B,SMALL(PRENOTAZIONI!$AJ:$AJ,25)),"")</f>
        <v/>
      </c>
      <c r="V28" s="32" t="str">
        <f t="shared" si="7"/>
        <v/>
      </c>
      <c r="W28" s="34" t="str">
        <f>IFERROR(INDEX(PRENOTAZIONI!$E:$E,SMALL(PRENOTAZIONI!$AJ:$AJ,25)),"")</f>
        <v/>
      </c>
      <c r="X28" s="34" t="str">
        <f>IFERROR(INDEX(PRENOTAZIONI!$F:$F,SMALL(PRENOTAZIONI!$AJ:$AJ,25)),"")</f>
        <v/>
      </c>
      <c r="Y28" s="35" t="str">
        <f>IFERROR(INDEX(PRENOTAZIONI!$H:$H,SMALL(PRENOTAZIONI!$AJ:$AJ,25)),"")</f>
        <v/>
      </c>
      <c r="Z28" s="34" t="str">
        <f>IFERROR(INDEX(PRENOTAZIONI!$K:$K,SMALL(PRENOTAZIONI!$AJ:$AJ,25)),"")</f>
        <v/>
      </c>
      <c r="AA28" s="34"/>
      <c r="AB28" s="34"/>
      <c r="AC28" s="40" t="str">
        <f t="shared" si="8"/>
        <v/>
      </c>
      <c r="AD28" s="41" t="str">
        <f t="shared" si="9"/>
        <v/>
      </c>
    </row>
    <row r="29" spans="1:42" ht="22" customHeight="1" x14ac:dyDescent="0.2">
      <c r="A29" s="31" t="str">
        <f>IFERROR(INDEX(PRENOTAZIONI!$A:$A,SMALL(PRENOTAZIONI!$V:$V,26)),"")</f>
        <v/>
      </c>
      <c r="B29" s="31" t="str">
        <f>IFERROR(INDEX(PRENOTAZIONI!$B:$B,SMALL(PRENOTAZIONI!$V:$V,26)),"")</f>
        <v/>
      </c>
      <c r="C29" s="32" t="str">
        <f t="shared" si="0"/>
        <v/>
      </c>
      <c r="D29" s="34" t="str">
        <f>IFERROR(INDEX(PRENOTAZIONI!$E:$E,SMALL(PRENOTAZIONI!$V:$V,26)),"")</f>
        <v/>
      </c>
      <c r="E29" s="34" t="str">
        <f>IFERROR(INDEX(PRENOTAZIONI!$F:$F,SMALL(PRENOTAZIONI!$V:$V,26)),"")</f>
        <v/>
      </c>
      <c r="F29" s="34" t="str">
        <f>IFERROR(INDEX(PRENOTAZIONI!$G:$G,SMALL(PRENOTAZIONI!$V:$V,26)),"")</f>
        <v/>
      </c>
      <c r="G29" s="35" t="str">
        <f>IFERROR(INDEX(PRENOTAZIONI!$H:$H,SMALL(PRENOTAZIONI!$V:$V,26)),"")</f>
        <v/>
      </c>
      <c r="H29" s="35" t="str">
        <f t="shared" si="1"/>
        <v/>
      </c>
      <c r="I29" s="35" t="str">
        <f t="shared" si="2"/>
        <v/>
      </c>
      <c r="J29" s="149" t="str">
        <f t="shared" si="3"/>
        <v/>
      </c>
      <c r="K29" s="34" t="str">
        <f>IFERROR(INDEX(PRENOTAZIONI!$K:$K,SMALL(PRENOTAZIONI!$V:$V,26)),"")</f>
        <v/>
      </c>
      <c r="L29" s="35" t="str">
        <f>IFERROR(INDEX(PRENOTAZIONI!$L:$L,SMALL(PRENOTAZIONI!$V:$V,26)),"")</f>
        <v/>
      </c>
      <c r="M29" s="150" t="str">
        <f t="shared" si="4"/>
        <v/>
      </c>
      <c r="N29" s="35" t="str">
        <f t="shared" si="5"/>
        <v/>
      </c>
      <c r="O29" s="35"/>
      <c r="P29" s="43"/>
      <c r="Q29" s="150" t="str">
        <f t="shared" si="6"/>
        <v/>
      </c>
      <c r="R29" s="47" t="str">
        <f>IFERROR(INDEX(PRENOTAZIONI!$R:$R,SMALL(PRENOTAZIONI!$V:$V,26)),"")</f>
        <v/>
      </c>
      <c r="S29" s="95"/>
      <c r="T29" s="94" t="str">
        <f>IFERROR(INDEX(PRENOTAZIONI!$A:$A,SMALL(PRENOTAZIONI!$AJ:$AJ,26)),"")</f>
        <v/>
      </c>
      <c r="U29" s="31" t="str">
        <f>IFERROR(INDEX(PRENOTAZIONI!$B:$B,SMALL(PRENOTAZIONI!$AJ:$AJ,26)),"")</f>
        <v/>
      </c>
      <c r="V29" s="32" t="str">
        <f t="shared" si="7"/>
        <v/>
      </c>
      <c r="W29" s="34" t="str">
        <f>IFERROR(INDEX(PRENOTAZIONI!$E:$E,SMALL(PRENOTAZIONI!$AJ:$AJ,26)),"")</f>
        <v/>
      </c>
      <c r="X29" s="34" t="str">
        <f>IFERROR(INDEX(PRENOTAZIONI!$F:$F,SMALL(PRENOTAZIONI!$AJ:$AJ,26)),"")</f>
        <v/>
      </c>
      <c r="Y29" s="35" t="str">
        <f>IFERROR(INDEX(PRENOTAZIONI!$H:$H,SMALL(PRENOTAZIONI!$AJ:$AJ,26)),"")</f>
        <v/>
      </c>
      <c r="Z29" s="34" t="str">
        <f>IFERROR(INDEX(PRENOTAZIONI!$K:$K,SMALL(PRENOTAZIONI!$AJ:$AJ,26)),"")</f>
        <v/>
      </c>
      <c r="AA29" s="34"/>
      <c r="AB29" s="34"/>
      <c r="AC29" s="40" t="str">
        <f t="shared" si="8"/>
        <v/>
      </c>
      <c r="AD29" s="41" t="str">
        <f t="shared" si="9"/>
        <v/>
      </c>
    </row>
    <row r="30" spans="1:42" ht="22" customHeight="1" x14ac:dyDescent="0.2">
      <c r="A30" s="31" t="str">
        <f>IFERROR(INDEX(PRENOTAZIONI!$A:$A,SMALL(PRENOTAZIONI!$V:$V,27)),"")</f>
        <v/>
      </c>
      <c r="B30" s="31" t="str">
        <f>IFERROR(INDEX(PRENOTAZIONI!$B:$B,SMALL(PRENOTAZIONI!$V:$V,27)),"")</f>
        <v/>
      </c>
      <c r="C30" s="32" t="str">
        <f t="shared" si="0"/>
        <v/>
      </c>
      <c r="D30" s="34" t="str">
        <f>IFERROR(INDEX(PRENOTAZIONI!$E:$E,SMALL(PRENOTAZIONI!$V:$V,27)),"")</f>
        <v/>
      </c>
      <c r="E30" s="34" t="str">
        <f>IFERROR(INDEX(PRENOTAZIONI!$F:$F,SMALL(PRENOTAZIONI!$V:$V,27)),"")</f>
        <v/>
      </c>
      <c r="F30" s="34" t="str">
        <f>IFERROR(INDEX(PRENOTAZIONI!$G:$G,SMALL(PRENOTAZIONI!$V:$V,27)),"")</f>
        <v/>
      </c>
      <c r="G30" s="35" t="str">
        <f>IFERROR(INDEX(PRENOTAZIONI!$H:$H,SMALL(PRENOTAZIONI!$V:$V,27)),"")</f>
        <v/>
      </c>
      <c r="H30" s="35" t="str">
        <f t="shared" si="1"/>
        <v/>
      </c>
      <c r="I30" s="35" t="str">
        <f t="shared" si="2"/>
        <v/>
      </c>
      <c r="J30" s="149" t="str">
        <f t="shared" si="3"/>
        <v/>
      </c>
      <c r="K30" s="34" t="str">
        <f>IFERROR(INDEX(PRENOTAZIONI!$K:$K,SMALL(PRENOTAZIONI!$V:$V,27)),"")</f>
        <v/>
      </c>
      <c r="L30" s="35" t="str">
        <f>IFERROR(INDEX(PRENOTAZIONI!$L:$L,SMALL(PRENOTAZIONI!$V:$V,27)),"")</f>
        <v/>
      </c>
      <c r="M30" s="150" t="str">
        <f t="shared" si="4"/>
        <v/>
      </c>
      <c r="N30" s="35" t="str">
        <f t="shared" si="5"/>
        <v/>
      </c>
      <c r="O30" s="35"/>
      <c r="P30" s="43"/>
      <c r="Q30" s="150" t="str">
        <f t="shared" si="6"/>
        <v/>
      </c>
      <c r="R30" s="47" t="str">
        <f>IFERROR(INDEX(PRENOTAZIONI!$R:$R,SMALL(PRENOTAZIONI!$V:$V,27)),"")</f>
        <v/>
      </c>
      <c r="S30" s="95"/>
      <c r="T30" s="94" t="str">
        <f>IFERROR(INDEX(PRENOTAZIONI!$A:$A,SMALL(PRENOTAZIONI!$AJ:$AJ,27)),"")</f>
        <v/>
      </c>
      <c r="U30" s="31" t="str">
        <f>IFERROR(INDEX(PRENOTAZIONI!$B:$B,SMALL(PRENOTAZIONI!$AJ:$AJ,27)),"")</f>
        <v/>
      </c>
      <c r="V30" s="32" t="str">
        <f t="shared" si="7"/>
        <v/>
      </c>
      <c r="W30" s="34" t="str">
        <f>IFERROR(INDEX(PRENOTAZIONI!$E:$E,SMALL(PRENOTAZIONI!$AJ:$AJ,27)),"")</f>
        <v/>
      </c>
      <c r="X30" s="34" t="str">
        <f>IFERROR(INDEX(PRENOTAZIONI!$F:$F,SMALL(PRENOTAZIONI!$AJ:$AJ,27)),"")</f>
        <v/>
      </c>
      <c r="Y30" s="35" t="str">
        <f>IFERROR(INDEX(PRENOTAZIONI!$H:$H,SMALL(PRENOTAZIONI!$AJ:$AJ,27)),"")</f>
        <v/>
      </c>
      <c r="Z30" s="34" t="str">
        <f>IFERROR(INDEX(PRENOTAZIONI!$K:$K,SMALL(PRENOTAZIONI!$AJ:$AJ,27)),"")</f>
        <v/>
      </c>
      <c r="AA30" s="34"/>
      <c r="AB30" s="34"/>
      <c r="AC30" s="40" t="str">
        <f t="shared" si="8"/>
        <v/>
      </c>
      <c r="AD30" s="41" t="str">
        <f t="shared" si="9"/>
        <v/>
      </c>
    </row>
    <row r="31" spans="1:42" ht="22" customHeight="1" x14ac:dyDescent="0.2">
      <c r="A31" s="31" t="str">
        <f>IFERROR(INDEX(PRENOTAZIONI!$A:$A,SMALL(PRENOTAZIONI!$V:$V,28)),"")</f>
        <v/>
      </c>
      <c r="B31" s="31" t="str">
        <f>IFERROR(INDEX(PRENOTAZIONI!$B:$B,SMALL(PRENOTAZIONI!$V:$V,28)),"")</f>
        <v/>
      </c>
      <c r="C31" s="32" t="str">
        <f t="shared" si="0"/>
        <v/>
      </c>
      <c r="D31" s="34" t="str">
        <f>IFERROR(INDEX(PRENOTAZIONI!$E:$E,SMALL(PRENOTAZIONI!$V:$V,28)),"")</f>
        <v/>
      </c>
      <c r="E31" s="34" t="str">
        <f>IFERROR(INDEX(PRENOTAZIONI!$F:$F,SMALL(PRENOTAZIONI!$V:$V,28)),"")</f>
        <v/>
      </c>
      <c r="F31" s="34" t="str">
        <f>IFERROR(INDEX(PRENOTAZIONI!$G:$G,SMALL(PRENOTAZIONI!$V:$V,28)),"")</f>
        <v/>
      </c>
      <c r="G31" s="35" t="str">
        <f>IFERROR(INDEX(PRENOTAZIONI!$H:$H,SMALL(PRENOTAZIONI!$V:$V,28)),"")</f>
        <v/>
      </c>
      <c r="H31" s="35" t="str">
        <f t="shared" si="1"/>
        <v/>
      </c>
      <c r="I31" s="35" t="str">
        <f t="shared" si="2"/>
        <v/>
      </c>
      <c r="J31" s="149" t="str">
        <f t="shared" si="3"/>
        <v/>
      </c>
      <c r="K31" s="34" t="str">
        <f>IFERROR(INDEX(PRENOTAZIONI!$K:$K,SMALL(PRENOTAZIONI!$V:$V,28)),"")</f>
        <v/>
      </c>
      <c r="L31" s="35" t="str">
        <f>IFERROR(INDEX(PRENOTAZIONI!$L:$L,SMALL(PRENOTAZIONI!$V:$V,28)),"")</f>
        <v/>
      </c>
      <c r="M31" s="150" t="str">
        <f t="shared" si="4"/>
        <v/>
      </c>
      <c r="N31" s="35" t="str">
        <f t="shared" si="5"/>
        <v/>
      </c>
      <c r="O31" s="35"/>
      <c r="P31" s="43"/>
      <c r="Q31" s="150" t="str">
        <f t="shared" si="6"/>
        <v/>
      </c>
      <c r="R31" s="47" t="str">
        <f>IFERROR(INDEX(PRENOTAZIONI!$R:$R,SMALL(PRENOTAZIONI!$V:$V,28)),"")</f>
        <v/>
      </c>
      <c r="S31" s="95"/>
      <c r="T31" s="94" t="str">
        <f>IFERROR(INDEX(PRENOTAZIONI!$A:$A,SMALL(PRENOTAZIONI!$AJ:$AJ,28)),"")</f>
        <v/>
      </c>
      <c r="U31" s="31" t="str">
        <f>IFERROR(INDEX(PRENOTAZIONI!$B:$B,SMALL(PRENOTAZIONI!$AJ:$AJ,28)),"")</f>
        <v/>
      </c>
      <c r="V31" s="32" t="str">
        <f t="shared" si="7"/>
        <v/>
      </c>
      <c r="W31" s="34" t="str">
        <f>IFERROR(INDEX(PRENOTAZIONI!$E:$E,SMALL(PRENOTAZIONI!$AJ:$AJ,28)),"")</f>
        <v/>
      </c>
      <c r="X31" s="34" t="str">
        <f>IFERROR(INDEX(PRENOTAZIONI!$F:$F,SMALL(PRENOTAZIONI!$AJ:$AJ,28)),"")</f>
        <v/>
      </c>
      <c r="Y31" s="35" t="str">
        <f>IFERROR(INDEX(PRENOTAZIONI!$H:$H,SMALL(PRENOTAZIONI!$AJ:$AJ,28)),"")</f>
        <v/>
      </c>
      <c r="Z31" s="34" t="str">
        <f>IFERROR(INDEX(PRENOTAZIONI!$K:$K,SMALL(PRENOTAZIONI!$AJ:$AJ,28)),"")</f>
        <v/>
      </c>
      <c r="AA31" s="34"/>
      <c r="AB31" s="34"/>
      <c r="AC31" s="40" t="str">
        <f t="shared" si="8"/>
        <v/>
      </c>
      <c r="AD31" s="41" t="str">
        <f t="shared" si="9"/>
        <v/>
      </c>
    </row>
    <row r="32" spans="1:42" ht="22" customHeight="1" x14ac:dyDescent="0.2">
      <c r="A32" s="31" t="str">
        <f>IFERROR(INDEX(PRENOTAZIONI!$A:$A,SMALL(PRENOTAZIONI!$V:$V,29)),"")</f>
        <v/>
      </c>
      <c r="B32" s="31" t="str">
        <f>IFERROR(INDEX(PRENOTAZIONI!$B:$B,SMALL(PRENOTAZIONI!$V:$V,29)),"")</f>
        <v/>
      </c>
      <c r="C32" s="32" t="str">
        <f t="shared" si="0"/>
        <v/>
      </c>
      <c r="D32" s="34" t="str">
        <f>IFERROR(INDEX(PRENOTAZIONI!$E:$E,SMALL(PRENOTAZIONI!$V:$V,29)),"")</f>
        <v/>
      </c>
      <c r="E32" s="34" t="str">
        <f>IFERROR(INDEX(PRENOTAZIONI!$F:$F,SMALL(PRENOTAZIONI!$V:$V,29)),"")</f>
        <v/>
      </c>
      <c r="F32" s="34" t="str">
        <f>IFERROR(INDEX(PRENOTAZIONI!$G:$G,SMALL(PRENOTAZIONI!$V:$V,29)),"")</f>
        <v/>
      </c>
      <c r="G32" s="35" t="str">
        <f>IFERROR(INDEX(PRENOTAZIONI!$H:$H,SMALL(PRENOTAZIONI!$V:$V,29)),"")</f>
        <v/>
      </c>
      <c r="H32" s="35" t="str">
        <f t="shared" si="1"/>
        <v/>
      </c>
      <c r="I32" s="35" t="str">
        <f t="shared" si="2"/>
        <v/>
      </c>
      <c r="J32" s="149" t="str">
        <f t="shared" si="3"/>
        <v/>
      </c>
      <c r="K32" s="34" t="str">
        <f>IFERROR(INDEX(PRENOTAZIONI!$K:$K,SMALL(PRENOTAZIONI!$V:$V,29)),"")</f>
        <v/>
      </c>
      <c r="L32" s="35" t="str">
        <f>IFERROR(INDEX(PRENOTAZIONI!$L:$L,SMALL(PRENOTAZIONI!$V:$V,29)),"")</f>
        <v/>
      </c>
      <c r="M32" s="150" t="str">
        <f t="shared" si="4"/>
        <v/>
      </c>
      <c r="N32" s="35" t="str">
        <f t="shared" si="5"/>
        <v/>
      </c>
      <c r="O32" s="35"/>
      <c r="P32" s="43"/>
      <c r="Q32" s="150" t="str">
        <f t="shared" si="6"/>
        <v/>
      </c>
      <c r="R32" s="47" t="str">
        <f>IFERROR(INDEX(PRENOTAZIONI!$R:$R,SMALL(PRENOTAZIONI!$V:$V,29)),"")</f>
        <v/>
      </c>
      <c r="S32" s="95"/>
      <c r="T32" s="94" t="str">
        <f>IFERROR(INDEX(PRENOTAZIONI!$A:$A,SMALL(PRENOTAZIONI!$AJ:$AJ,29)),"")</f>
        <v/>
      </c>
      <c r="U32" s="31" t="str">
        <f>IFERROR(INDEX(PRENOTAZIONI!$B:$B,SMALL(PRENOTAZIONI!$AJ:$AJ,29)),"")</f>
        <v/>
      </c>
      <c r="V32" s="32" t="str">
        <f t="shared" si="7"/>
        <v/>
      </c>
      <c r="W32" s="34" t="str">
        <f>IFERROR(INDEX(PRENOTAZIONI!$E:$E,SMALL(PRENOTAZIONI!$AJ:$AJ,29)),"")</f>
        <v/>
      </c>
      <c r="X32" s="34" t="str">
        <f>IFERROR(INDEX(PRENOTAZIONI!$F:$F,SMALL(PRENOTAZIONI!$AJ:$AJ,29)),"")</f>
        <v/>
      </c>
      <c r="Y32" s="35" t="str">
        <f>IFERROR(INDEX(PRENOTAZIONI!$H:$H,SMALL(PRENOTAZIONI!$AJ:$AJ,29)),"")</f>
        <v/>
      </c>
      <c r="Z32" s="34" t="str">
        <f>IFERROR(INDEX(PRENOTAZIONI!$K:$K,SMALL(PRENOTAZIONI!$AJ:$AJ,29)),"")</f>
        <v/>
      </c>
      <c r="AA32" s="34"/>
      <c r="AB32" s="34"/>
      <c r="AC32" s="40" t="str">
        <f t="shared" si="8"/>
        <v/>
      </c>
      <c r="AD32" s="41" t="str">
        <f t="shared" si="9"/>
        <v/>
      </c>
    </row>
    <row r="33" spans="1:30" ht="22" customHeight="1" x14ac:dyDescent="0.2">
      <c r="A33" s="31" t="str">
        <f>IFERROR(INDEX(PRENOTAZIONI!$A:$A,SMALL(PRENOTAZIONI!$V:$V,30)),"")</f>
        <v/>
      </c>
      <c r="B33" s="31" t="str">
        <f>IFERROR(INDEX(PRENOTAZIONI!$B:$B,SMALL(PRENOTAZIONI!$V:$V,30)),"")</f>
        <v/>
      </c>
      <c r="C33" s="32" t="str">
        <f t="shared" si="0"/>
        <v/>
      </c>
      <c r="D33" s="34" t="str">
        <f>IFERROR(INDEX(PRENOTAZIONI!$E:$E,SMALL(PRENOTAZIONI!$V:$V,30)),"")</f>
        <v/>
      </c>
      <c r="E33" s="34" t="str">
        <f>IFERROR(INDEX(PRENOTAZIONI!$F:$F,SMALL(PRENOTAZIONI!$V:$V,30)),"")</f>
        <v/>
      </c>
      <c r="F33" s="34" t="str">
        <f>IFERROR(INDEX(PRENOTAZIONI!$G:$G,SMALL(PRENOTAZIONI!$V:$V,30)),"")</f>
        <v/>
      </c>
      <c r="G33" s="35" t="str">
        <f>IFERROR(INDEX(PRENOTAZIONI!$H:$H,SMALL(PRENOTAZIONI!$V:$V,30)),"")</f>
        <v/>
      </c>
      <c r="H33" s="35" t="str">
        <f t="shared" si="1"/>
        <v/>
      </c>
      <c r="I33" s="35" t="str">
        <f t="shared" si="2"/>
        <v/>
      </c>
      <c r="J33" s="149" t="str">
        <f t="shared" si="3"/>
        <v/>
      </c>
      <c r="K33" s="34" t="str">
        <f>IFERROR(INDEX(PRENOTAZIONI!$K:$K,SMALL(PRENOTAZIONI!$V:$V,30)),"")</f>
        <v/>
      </c>
      <c r="L33" s="35" t="str">
        <f>IFERROR(INDEX(PRENOTAZIONI!$L:$L,SMALL(PRENOTAZIONI!$V:$V,30)),"")</f>
        <v/>
      </c>
      <c r="M33" s="150" t="str">
        <f t="shared" si="4"/>
        <v/>
      </c>
      <c r="N33" s="35" t="str">
        <f t="shared" si="5"/>
        <v/>
      </c>
      <c r="O33" s="35"/>
      <c r="P33" s="43"/>
      <c r="Q33" s="150" t="str">
        <f t="shared" si="6"/>
        <v/>
      </c>
      <c r="R33" s="47" t="str">
        <f>IFERROR(INDEX(PRENOTAZIONI!$R:$R,SMALL(PRENOTAZIONI!$V:$V,30)),"")</f>
        <v/>
      </c>
      <c r="S33" s="95"/>
      <c r="T33" s="96" t="str">
        <f>IFERROR(INDEX(PRENOTAZIONI!$A:$A,SMALL(PRENOTAZIONI!$AJ:$AJ,30)),"")</f>
        <v/>
      </c>
      <c r="U33" s="48" t="str">
        <f>IFERROR(INDEX(PRENOTAZIONI!$B:$B,SMALL(PRENOTAZIONI!$AJ:$AJ,30)),"")</f>
        <v/>
      </c>
      <c r="V33" s="52" t="str">
        <f t="shared" si="7"/>
        <v/>
      </c>
      <c r="W33" s="53" t="str">
        <f>IFERROR(INDEX(PRENOTAZIONI!$E:$E,SMALL(PRENOTAZIONI!$AJ:$AJ,30)),"")</f>
        <v/>
      </c>
      <c r="X33" s="53" t="str">
        <f>IFERROR(INDEX(PRENOTAZIONI!$F:$F,SMALL(PRENOTAZIONI!$AJ:$AJ,30)),"")</f>
        <v/>
      </c>
      <c r="Y33" s="54" t="str">
        <f>IFERROR(INDEX(PRENOTAZIONI!$H:$H,SMALL(PRENOTAZIONI!$AJ:$AJ,30)),"")</f>
        <v/>
      </c>
      <c r="Z33" s="53" t="str">
        <f>IFERROR(INDEX(PRENOTAZIONI!$K:$K,SMALL(PRENOTAZIONI!$AJ:$AJ,30)),"")</f>
        <v/>
      </c>
      <c r="AA33" s="53"/>
      <c r="AB33" s="53"/>
      <c r="AC33" s="55" t="str">
        <f t="shared" si="8"/>
        <v/>
      </c>
      <c r="AD33" s="56" t="str">
        <f t="shared" si="9"/>
        <v/>
      </c>
    </row>
    <row r="34" spans="1:30" ht="24" customHeight="1" x14ac:dyDescent="0.2">
      <c r="A34" s="31" t="str">
        <f>IFERROR(INDEX(PRENOTAZIONI!$A:$A,SMALL(PRENOTAZIONI!$V:$V,31)),"")</f>
        <v/>
      </c>
      <c r="B34" s="31" t="str">
        <f>IFERROR(INDEX(PRENOTAZIONI!$B:$B,SMALL(PRENOTAZIONI!$V:$V,31)),"")</f>
        <v/>
      </c>
      <c r="C34" s="32" t="str">
        <f t="shared" si="0"/>
        <v/>
      </c>
      <c r="D34" s="34" t="str">
        <f>IFERROR(INDEX(PRENOTAZIONI!$E:$E,SMALL(PRENOTAZIONI!$V:$V,31)),"")</f>
        <v/>
      </c>
      <c r="E34" s="34" t="str">
        <f>IFERROR(INDEX(PRENOTAZIONI!$F:$F,SMALL(PRENOTAZIONI!$V:$V,31)),"")</f>
        <v/>
      </c>
      <c r="F34" s="34" t="str">
        <f>IFERROR(INDEX(PRENOTAZIONI!$G:$G,SMALL(PRENOTAZIONI!$V:$V,31)),"")</f>
        <v/>
      </c>
      <c r="G34" s="35" t="str">
        <f>IFERROR(INDEX(PRENOTAZIONI!$H:$H,SMALL(PRENOTAZIONI!$V:$V,31)),"")</f>
        <v/>
      </c>
      <c r="H34" s="35" t="str">
        <f t="shared" si="1"/>
        <v/>
      </c>
      <c r="I34" s="35" t="str">
        <f t="shared" si="2"/>
        <v/>
      </c>
      <c r="J34" s="149" t="str">
        <f t="shared" si="3"/>
        <v/>
      </c>
      <c r="K34" s="34" t="str">
        <f>IFERROR(INDEX(PRENOTAZIONI!$K:$K,SMALL(PRENOTAZIONI!$V:$V,31)),"")</f>
        <v/>
      </c>
      <c r="L34" s="35" t="str">
        <f>IFERROR(INDEX(PRENOTAZIONI!$L:$L,SMALL(PRENOTAZIONI!$V:$V,31)),"")</f>
        <v/>
      </c>
      <c r="M34" s="150" t="str">
        <f t="shared" si="4"/>
        <v/>
      </c>
      <c r="N34" s="35" t="str">
        <f t="shared" si="5"/>
        <v/>
      </c>
      <c r="O34" s="35"/>
      <c r="P34" s="43"/>
      <c r="Q34" s="150" t="str">
        <f t="shared" si="6"/>
        <v/>
      </c>
      <c r="R34" s="47" t="str">
        <f>IFERROR(INDEX(PRENOTAZIONI!$R:$R,SMALL(PRENOTAZIONI!$V:$V,31)),"")</f>
        <v/>
      </c>
      <c r="S34" s="82"/>
      <c r="T34" s="49"/>
      <c r="U34" s="57"/>
      <c r="V34" s="57"/>
      <c r="W34" s="57"/>
      <c r="X34" s="57"/>
      <c r="Y34" s="58"/>
      <c r="Z34" s="57"/>
      <c r="AA34" s="57"/>
      <c r="AB34" s="57"/>
      <c r="AC34" s="58"/>
      <c r="AD34" s="58"/>
    </row>
    <row r="35" spans="1:30" ht="22" customHeight="1" x14ac:dyDescent="0.25">
      <c r="A35" s="31" t="str">
        <f>IFERROR(INDEX(PRENOTAZIONI!$A:$A,SMALL(PRENOTAZIONI!$V:$V,32)),"")</f>
        <v/>
      </c>
      <c r="B35" s="31" t="str">
        <f>IFERROR(INDEX(PRENOTAZIONI!$B:$B,SMALL(PRENOTAZIONI!$V:$V,32)),"")</f>
        <v/>
      </c>
      <c r="C35" s="32" t="str">
        <f t="shared" si="0"/>
        <v/>
      </c>
      <c r="D35" s="34" t="str">
        <f>IFERROR(INDEX(PRENOTAZIONI!$E:$E,SMALL(PRENOTAZIONI!$V:$V,32)),"")</f>
        <v/>
      </c>
      <c r="E35" s="34" t="str">
        <f>IFERROR(INDEX(PRENOTAZIONI!$F:$F,SMALL(PRENOTAZIONI!$V:$V,32)),"")</f>
        <v/>
      </c>
      <c r="F35" s="34" t="str">
        <f>IFERROR(INDEX(PRENOTAZIONI!$G:$G,SMALL(PRENOTAZIONI!$V:$V,32)),"")</f>
        <v/>
      </c>
      <c r="G35" s="35" t="str">
        <f>IFERROR(INDEX(PRENOTAZIONI!$H:$H,SMALL(PRENOTAZIONI!$V:$V,32)),"")</f>
        <v/>
      </c>
      <c r="H35" s="35" t="str">
        <f t="shared" si="1"/>
        <v/>
      </c>
      <c r="I35" s="35" t="str">
        <f t="shared" si="2"/>
        <v/>
      </c>
      <c r="J35" s="149" t="str">
        <f t="shared" si="3"/>
        <v/>
      </c>
      <c r="K35" s="34" t="str">
        <f>IFERROR(INDEX(PRENOTAZIONI!$K:$K,SMALL(PRENOTAZIONI!$V:$V,32)),"")</f>
        <v/>
      </c>
      <c r="L35" s="35" t="str">
        <f>IFERROR(INDEX(PRENOTAZIONI!$L:$L,SMALL(PRENOTAZIONI!$V:$V,32)),"")</f>
        <v/>
      </c>
      <c r="M35" s="150" t="str">
        <f t="shared" si="4"/>
        <v/>
      </c>
      <c r="N35" s="35" t="str">
        <f t="shared" si="5"/>
        <v/>
      </c>
      <c r="O35" s="35"/>
      <c r="P35" s="43"/>
      <c r="Q35" s="150" t="str">
        <f t="shared" si="6"/>
        <v/>
      </c>
      <c r="R35" s="47" t="str">
        <f>IFERROR(INDEX(PRENOTAZIONI!$R:$R,SMALL(PRENOTAZIONI!$V:$V,32)),"")</f>
        <v/>
      </c>
      <c r="S35" s="78"/>
    </row>
    <row r="36" spans="1:30" ht="22" customHeight="1" x14ac:dyDescent="0.25">
      <c r="A36" s="31" t="str">
        <f>IFERROR(INDEX(PRENOTAZIONI!$A:$A,SMALL(PRENOTAZIONI!$V:$V,33)),"")</f>
        <v/>
      </c>
      <c r="B36" s="31" t="str">
        <f>IFERROR(INDEX(PRENOTAZIONI!$B:$B,SMALL(PRENOTAZIONI!$V:$V,33)),"")</f>
        <v/>
      </c>
      <c r="C36" s="32" t="str">
        <f t="shared" ref="C36:C63" si="11">IF(A36&lt;&gt;"",B36-A36,"")</f>
        <v/>
      </c>
      <c r="D36" s="34" t="str">
        <f>IFERROR(INDEX(PRENOTAZIONI!$E:$E,SMALL(PRENOTAZIONI!$V:$V,33)),"")</f>
        <v/>
      </c>
      <c r="E36" s="34" t="str">
        <f>IFERROR(INDEX(PRENOTAZIONI!$F:$F,SMALL(PRENOTAZIONI!$V:$V,33)),"")</f>
        <v/>
      </c>
      <c r="F36" s="34" t="str">
        <f>IFERROR(INDEX(PRENOTAZIONI!$G:$G,SMALL(PRENOTAZIONI!$V:$V,33)),"")</f>
        <v/>
      </c>
      <c r="G36" s="35" t="str">
        <f>IFERROR(INDEX(PRENOTAZIONI!$H:$H,SMALL(PRENOTAZIONI!$V:$V,33)),"")</f>
        <v/>
      </c>
      <c r="H36" s="35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ref="J36:J63" si="14">IF(I36&lt;&gt;"",I36*0.22,"")</f>
        <v/>
      </c>
      <c r="K36" s="34" t="str">
        <f>IFERROR(INDEX(PRENOTAZIONI!$K:$K,SMALL(PRENOTAZIONI!$V:$V,33)),"")</f>
        <v/>
      </c>
      <c r="L36" s="35" t="str">
        <f>IFERROR(INDEX(PRENOTAZIONI!$L:$L,SMALL(PRENOTAZIONI!$V:$V,33)),"")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47" t="str">
        <f>IFERROR(INDEX(PRENOTAZIONI!$R:$R,SMALL(PRENOTAZIONI!$V:$V,33)),"")</f>
        <v/>
      </c>
      <c r="S36" s="78"/>
    </row>
    <row r="37" spans="1:30" ht="22" customHeight="1" x14ac:dyDescent="0.25">
      <c r="A37" s="31" t="str">
        <f>IFERROR(INDEX(PRENOTAZIONI!$A:$A,SMALL(PRENOTAZIONI!$V:$V,34)),"")</f>
        <v/>
      </c>
      <c r="B37" s="31" t="str">
        <f>IFERROR(INDEX(PRENOTAZIONI!$B:$B,SMALL(PRENOTAZIONI!$V:$V,34)),"")</f>
        <v/>
      </c>
      <c r="C37" s="32" t="str">
        <f t="shared" si="11"/>
        <v/>
      </c>
      <c r="D37" s="34" t="str">
        <f>IFERROR(INDEX(PRENOTAZIONI!$E:$E,SMALL(PRENOTAZIONI!$V:$V,34)),"")</f>
        <v/>
      </c>
      <c r="E37" s="34" t="str">
        <f>IFERROR(INDEX(PRENOTAZIONI!$F:$F,SMALL(PRENOTAZIONI!$V:$V,34)),"")</f>
        <v/>
      </c>
      <c r="F37" s="34" t="str">
        <f>IFERROR(INDEX(PRENOTAZIONI!$G:$G,SMALL(PRENOTAZIONI!$V:$V,34)),"")</f>
        <v/>
      </c>
      <c r="G37" s="35" t="str">
        <f>IFERROR(INDEX(PRENOTAZIONI!$H:$H,SMALL(PRENOTAZIONI!$V:$V,34)),"")</f>
        <v/>
      </c>
      <c r="H37" s="35" t="str">
        <f t="shared" si="12"/>
        <v/>
      </c>
      <c r="I37" s="35" t="str">
        <f t="shared" si="13"/>
        <v/>
      </c>
      <c r="J37" s="149" t="str">
        <f t="shared" si="14"/>
        <v/>
      </c>
      <c r="K37" s="34" t="str">
        <f>IFERROR(INDEX(PRENOTAZIONI!$K:$K,SMALL(PRENOTAZIONI!$V:$V,34)),"")</f>
        <v/>
      </c>
      <c r="L37" s="35" t="str">
        <f>IFERROR(INDEX(PRENOTAZIONI!$L:$L,SMALL(PRENOTAZIONI!$V:$V,34)),"")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47" t="str">
        <f>IFERROR(INDEX(PRENOTAZIONI!$R:$R,SMALL(PRENOTAZIONI!$V:$V,34)),"")</f>
        <v/>
      </c>
      <c r="S37" s="78"/>
    </row>
    <row r="38" spans="1:30" ht="22" customHeight="1" x14ac:dyDescent="0.25">
      <c r="A38" s="31" t="str">
        <f>IFERROR(INDEX(PRENOTAZIONI!$A:$A,SMALL(PRENOTAZIONI!$V:$V,35)),"")</f>
        <v/>
      </c>
      <c r="B38" s="31" t="str">
        <f>IFERROR(INDEX(PRENOTAZIONI!$B:$B,SMALL(PRENOTAZIONI!$V:$V,35)),"")</f>
        <v/>
      </c>
      <c r="C38" s="32" t="str">
        <f t="shared" si="11"/>
        <v/>
      </c>
      <c r="D38" s="34" t="str">
        <f>IFERROR(INDEX(PRENOTAZIONI!$E:$E,SMALL(PRENOTAZIONI!$V:$V,35)),"")</f>
        <v/>
      </c>
      <c r="E38" s="34" t="str">
        <f>IFERROR(INDEX(PRENOTAZIONI!$F:$F,SMALL(PRENOTAZIONI!$V:$V,35)),"")</f>
        <v/>
      </c>
      <c r="F38" s="34" t="str">
        <f>IFERROR(INDEX(PRENOTAZIONI!$G:$G,SMALL(PRENOTAZIONI!$V:$V,35)),"")</f>
        <v/>
      </c>
      <c r="G38" s="35" t="str">
        <f>IFERROR(INDEX(PRENOTAZIONI!$H:$H,SMALL(PRENOTAZIONI!$V:$V,35)),"")</f>
        <v/>
      </c>
      <c r="H38" s="35" t="str">
        <f t="shared" si="12"/>
        <v/>
      </c>
      <c r="I38" s="35" t="str">
        <f t="shared" si="13"/>
        <v/>
      </c>
      <c r="J38" s="149" t="str">
        <f t="shared" si="14"/>
        <v/>
      </c>
      <c r="K38" s="34" t="str">
        <f>IFERROR(INDEX(PRENOTAZIONI!$K:$K,SMALL(PRENOTAZIONI!$V:$V,35)),"")</f>
        <v/>
      </c>
      <c r="L38" s="35" t="str">
        <f>IFERROR(INDEX(PRENOTAZIONI!$L:$L,SMALL(PRENOTAZIONI!$V:$V,35)),"")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47" t="str">
        <f>IFERROR(INDEX(PRENOTAZIONI!$R:$R,SMALL(PRENOTAZIONI!$V:$V,35)),"")</f>
        <v/>
      </c>
      <c r="S38" s="78"/>
    </row>
    <row r="39" spans="1:30" ht="22" customHeight="1" x14ac:dyDescent="0.25">
      <c r="A39" s="31" t="str">
        <f>IFERROR(INDEX(PRENOTAZIONI!$A:$A,SMALL(PRENOTAZIONI!$V:$V,36)),"")</f>
        <v/>
      </c>
      <c r="B39" s="31" t="str">
        <f>IFERROR(INDEX(PRENOTAZIONI!$B:$B,SMALL(PRENOTAZIONI!$V:$V,36)),"")</f>
        <v/>
      </c>
      <c r="C39" s="32" t="str">
        <f t="shared" si="11"/>
        <v/>
      </c>
      <c r="D39" s="34" t="str">
        <f>IFERROR(INDEX(PRENOTAZIONI!$E:$E,SMALL(PRENOTAZIONI!$V:$V,36)),"")</f>
        <v/>
      </c>
      <c r="E39" s="34" t="str">
        <f>IFERROR(INDEX(PRENOTAZIONI!$F:$F,SMALL(PRENOTAZIONI!$V:$V,36)),"")</f>
        <v/>
      </c>
      <c r="F39" s="34" t="str">
        <f>IFERROR(INDEX(PRENOTAZIONI!$G:$G,SMALL(PRENOTAZIONI!$V:$V,36)),"")</f>
        <v/>
      </c>
      <c r="G39" s="35" t="str">
        <f>IFERROR(INDEX(PRENOTAZIONI!$H:$H,SMALL(PRENOTAZIONI!$V:$V,36)),"")</f>
        <v/>
      </c>
      <c r="H39" s="35" t="str">
        <f t="shared" si="12"/>
        <v/>
      </c>
      <c r="I39" s="35" t="str">
        <f t="shared" si="13"/>
        <v/>
      </c>
      <c r="J39" s="149" t="str">
        <f t="shared" si="14"/>
        <v/>
      </c>
      <c r="K39" s="34" t="str">
        <f>IFERROR(INDEX(PRENOTAZIONI!$K:$K,SMALL(PRENOTAZIONI!$V:$V,36)),"")</f>
        <v/>
      </c>
      <c r="L39" s="35" t="str">
        <f>IFERROR(INDEX(PRENOTAZIONI!$L:$L,SMALL(PRENOTAZIONI!$V:$V,36)),"")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47" t="str">
        <f>IFERROR(INDEX(PRENOTAZIONI!$R:$R,SMALL(PRENOTAZIONI!$V:$V,36)),"")</f>
        <v/>
      </c>
      <c r="S39" s="78"/>
    </row>
    <row r="40" spans="1:30" ht="22" customHeight="1" x14ac:dyDescent="0.25">
      <c r="A40" s="31" t="str">
        <f>IFERROR(INDEX(PRENOTAZIONI!$A:$A,SMALL(PRENOTAZIONI!$V:$V,37)),"")</f>
        <v/>
      </c>
      <c r="B40" s="31" t="str">
        <f>IFERROR(INDEX(PRENOTAZIONI!$B:$B,SMALL(PRENOTAZIONI!$V:$V,37)),"")</f>
        <v/>
      </c>
      <c r="C40" s="32" t="str">
        <f t="shared" si="11"/>
        <v/>
      </c>
      <c r="D40" s="34" t="str">
        <f>IFERROR(INDEX(PRENOTAZIONI!$E:$E,SMALL(PRENOTAZIONI!$V:$V,37)),"")</f>
        <v/>
      </c>
      <c r="E40" s="34" t="str">
        <f>IFERROR(INDEX(PRENOTAZIONI!$F:$F,SMALL(PRENOTAZIONI!$V:$V,37)),"")</f>
        <v/>
      </c>
      <c r="F40" s="34" t="str">
        <f>IFERROR(INDEX(PRENOTAZIONI!$G:$G,SMALL(PRENOTAZIONI!$V:$V,37)),"")</f>
        <v/>
      </c>
      <c r="G40" s="35" t="str">
        <f>IFERROR(INDEX(PRENOTAZIONI!$H:$H,SMALL(PRENOTAZIONI!$V:$V,37)),"")</f>
        <v/>
      </c>
      <c r="H40" s="35" t="str">
        <f t="shared" si="12"/>
        <v/>
      </c>
      <c r="I40" s="35" t="str">
        <f t="shared" si="13"/>
        <v/>
      </c>
      <c r="J40" s="149" t="str">
        <f t="shared" si="14"/>
        <v/>
      </c>
      <c r="K40" s="34" t="str">
        <f>IFERROR(INDEX(PRENOTAZIONI!$K:$K,SMALL(PRENOTAZIONI!$V:$V,37)),"")</f>
        <v/>
      </c>
      <c r="L40" s="35" t="str">
        <f>IFERROR(INDEX(PRENOTAZIONI!$L:$L,SMALL(PRENOTAZIONI!$V:$V,37)),"")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47" t="str">
        <f>IFERROR(INDEX(PRENOTAZIONI!$R:$R,SMALL(PRENOTAZIONI!$V:$V,37)),"")</f>
        <v/>
      </c>
      <c r="S40" s="78"/>
    </row>
    <row r="41" spans="1:30" ht="22" customHeight="1" x14ac:dyDescent="0.25">
      <c r="A41" s="31" t="str">
        <f>IFERROR(INDEX(PRENOTAZIONI!$A:$A,SMALL(PRENOTAZIONI!$V:$V,38)),"")</f>
        <v/>
      </c>
      <c r="B41" s="31" t="str">
        <f>IFERROR(INDEX(PRENOTAZIONI!$B:$B,SMALL(PRENOTAZIONI!$V:$V,38)),"")</f>
        <v/>
      </c>
      <c r="C41" s="32" t="str">
        <f t="shared" si="11"/>
        <v/>
      </c>
      <c r="D41" s="34" t="str">
        <f>IFERROR(INDEX(PRENOTAZIONI!$E:$E,SMALL(PRENOTAZIONI!$V:$V,38)),"")</f>
        <v/>
      </c>
      <c r="E41" s="34" t="str">
        <f>IFERROR(INDEX(PRENOTAZIONI!$F:$F,SMALL(PRENOTAZIONI!$V:$V,38)),"")</f>
        <v/>
      </c>
      <c r="F41" s="34" t="str">
        <f>IFERROR(INDEX(PRENOTAZIONI!$G:$G,SMALL(PRENOTAZIONI!$V:$V,38)),"")</f>
        <v/>
      </c>
      <c r="G41" s="35" t="str">
        <f>IFERROR(INDEX(PRENOTAZIONI!$H:$H,SMALL(PRENOTAZIONI!$V:$V,38)),"")</f>
        <v/>
      </c>
      <c r="H41" s="35" t="str">
        <f t="shared" si="12"/>
        <v/>
      </c>
      <c r="I41" s="35" t="str">
        <f t="shared" si="13"/>
        <v/>
      </c>
      <c r="J41" s="149" t="str">
        <f t="shared" si="14"/>
        <v/>
      </c>
      <c r="K41" s="34" t="str">
        <f>IFERROR(INDEX(PRENOTAZIONI!$K:$K,SMALL(PRENOTAZIONI!$V:$V,38)),"")</f>
        <v/>
      </c>
      <c r="L41" s="35" t="str">
        <f>IFERROR(INDEX(PRENOTAZIONI!$L:$L,SMALL(PRENOTAZIONI!$V:$V,38)),"")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47" t="str">
        <f>IFERROR(INDEX(PRENOTAZIONI!$R:$R,SMALL(PRENOTAZIONI!$V:$V,38)),"")</f>
        <v/>
      </c>
      <c r="S41" s="78"/>
    </row>
    <row r="42" spans="1:30" ht="22" customHeight="1" x14ac:dyDescent="0.25">
      <c r="A42" s="31" t="str">
        <f>IFERROR(INDEX(PRENOTAZIONI!$A:$A,SMALL(PRENOTAZIONI!$V:$V,39)),"")</f>
        <v/>
      </c>
      <c r="B42" s="31" t="str">
        <f>IFERROR(INDEX(PRENOTAZIONI!$B:$B,SMALL(PRENOTAZIONI!$V:$V,39)),"")</f>
        <v/>
      </c>
      <c r="C42" s="32" t="str">
        <f t="shared" si="11"/>
        <v/>
      </c>
      <c r="D42" s="34" t="str">
        <f>IFERROR(INDEX(PRENOTAZIONI!$E:$E,SMALL(PRENOTAZIONI!$V:$V,39)),"")</f>
        <v/>
      </c>
      <c r="E42" s="34" t="str">
        <f>IFERROR(INDEX(PRENOTAZIONI!$F:$F,SMALL(PRENOTAZIONI!$V:$V,39)),"")</f>
        <v/>
      </c>
      <c r="F42" s="34" t="str">
        <f>IFERROR(INDEX(PRENOTAZIONI!$G:$G,SMALL(PRENOTAZIONI!$V:$V,39)),"")</f>
        <v/>
      </c>
      <c r="G42" s="35" t="str">
        <f>IFERROR(INDEX(PRENOTAZIONI!$H:$H,SMALL(PRENOTAZIONI!$V:$V,39)),"")</f>
        <v/>
      </c>
      <c r="H42" s="35" t="str">
        <f t="shared" si="12"/>
        <v/>
      </c>
      <c r="I42" s="35" t="str">
        <f t="shared" si="13"/>
        <v/>
      </c>
      <c r="J42" s="149" t="str">
        <f t="shared" si="14"/>
        <v/>
      </c>
      <c r="K42" s="34" t="str">
        <f>IFERROR(INDEX(PRENOTAZIONI!$K:$K,SMALL(PRENOTAZIONI!$V:$V,39)),"")</f>
        <v/>
      </c>
      <c r="L42" s="35" t="str">
        <f>IFERROR(INDEX(PRENOTAZIONI!$L:$L,SMALL(PRENOTAZIONI!$V:$V,39)),"")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47" t="str">
        <f>IFERROR(INDEX(PRENOTAZIONI!$R:$R,SMALL(PRENOTAZIONI!$V:$V,39)),"")</f>
        <v/>
      </c>
      <c r="S42" s="78"/>
    </row>
    <row r="43" spans="1:30" ht="22" customHeight="1" x14ac:dyDescent="0.25">
      <c r="A43" s="31" t="str">
        <f>IFERROR(INDEX(PRENOTAZIONI!$A:$A,SMALL(PRENOTAZIONI!$V:$V,40)),"")</f>
        <v/>
      </c>
      <c r="B43" s="31" t="str">
        <f>IFERROR(INDEX(PRENOTAZIONI!$B:$B,SMALL(PRENOTAZIONI!$V:$V,40)),"")</f>
        <v/>
      </c>
      <c r="C43" s="32" t="str">
        <f t="shared" si="11"/>
        <v/>
      </c>
      <c r="D43" s="34" t="str">
        <f>IFERROR(INDEX(PRENOTAZIONI!$E:$E,SMALL(PRENOTAZIONI!$V:$V,40)),"")</f>
        <v/>
      </c>
      <c r="E43" s="34" t="str">
        <f>IFERROR(INDEX(PRENOTAZIONI!$F:$F,SMALL(PRENOTAZIONI!$V:$V,40)),"")</f>
        <v/>
      </c>
      <c r="F43" s="34" t="str">
        <f>IFERROR(INDEX(PRENOTAZIONI!$G:$G,SMALL(PRENOTAZIONI!$V:$V,40)),"")</f>
        <v/>
      </c>
      <c r="G43" s="35" t="str">
        <f>IFERROR(INDEX(PRENOTAZIONI!$H:$H,SMALL(PRENOTAZIONI!$V:$V,40)),"")</f>
        <v/>
      </c>
      <c r="H43" s="35" t="str">
        <f t="shared" si="12"/>
        <v/>
      </c>
      <c r="I43" s="35" t="str">
        <f t="shared" si="13"/>
        <v/>
      </c>
      <c r="J43" s="149" t="str">
        <f t="shared" si="14"/>
        <v/>
      </c>
      <c r="K43" s="34" t="str">
        <f>IFERROR(INDEX(PRENOTAZIONI!$K:$K,SMALL(PRENOTAZIONI!$V:$V,40)),"")</f>
        <v/>
      </c>
      <c r="L43" s="35" t="str">
        <f>IFERROR(INDEX(PRENOTAZIONI!$L:$L,SMALL(PRENOTAZIONI!$V:$V,40)),"")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47" t="str">
        <f>IFERROR(INDEX(PRENOTAZIONI!$R:$R,SMALL(PRENOTAZIONI!$V:$V,40)),"")</f>
        <v/>
      </c>
      <c r="S43" s="78"/>
    </row>
    <row r="44" spans="1:30" ht="22" customHeight="1" x14ac:dyDescent="0.25">
      <c r="A44" s="31" t="str">
        <f>IFERROR(INDEX(PRENOTAZIONI!$A:$A,SMALL(PRENOTAZIONI!$V:$V,41)),"")</f>
        <v/>
      </c>
      <c r="B44" s="31" t="str">
        <f>IFERROR(INDEX(PRENOTAZIONI!$B:$B,SMALL(PRENOTAZIONI!$V:$V,41)),"")</f>
        <v/>
      </c>
      <c r="C44" s="32" t="str">
        <f t="shared" si="11"/>
        <v/>
      </c>
      <c r="D44" s="34" t="str">
        <f>IFERROR(INDEX(PRENOTAZIONI!$E:$E,SMALL(PRENOTAZIONI!$V:$V,41)),"")</f>
        <v/>
      </c>
      <c r="E44" s="34" t="str">
        <f>IFERROR(INDEX(PRENOTAZIONI!$F:$F,SMALL(PRENOTAZIONI!$V:$V,41)),"")</f>
        <v/>
      </c>
      <c r="F44" s="34" t="str">
        <f>IFERROR(INDEX(PRENOTAZIONI!$G:$G,SMALL(PRENOTAZIONI!$V:$V,41)),"")</f>
        <v/>
      </c>
      <c r="G44" s="35" t="str">
        <f>IFERROR(INDEX(PRENOTAZIONI!$H:$H,SMALL(PRENOTAZIONI!$V:$V,41)),"")</f>
        <v/>
      </c>
      <c r="H44" s="35" t="str">
        <f t="shared" si="12"/>
        <v/>
      </c>
      <c r="I44" s="35" t="str">
        <f t="shared" si="13"/>
        <v/>
      </c>
      <c r="J44" s="149" t="str">
        <f t="shared" si="14"/>
        <v/>
      </c>
      <c r="K44" s="34" t="str">
        <f>IFERROR(INDEX(PRENOTAZIONI!$K:$K,SMALL(PRENOTAZIONI!$V:$V,41)),"")</f>
        <v/>
      </c>
      <c r="L44" s="35" t="str">
        <f>IFERROR(INDEX(PRENOTAZIONI!$L:$L,SMALL(PRENOTAZIONI!$V:$V,41)),"")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47" t="str">
        <f>IFERROR(INDEX(PRENOTAZIONI!$R:$R,SMALL(PRENOTAZIONI!$V:$V,41)),"")</f>
        <v/>
      </c>
      <c r="S44" s="78"/>
    </row>
    <row r="45" spans="1:30" ht="22" customHeight="1" x14ac:dyDescent="0.25">
      <c r="A45" s="31" t="str">
        <f>IFERROR(INDEX(PRENOTAZIONI!$A:$A,SMALL(PRENOTAZIONI!$V:$V,42)),"")</f>
        <v/>
      </c>
      <c r="B45" s="31" t="str">
        <f>IFERROR(INDEX(PRENOTAZIONI!$B:$B,SMALL(PRENOTAZIONI!$V:$V,42)),"")</f>
        <v/>
      </c>
      <c r="C45" s="32" t="str">
        <f t="shared" si="11"/>
        <v/>
      </c>
      <c r="D45" s="34" t="str">
        <f>IFERROR(INDEX(PRENOTAZIONI!$E:$E,SMALL(PRENOTAZIONI!$V:$V,42)),"")</f>
        <v/>
      </c>
      <c r="E45" s="34" t="str">
        <f>IFERROR(INDEX(PRENOTAZIONI!$F:$F,SMALL(PRENOTAZIONI!$V:$V,42)),"")</f>
        <v/>
      </c>
      <c r="F45" s="34" t="str">
        <f>IFERROR(INDEX(PRENOTAZIONI!$G:$G,SMALL(PRENOTAZIONI!$V:$V,42)),"")</f>
        <v/>
      </c>
      <c r="G45" s="35" t="str">
        <f>IFERROR(INDEX(PRENOTAZIONI!$H:$H,SMALL(PRENOTAZIONI!$V:$V,42)),"")</f>
        <v/>
      </c>
      <c r="H45" s="35" t="str">
        <f t="shared" si="12"/>
        <v/>
      </c>
      <c r="I45" s="35" t="str">
        <f t="shared" si="13"/>
        <v/>
      </c>
      <c r="J45" s="149" t="str">
        <f t="shared" si="14"/>
        <v/>
      </c>
      <c r="K45" s="34" t="str">
        <f>IFERROR(INDEX(PRENOTAZIONI!$K:$K,SMALL(PRENOTAZIONI!$V:$V,42)),"")</f>
        <v/>
      </c>
      <c r="L45" s="35" t="str">
        <f>IFERROR(INDEX(PRENOTAZIONI!$L:$L,SMALL(PRENOTAZIONI!$V:$V,42)),"")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47" t="str">
        <f>IFERROR(INDEX(PRENOTAZIONI!$R:$R,SMALL(PRENOTAZIONI!$V:$V,42)),"")</f>
        <v/>
      </c>
      <c r="S45" s="78"/>
    </row>
    <row r="46" spans="1:30" ht="22" customHeight="1" x14ac:dyDescent="0.25">
      <c r="A46" s="31" t="str">
        <f>IFERROR(INDEX(PRENOTAZIONI!$A:$A,SMALL(PRENOTAZIONI!$V:$V,43)),"")</f>
        <v/>
      </c>
      <c r="B46" s="31" t="str">
        <f>IFERROR(INDEX(PRENOTAZIONI!$B:$B,SMALL(PRENOTAZIONI!$V:$V,43)),"")</f>
        <v/>
      </c>
      <c r="C46" s="32" t="str">
        <f t="shared" si="11"/>
        <v/>
      </c>
      <c r="D46" s="34" t="str">
        <f>IFERROR(INDEX(PRENOTAZIONI!$E:$E,SMALL(PRENOTAZIONI!$V:$V,43)),"")</f>
        <v/>
      </c>
      <c r="E46" s="34" t="str">
        <f>IFERROR(INDEX(PRENOTAZIONI!$F:$F,SMALL(PRENOTAZIONI!$V:$V,43)),"")</f>
        <v/>
      </c>
      <c r="F46" s="34" t="str">
        <f>IFERROR(INDEX(PRENOTAZIONI!$G:$G,SMALL(PRENOTAZIONI!$V:$V,43)),"")</f>
        <v/>
      </c>
      <c r="G46" s="35" t="str">
        <f>IFERROR(INDEX(PRENOTAZIONI!$H:$H,SMALL(PRENOTAZIONI!$V:$V,43)),"")</f>
        <v/>
      </c>
      <c r="H46" s="35" t="str">
        <f t="shared" si="12"/>
        <v/>
      </c>
      <c r="I46" s="35" t="str">
        <f t="shared" si="13"/>
        <v/>
      </c>
      <c r="J46" s="149" t="str">
        <f t="shared" si="14"/>
        <v/>
      </c>
      <c r="K46" s="34" t="str">
        <f>IFERROR(INDEX(PRENOTAZIONI!$K:$K,SMALL(PRENOTAZIONI!$V:$V,43)),"")</f>
        <v/>
      </c>
      <c r="L46" s="35" t="str">
        <f>IFERROR(INDEX(PRENOTAZIONI!$L:$L,SMALL(PRENOTAZIONI!$V:$V,43)),"")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47" t="str">
        <f>IFERROR(INDEX(PRENOTAZIONI!$R:$R,SMALL(PRENOTAZIONI!$V:$V,43)),"")</f>
        <v/>
      </c>
      <c r="S46" s="78"/>
    </row>
    <row r="47" spans="1:30" ht="22" customHeight="1" x14ac:dyDescent="0.25">
      <c r="A47" s="31" t="str">
        <f>IFERROR(INDEX(PRENOTAZIONI!$A:$A,SMALL(PRENOTAZIONI!$V:$V,44)),"")</f>
        <v/>
      </c>
      <c r="B47" s="31" t="str">
        <f>IFERROR(INDEX(PRENOTAZIONI!$B:$B,SMALL(PRENOTAZIONI!$V:$V,44)),"")</f>
        <v/>
      </c>
      <c r="C47" s="32" t="str">
        <f t="shared" si="11"/>
        <v/>
      </c>
      <c r="D47" s="34" t="str">
        <f>IFERROR(INDEX(PRENOTAZIONI!$E:$E,SMALL(PRENOTAZIONI!$V:$V,44)),"")</f>
        <v/>
      </c>
      <c r="E47" s="34" t="str">
        <f>IFERROR(INDEX(PRENOTAZIONI!$F:$F,SMALL(PRENOTAZIONI!$V:$V,44)),"")</f>
        <v/>
      </c>
      <c r="F47" s="34" t="str">
        <f>IFERROR(INDEX(PRENOTAZIONI!$G:$G,SMALL(PRENOTAZIONI!$V:$V,44)),"")</f>
        <v/>
      </c>
      <c r="G47" s="35" t="str">
        <f>IFERROR(INDEX(PRENOTAZIONI!$H:$H,SMALL(PRENOTAZIONI!$V:$V,44)),"")</f>
        <v/>
      </c>
      <c r="H47" s="35" t="str">
        <f t="shared" si="12"/>
        <v/>
      </c>
      <c r="I47" s="35" t="str">
        <f t="shared" si="13"/>
        <v/>
      </c>
      <c r="J47" s="149" t="str">
        <f t="shared" si="14"/>
        <v/>
      </c>
      <c r="K47" s="34" t="str">
        <f>IFERROR(INDEX(PRENOTAZIONI!$K:$K,SMALL(PRENOTAZIONI!$V:$V,44)),"")</f>
        <v/>
      </c>
      <c r="L47" s="35" t="str">
        <f>IFERROR(INDEX(PRENOTAZIONI!$L:$L,SMALL(PRENOTAZIONI!$V:$V,44)),"")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47" t="str">
        <f>IFERROR(INDEX(PRENOTAZIONI!$R:$R,SMALL(PRENOTAZIONI!$V:$V,44)),"")</f>
        <v/>
      </c>
      <c r="S47" s="78"/>
    </row>
    <row r="48" spans="1:30" ht="22" customHeight="1" x14ac:dyDescent="0.25">
      <c r="A48" s="31" t="str">
        <f>IFERROR(INDEX(PRENOTAZIONI!$A:$A,SMALL(PRENOTAZIONI!$V:$V,45)),"")</f>
        <v/>
      </c>
      <c r="B48" s="31" t="str">
        <f>IFERROR(INDEX(PRENOTAZIONI!$B:$B,SMALL(PRENOTAZIONI!$V:$V,45)),"")</f>
        <v/>
      </c>
      <c r="C48" s="32" t="str">
        <f t="shared" si="11"/>
        <v/>
      </c>
      <c r="D48" s="34" t="str">
        <f>IFERROR(INDEX(PRENOTAZIONI!$E:$E,SMALL(PRENOTAZIONI!$V:$V,45)),"")</f>
        <v/>
      </c>
      <c r="E48" s="34" t="str">
        <f>IFERROR(INDEX(PRENOTAZIONI!$F:$F,SMALL(PRENOTAZIONI!$V:$V,45)),"")</f>
        <v/>
      </c>
      <c r="F48" s="34" t="str">
        <f>IFERROR(INDEX(PRENOTAZIONI!$G:$G,SMALL(PRENOTAZIONI!$V:$V,45)),"")</f>
        <v/>
      </c>
      <c r="G48" s="35" t="str">
        <f>IFERROR(INDEX(PRENOTAZIONI!$H:$H,SMALL(PRENOTAZIONI!$V:$V,45)),"")</f>
        <v/>
      </c>
      <c r="H48" s="35" t="str">
        <f t="shared" si="12"/>
        <v/>
      </c>
      <c r="I48" s="35" t="str">
        <f t="shared" si="13"/>
        <v/>
      </c>
      <c r="J48" s="149" t="str">
        <f t="shared" si="14"/>
        <v/>
      </c>
      <c r="K48" s="34" t="str">
        <f>IFERROR(INDEX(PRENOTAZIONI!$K:$K,SMALL(PRENOTAZIONI!$V:$V,45)),"")</f>
        <v/>
      </c>
      <c r="L48" s="35" t="str">
        <f>IFERROR(INDEX(PRENOTAZIONI!$L:$L,SMALL(PRENOTAZIONI!$V:$V,45)),"")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47" t="str">
        <f>IFERROR(INDEX(PRENOTAZIONI!$R:$R,SMALL(PRENOTAZIONI!$V:$V,45)),"")</f>
        <v/>
      </c>
      <c r="S48" s="78"/>
    </row>
    <row r="49" spans="1:19" ht="22" customHeight="1" x14ac:dyDescent="0.25">
      <c r="A49" s="31" t="str">
        <f>IFERROR(INDEX(PRENOTAZIONI!$A:$A,SMALL(PRENOTAZIONI!$V:$V,46)),"")</f>
        <v/>
      </c>
      <c r="B49" s="31" t="str">
        <f>IFERROR(INDEX(PRENOTAZIONI!$B:$B,SMALL(PRENOTAZIONI!$V:$V,46)),"")</f>
        <v/>
      </c>
      <c r="C49" s="32" t="str">
        <f t="shared" si="11"/>
        <v/>
      </c>
      <c r="D49" s="34" t="str">
        <f>IFERROR(INDEX(PRENOTAZIONI!$E:$E,SMALL(PRENOTAZIONI!$V:$V,46)),"")</f>
        <v/>
      </c>
      <c r="E49" s="34" t="str">
        <f>IFERROR(INDEX(PRENOTAZIONI!$F:$F,SMALL(PRENOTAZIONI!$V:$V,46)),"")</f>
        <v/>
      </c>
      <c r="F49" s="34" t="str">
        <f>IFERROR(INDEX(PRENOTAZIONI!$G:$G,SMALL(PRENOTAZIONI!$V:$V,46)),"")</f>
        <v/>
      </c>
      <c r="G49" s="35" t="str">
        <f>IFERROR(INDEX(PRENOTAZIONI!$H:$H,SMALL(PRENOTAZIONI!$V:$V,46)),"")</f>
        <v/>
      </c>
      <c r="H49" s="35" t="str">
        <f t="shared" si="12"/>
        <v/>
      </c>
      <c r="I49" s="35" t="str">
        <f t="shared" si="13"/>
        <v/>
      </c>
      <c r="J49" s="149" t="str">
        <f t="shared" si="14"/>
        <v/>
      </c>
      <c r="K49" s="34" t="str">
        <f>IFERROR(INDEX(PRENOTAZIONI!$K:$K,SMALL(PRENOTAZIONI!$V:$V,46)),"")</f>
        <v/>
      </c>
      <c r="L49" s="35" t="str">
        <f>IFERROR(INDEX(PRENOTAZIONI!$L:$L,SMALL(PRENOTAZIONI!$V:$V,46)),"")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47" t="str">
        <f>IFERROR(INDEX(PRENOTAZIONI!$R:$R,SMALL(PRENOTAZIONI!$V:$V,46)),"")</f>
        <v/>
      </c>
      <c r="S49" s="78"/>
    </row>
    <row r="50" spans="1:19" ht="22" customHeight="1" x14ac:dyDescent="0.25">
      <c r="A50" s="31" t="str">
        <f>IFERROR(INDEX(PRENOTAZIONI!$A:$A,SMALL(PRENOTAZIONI!$V:$V,47)),"")</f>
        <v/>
      </c>
      <c r="B50" s="31" t="str">
        <f>IFERROR(INDEX(PRENOTAZIONI!$B:$B,SMALL(PRENOTAZIONI!$V:$V,47)),"")</f>
        <v/>
      </c>
      <c r="C50" s="32" t="str">
        <f t="shared" si="11"/>
        <v/>
      </c>
      <c r="D50" s="34" t="str">
        <f>IFERROR(INDEX(PRENOTAZIONI!$E:$E,SMALL(PRENOTAZIONI!$V:$V,47)),"")</f>
        <v/>
      </c>
      <c r="E50" s="34" t="str">
        <f>IFERROR(INDEX(PRENOTAZIONI!$F:$F,SMALL(PRENOTAZIONI!$V:$V,47)),"")</f>
        <v/>
      </c>
      <c r="F50" s="34" t="str">
        <f>IFERROR(INDEX(PRENOTAZIONI!$G:$G,SMALL(PRENOTAZIONI!$V:$V,47)),"")</f>
        <v/>
      </c>
      <c r="G50" s="35" t="str">
        <f>IFERROR(INDEX(PRENOTAZIONI!$H:$H,SMALL(PRENOTAZIONI!$V:$V,47)),"")</f>
        <v/>
      </c>
      <c r="H50" s="35" t="str">
        <f t="shared" si="12"/>
        <v/>
      </c>
      <c r="I50" s="35" t="str">
        <f t="shared" si="13"/>
        <v/>
      </c>
      <c r="J50" s="149" t="str">
        <f t="shared" si="14"/>
        <v/>
      </c>
      <c r="K50" s="34" t="str">
        <f>IFERROR(INDEX(PRENOTAZIONI!$K:$K,SMALL(PRENOTAZIONI!$V:$V,47)),"")</f>
        <v/>
      </c>
      <c r="L50" s="35" t="str">
        <f>IFERROR(INDEX(PRENOTAZIONI!$L:$L,SMALL(PRENOTAZIONI!$V:$V,47)),"")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47" t="str">
        <f>IFERROR(INDEX(PRENOTAZIONI!$R:$R,SMALL(PRENOTAZIONI!$V:$V,47)),"")</f>
        <v/>
      </c>
      <c r="S50" s="78"/>
    </row>
    <row r="51" spans="1:19" ht="22" customHeight="1" x14ac:dyDescent="0.25">
      <c r="A51" s="31" t="str">
        <f>IFERROR(INDEX(PRENOTAZIONI!$A:$A,SMALL(PRENOTAZIONI!$V:$V,48)),"")</f>
        <v/>
      </c>
      <c r="B51" s="31" t="str">
        <f>IFERROR(INDEX(PRENOTAZIONI!$B:$B,SMALL(PRENOTAZIONI!$V:$V,48)),"")</f>
        <v/>
      </c>
      <c r="C51" s="32" t="str">
        <f t="shared" si="11"/>
        <v/>
      </c>
      <c r="D51" s="34" t="str">
        <f>IFERROR(INDEX(PRENOTAZIONI!$E:$E,SMALL(PRENOTAZIONI!$V:$V,48)),"")</f>
        <v/>
      </c>
      <c r="E51" s="34" t="str">
        <f>IFERROR(INDEX(PRENOTAZIONI!$F:$F,SMALL(PRENOTAZIONI!$V:$V,48)),"")</f>
        <v/>
      </c>
      <c r="F51" s="34" t="str">
        <f>IFERROR(INDEX(PRENOTAZIONI!$G:$G,SMALL(PRENOTAZIONI!$V:$V,48)),"")</f>
        <v/>
      </c>
      <c r="G51" s="35" t="str">
        <f>IFERROR(INDEX(PRENOTAZIONI!$H:$H,SMALL(PRENOTAZIONI!$V:$V,48)),"")</f>
        <v/>
      </c>
      <c r="H51" s="35" t="str">
        <f t="shared" si="12"/>
        <v/>
      </c>
      <c r="I51" s="35" t="str">
        <f t="shared" si="13"/>
        <v/>
      </c>
      <c r="J51" s="149" t="str">
        <f t="shared" si="14"/>
        <v/>
      </c>
      <c r="K51" s="34" t="str">
        <f>IFERROR(INDEX(PRENOTAZIONI!$K:$K,SMALL(PRENOTAZIONI!$V:$V,48)),"")</f>
        <v/>
      </c>
      <c r="L51" s="35" t="str">
        <f>IFERROR(INDEX(PRENOTAZIONI!$L:$L,SMALL(PRENOTAZIONI!$V:$V,48)),"")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47" t="str">
        <f>IFERROR(INDEX(PRENOTAZIONI!$R:$R,SMALL(PRENOTAZIONI!$V:$V,48)),"")</f>
        <v/>
      </c>
      <c r="S51" s="78"/>
    </row>
    <row r="52" spans="1:19" ht="22" customHeight="1" x14ac:dyDescent="0.25">
      <c r="A52" s="31" t="str">
        <f>IFERROR(INDEX(PRENOTAZIONI!$A:$A,SMALL(PRENOTAZIONI!$V:$V,49)),"")</f>
        <v/>
      </c>
      <c r="B52" s="31" t="str">
        <f>IFERROR(INDEX(PRENOTAZIONI!$B:$B,SMALL(PRENOTAZIONI!$V:$V,49)),"")</f>
        <v/>
      </c>
      <c r="C52" s="32" t="str">
        <f t="shared" si="11"/>
        <v/>
      </c>
      <c r="D52" s="34" t="str">
        <f>IFERROR(INDEX(PRENOTAZIONI!$E:$E,SMALL(PRENOTAZIONI!$V:$V,49)),"")</f>
        <v/>
      </c>
      <c r="E52" s="34" t="str">
        <f>IFERROR(INDEX(PRENOTAZIONI!$F:$F,SMALL(PRENOTAZIONI!$V:$V,49)),"")</f>
        <v/>
      </c>
      <c r="F52" s="34" t="str">
        <f>IFERROR(INDEX(PRENOTAZIONI!$G:$G,SMALL(PRENOTAZIONI!$V:$V,49)),"")</f>
        <v/>
      </c>
      <c r="G52" s="35" t="str">
        <f>IFERROR(INDEX(PRENOTAZIONI!$H:$H,SMALL(PRENOTAZIONI!$V:$V,49)),"")</f>
        <v/>
      </c>
      <c r="H52" s="35" t="str">
        <f t="shared" si="12"/>
        <v/>
      </c>
      <c r="I52" s="35" t="str">
        <f t="shared" si="13"/>
        <v/>
      </c>
      <c r="J52" s="149" t="str">
        <f t="shared" si="14"/>
        <v/>
      </c>
      <c r="K52" s="34" t="str">
        <f>IFERROR(INDEX(PRENOTAZIONI!$K:$K,SMALL(PRENOTAZIONI!$V:$V,49)),"")</f>
        <v/>
      </c>
      <c r="L52" s="35" t="str">
        <f>IFERROR(INDEX(PRENOTAZIONI!$L:$L,SMALL(PRENOTAZIONI!$V:$V,49)),"")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47" t="str">
        <f>IFERROR(INDEX(PRENOTAZIONI!$R:$R,SMALL(PRENOTAZIONI!$V:$V,49)),"")</f>
        <v/>
      </c>
      <c r="S52" s="78"/>
    </row>
    <row r="53" spans="1:19" ht="22" customHeight="1" x14ac:dyDescent="0.25">
      <c r="A53" s="31" t="str">
        <f>IFERROR(INDEX(PRENOTAZIONI!$A:$A,SMALL(PRENOTAZIONI!$V:$V,50)),"")</f>
        <v/>
      </c>
      <c r="B53" s="31" t="str">
        <f>IFERROR(INDEX(PRENOTAZIONI!$B:$B,SMALL(PRENOTAZIONI!$V:$V,50)),"")</f>
        <v/>
      </c>
      <c r="C53" s="32" t="str">
        <f t="shared" si="11"/>
        <v/>
      </c>
      <c r="D53" s="34" t="str">
        <f>IFERROR(INDEX(PRENOTAZIONI!$E:$E,SMALL(PRENOTAZIONI!$V:$V,50)),"")</f>
        <v/>
      </c>
      <c r="E53" s="34" t="str">
        <f>IFERROR(INDEX(PRENOTAZIONI!$F:$F,SMALL(PRENOTAZIONI!$V:$V,50)),"")</f>
        <v/>
      </c>
      <c r="F53" s="34" t="str">
        <f>IFERROR(INDEX(PRENOTAZIONI!$G:$G,SMALL(PRENOTAZIONI!$V:$V,50)),"")</f>
        <v/>
      </c>
      <c r="G53" s="35" t="str">
        <f>IFERROR(INDEX(PRENOTAZIONI!$H:$H,SMALL(PRENOTAZIONI!$V:$V,50)),"")</f>
        <v/>
      </c>
      <c r="H53" s="35" t="str">
        <f t="shared" si="12"/>
        <v/>
      </c>
      <c r="I53" s="35" t="str">
        <f t="shared" si="13"/>
        <v/>
      </c>
      <c r="J53" s="149" t="str">
        <f t="shared" si="14"/>
        <v/>
      </c>
      <c r="K53" s="34" t="str">
        <f>IFERROR(INDEX(PRENOTAZIONI!$K:$K,SMALL(PRENOTAZIONI!$V:$V,50)),"")</f>
        <v/>
      </c>
      <c r="L53" s="35" t="str">
        <f>IFERROR(INDEX(PRENOTAZIONI!$L:$L,SMALL(PRENOTAZIONI!$V:$V,50)),"")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47" t="str">
        <f>IFERROR(INDEX(PRENOTAZIONI!$R:$R,SMALL(PRENOTAZIONI!$V:$V,50)),"")</f>
        <v/>
      </c>
      <c r="S53" s="78"/>
    </row>
    <row r="54" spans="1:19" ht="22" customHeight="1" x14ac:dyDescent="0.25">
      <c r="A54" s="31" t="str">
        <f>IFERROR(INDEX(PRENOTAZIONI!$A:$A,SMALL(PRENOTAZIONI!$V:$V,51)),"")</f>
        <v/>
      </c>
      <c r="B54" s="31" t="str">
        <f>IFERROR(INDEX(PRENOTAZIONI!$B:$B,SMALL(PRENOTAZIONI!$V:$V,51)),"")</f>
        <v/>
      </c>
      <c r="C54" s="32" t="str">
        <f t="shared" si="11"/>
        <v/>
      </c>
      <c r="D54" s="34" t="str">
        <f>IFERROR(INDEX(PRENOTAZIONI!$E:$E,SMALL(PRENOTAZIONI!$V:$V,51)),"")</f>
        <v/>
      </c>
      <c r="E54" s="34" t="str">
        <f>IFERROR(INDEX(PRENOTAZIONI!$F:$F,SMALL(PRENOTAZIONI!$V:$V,51)),"")</f>
        <v/>
      </c>
      <c r="F54" s="34" t="str">
        <f>IFERROR(INDEX(PRENOTAZIONI!$G:$G,SMALL(PRENOTAZIONI!$V:$V,51)),"")</f>
        <v/>
      </c>
      <c r="G54" s="35" t="str">
        <f>IFERROR(INDEX(PRENOTAZIONI!$H:$H,SMALL(PRENOTAZIONI!$V:$V,51)),"")</f>
        <v/>
      </c>
      <c r="H54" s="35" t="str">
        <f t="shared" si="12"/>
        <v/>
      </c>
      <c r="I54" s="35" t="str">
        <f t="shared" si="13"/>
        <v/>
      </c>
      <c r="J54" s="149" t="str">
        <f t="shared" si="14"/>
        <v/>
      </c>
      <c r="K54" s="34" t="str">
        <f>IFERROR(INDEX(PRENOTAZIONI!$K:$K,SMALL(PRENOTAZIONI!$V:$V,51)),"")</f>
        <v/>
      </c>
      <c r="L54" s="35" t="str">
        <f>IFERROR(INDEX(PRENOTAZIONI!$L:$L,SMALL(PRENOTAZIONI!$V:$V,51)),"")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47" t="str">
        <f>IFERROR(INDEX(PRENOTAZIONI!$R:$R,SMALL(PRENOTAZIONI!$V:$V,51)),"")</f>
        <v/>
      </c>
      <c r="S54" s="78"/>
    </row>
    <row r="55" spans="1:19" ht="22" customHeight="1" x14ac:dyDescent="0.25">
      <c r="A55" s="31" t="str">
        <f>IFERROR(INDEX(PRENOTAZIONI!$A:$A,SMALL(PRENOTAZIONI!$V:$V,52)),"")</f>
        <v/>
      </c>
      <c r="B55" s="31" t="str">
        <f>IFERROR(INDEX(PRENOTAZIONI!$B:$B,SMALL(PRENOTAZIONI!$V:$V,52)),"")</f>
        <v/>
      </c>
      <c r="C55" s="32" t="str">
        <f t="shared" si="11"/>
        <v/>
      </c>
      <c r="D55" s="34" t="str">
        <f>IFERROR(INDEX(PRENOTAZIONI!$E:$E,SMALL(PRENOTAZIONI!$V:$V,52)),"")</f>
        <v/>
      </c>
      <c r="E55" s="34" t="str">
        <f>IFERROR(INDEX(PRENOTAZIONI!$F:$F,SMALL(PRENOTAZIONI!$V:$V,52)),"")</f>
        <v/>
      </c>
      <c r="F55" s="34" t="str">
        <f>IFERROR(INDEX(PRENOTAZIONI!$G:$G,SMALL(PRENOTAZIONI!$V:$V,52)),"")</f>
        <v/>
      </c>
      <c r="G55" s="35" t="str">
        <f>IFERROR(INDEX(PRENOTAZIONI!$H:$H,SMALL(PRENOTAZIONI!$V:$V,52)),"")</f>
        <v/>
      </c>
      <c r="H55" s="35" t="str">
        <f t="shared" si="12"/>
        <v/>
      </c>
      <c r="I55" s="35" t="str">
        <f t="shared" si="13"/>
        <v/>
      </c>
      <c r="J55" s="149" t="str">
        <f t="shared" si="14"/>
        <v/>
      </c>
      <c r="K55" s="34" t="str">
        <f>IFERROR(INDEX(PRENOTAZIONI!$K:$K,SMALL(PRENOTAZIONI!$V:$V,52)),"")</f>
        <v/>
      </c>
      <c r="L55" s="35" t="str">
        <f>IFERROR(INDEX(PRENOTAZIONI!$L:$L,SMALL(PRENOTAZIONI!$V:$V,52)),"")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47" t="str">
        <f>IFERROR(INDEX(PRENOTAZIONI!$R:$R,SMALL(PRENOTAZIONI!$V:$V,52)),"")</f>
        <v/>
      </c>
      <c r="S55" s="78"/>
    </row>
    <row r="56" spans="1:19" ht="22" customHeight="1" x14ac:dyDescent="0.25">
      <c r="A56" s="31" t="str">
        <f>IFERROR(INDEX(PRENOTAZIONI!$A:$A,SMALL(PRENOTAZIONI!$V:$V,53)),"")</f>
        <v/>
      </c>
      <c r="B56" s="31" t="str">
        <f>IFERROR(INDEX(PRENOTAZIONI!$B:$B,SMALL(PRENOTAZIONI!$V:$V,53)),"")</f>
        <v/>
      </c>
      <c r="C56" s="32" t="str">
        <f t="shared" si="11"/>
        <v/>
      </c>
      <c r="D56" s="34" t="str">
        <f>IFERROR(INDEX(PRENOTAZIONI!$E:$E,SMALL(PRENOTAZIONI!$V:$V,53)),"")</f>
        <v/>
      </c>
      <c r="E56" s="34" t="str">
        <f>IFERROR(INDEX(PRENOTAZIONI!$F:$F,SMALL(PRENOTAZIONI!$V:$V,53)),"")</f>
        <v/>
      </c>
      <c r="F56" s="34" t="str">
        <f>IFERROR(INDEX(PRENOTAZIONI!$G:$G,SMALL(PRENOTAZIONI!$V:$V,53)),"")</f>
        <v/>
      </c>
      <c r="G56" s="35" t="str">
        <f>IFERROR(INDEX(PRENOTAZIONI!$H:$H,SMALL(PRENOTAZIONI!$V:$V,53)),"")</f>
        <v/>
      </c>
      <c r="H56" s="35" t="str">
        <f t="shared" si="12"/>
        <v/>
      </c>
      <c r="I56" s="35" t="str">
        <f t="shared" si="13"/>
        <v/>
      </c>
      <c r="J56" s="149" t="str">
        <f t="shared" si="14"/>
        <v/>
      </c>
      <c r="K56" s="34" t="str">
        <f>IFERROR(INDEX(PRENOTAZIONI!$K:$K,SMALL(PRENOTAZIONI!$V:$V,53)),"")</f>
        <v/>
      </c>
      <c r="L56" s="35" t="str">
        <f>IFERROR(INDEX(PRENOTAZIONI!$L:$L,SMALL(PRENOTAZIONI!$V:$V,53)),"")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47" t="str">
        <f>IFERROR(INDEX(PRENOTAZIONI!$R:$R,SMALL(PRENOTAZIONI!$V:$V,53)),"")</f>
        <v/>
      </c>
      <c r="S56" s="78"/>
    </row>
    <row r="57" spans="1:19" ht="22" customHeight="1" x14ac:dyDescent="0.25">
      <c r="A57" s="31" t="str">
        <f>IFERROR(INDEX(PRENOTAZIONI!$A:$A,SMALL(PRENOTAZIONI!$V:$V,54)),"")</f>
        <v/>
      </c>
      <c r="B57" s="31" t="str">
        <f>IFERROR(INDEX(PRENOTAZIONI!$B:$B,SMALL(PRENOTAZIONI!$V:$V,54)),"")</f>
        <v/>
      </c>
      <c r="C57" s="32" t="str">
        <f t="shared" si="11"/>
        <v/>
      </c>
      <c r="D57" s="34" t="str">
        <f>IFERROR(INDEX(PRENOTAZIONI!$E:$E,SMALL(PRENOTAZIONI!$V:$V,54)),"")</f>
        <v/>
      </c>
      <c r="E57" s="34" t="str">
        <f>IFERROR(INDEX(PRENOTAZIONI!$F:$F,SMALL(PRENOTAZIONI!$V:$V,54)),"")</f>
        <v/>
      </c>
      <c r="F57" s="34" t="str">
        <f>IFERROR(INDEX(PRENOTAZIONI!$G:$G,SMALL(PRENOTAZIONI!$V:$V,54)),"")</f>
        <v/>
      </c>
      <c r="G57" s="35" t="str">
        <f>IFERROR(INDEX(PRENOTAZIONI!$H:$H,SMALL(PRENOTAZIONI!$V:$V,54)),"")</f>
        <v/>
      </c>
      <c r="H57" s="35" t="str">
        <f t="shared" si="12"/>
        <v/>
      </c>
      <c r="I57" s="35" t="str">
        <f t="shared" si="13"/>
        <v/>
      </c>
      <c r="J57" s="149" t="str">
        <f t="shared" si="14"/>
        <v/>
      </c>
      <c r="K57" s="34" t="str">
        <f>IFERROR(INDEX(PRENOTAZIONI!$K:$K,SMALL(PRENOTAZIONI!$V:$V,54)),"")</f>
        <v/>
      </c>
      <c r="L57" s="35" t="str">
        <f>IFERROR(INDEX(PRENOTAZIONI!$L:$L,SMALL(PRENOTAZIONI!$V:$V,54)),"")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47" t="str">
        <f>IFERROR(INDEX(PRENOTAZIONI!$R:$R,SMALL(PRENOTAZIONI!$V:$V,54)),"")</f>
        <v/>
      </c>
      <c r="S57" s="78"/>
    </row>
    <row r="58" spans="1:19" ht="22" customHeight="1" x14ac:dyDescent="0.25">
      <c r="A58" s="31" t="str">
        <f>IFERROR(INDEX(PRENOTAZIONI!$A:$A,SMALL(PRENOTAZIONI!$V:$V,55)),"")</f>
        <v/>
      </c>
      <c r="B58" s="31" t="str">
        <f>IFERROR(INDEX(PRENOTAZIONI!$B:$B,SMALL(PRENOTAZIONI!$V:$V,55)),"")</f>
        <v/>
      </c>
      <c r="C58" s="32" t="str">
        <f t="shared" si="11"/>
        <v/>
      </c>
      <c r="D58" s="34" t="str">
        <f>IFERROR(INDEX(PRENOTAZIONI!$E:$E,SMALL(PRENOTAZIONI!$V:$V,55)),"")</f>
        <v/>
      </c>
      <c r="E58" s="34" t="str">
        <f>IFERROR(INDEX(PRENOTAZIONI!$F:$F,SMALL(PRENOTAZIONI!$V:$V,55)),"")</f>
        <v/>
      </c>
      <c r="F58" s="34" t="str">
        <f>IFERROR(INDEX(PRENOTAZIONI!$G:$G,SMALL(PRENOTAZIONI!$V:$V,55)),"")</f>
        <v/>
      </c>
      <c r="G58" s="35" t="str">
        <f>IFERROR(INDEX(PRENOTAZIONI!$H:$H,SMALL(PRENOTAZIONI!$V:$V,55)),"")</f>
        <v/>
      </c>
      <c r="H58" s="35" t="str">
        <f t="shared" si="12"/>
        <v/>
      </c>
      <c r="I58" s="35" t="str">
        <f t="shared" si="13"/>
        <v/>
      </c>
      <c r="J58" s="149" t="str">
        <f t="shared" si="14"/>
        <v/>
      </c>
      <c r="K58" s="34" t="str">
        <f>IFERROR(INDEX(PRENOTAZIONI!$K:$K,SMALL(PRENOTAZIONI!$V:$V,55)),"")</f>
        <v/>
      </c>
      <c r="L58" s="35" t="str">
        <f>IFERROR(INDEX(PRENOTAZIONI!$L:$L,SMALL(PRENOTAZIONI!$V:$V,55)),"")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47" t="str">
        <f>IFERROR(INDEX(PRENOTAZIONI!$R:$R,SMALL(PRENOTAZIONI!$V:$V,55)),"")</f>
        <v/>
      </c>
      <c r="S58" s="78"/>
    </row>
    <row r="59" spans="1:19" ht="22" customHeight="1" x14ac:dyDescent="0.25">
      <c r="A59" s="31" t="str">
        <f>IFERROR(INDEX(PRENOTAZIONI!$A:$A,SMALL(PRENOTAZIONI!$V:$V,56)),"")</f>
        <v/>
      </c>
      <c r="B59" s="31" t="str">
        <f>IFERROR(INDEX(PRENOTAZIONI!$B:$B,SMALL(PRENOTAZIONI!$V:$V,56)),"")</f>
        <v/>
      </c>
      <c r="C59" s="32" t="str">
        <f t="shared" si="11"/>
        <v/>
      </c>
      <c r="D59" s="34" t="str">
        <f>IFERROR(INDEX(PRENOTAZIONI!$E:$E,SMALL(PRENOTAZIONI!$V:$V,56)),"")</f>
        <v/>
      </c>
      <c r="E59" s="34" t="str">
        <f>IFERROR(INDEX(PRENOTAZIONI!$F:$F,SMALL(PRENOTAZIONI!$V:$V,56)),"")</f>
        <v/>
      </c>
      <c r="F59" s="34" t="str">
        <f>IFERROR(INDEX(PRENOTAZIONI!$G:$G,SMALL(PRENOTAZIONI!$V:$V,56)),"")</f>
        <v/>
      </c>
      <c r="G59" s="35" t="str">
        <f>IFERROR(INDEX(PRENOTAZIONI!$H:$H,SMALL(PRENOTAZIONI!$V:$V,56)),"")</f>
        <v/>
      </c>
      <c r="H59" s="35" t="str">
        <f t="shared" si="12"/>
        <v/>
      </c>
      <c r="I59" s="35" t="str">
        <f t="shared" si="13"/>
        <v/>
      </c>
      <c r="J59" s="149" t="str">
        <f t="shared" si="14"/>
        <v/>
      </c>
      <c r="K59" s="34" t="str">
        <f>IFERROR(INDEX(PRENOTAZIONI!$K:$K,SMALL(PRENOTAZIONI!$V:$V,56)),"")</f>
        <v/>
      </c>
      <c r="L59" s="35" t="str">
        <f>IFERROR(INDEX(PRENOTAZIONI!$L:$L,SMALL(PRENOTAZIONI!$V:$V,56)),"")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47" t="str">
        <f>IFERROR(INDEX(PRENOTAZIONI!$R:$R,SMALL(PRENOTAZIONI!$V:$V,56)),"")</f>
        <v/>
      </c>
      <c r="S59" s="78"/>
    </row>
    <row r="60" spans="1:19" ht="22" customHeight="1" x14ac:dyDescent="0.25">
      <c r="A60" s="31" t="str">
        <f>IFERROR(INDEX(PRENOTAZIONI!$A:$A,SMALL(PRENOTAZIONI!$V:$V,57)),"")</f>
        <v/>
      </c>
      <c r="B60" s="31" t="str">
        <f>IFERROR(INDEX(PRENOTAZIONI!$B:$B,SMALL(PRENOTAZIONI!$V:$V,57)),"")</f>
        <v/>
      </c>
      <c r="C60" s="32" t="str">
        <f t="shared" si="11"/>
        <v/>
      </c>
      <c r="D60" s="34" t="str">
        <f>IFERROR(INDEX(PRENOTAZIONI!$E:$E,SMALL(PRENOTAZIONI!$V:$V,57)),"")</f>
        <v/>
      </c>
      <c r="E60" s="34" t="str">
        <f>IFERROR(INDEX(PRENOTAZIONI!$F:$F,SMALL(PRENOTAZIONI!$V:$V,57)),"")</f>
        <v/>
      </c>
      <c r="F60" s="34" t="str">
        <f>IFERROR(INDEX(PRENOTAZIONI!$G:$G,SMALL(PRENOTAZIONI!$V:$V,57)),"")</f>
        <v/>
      </c>
      <c r="G60" s="35" t="str">
        <f>IFERROR(INDEX(PRENOTAZIONI!$H:$H,SMALL(PRENOTAZIONI!$V:$V,57)),"")</f>
        <v/>
      </c>
      <c r="H60" s="35" t="str">
        <f t="shared" si="12"/>
        <v/>
      </c>
      <c r="I60" s="35" t="str">
        <f t="shared" si="13"/>
        <v/>
      </c>
      <c r="J60" s="149" t="str">
        <f t="shared" si="14"/>
        <v/>
      </c>
      <c r="K60" s="34" t="str">
        <f>IFERROR(INDEX(PRENOTAZIONI!$K:$K,SMALL(PRENOTAZIONI!$V:$V,57)),"")</f>
        <v/>
      </c>
      <c r="L60" s="35" t="str">
        <f>IFERROR(INDEX(PRENOTAZIONI!$L:$L,SMALL(PRENOTAZIONI!$V:$V,57)),"")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47" t="str">
        <f>IFERROR(INDEX(PRENOTAZIONI!$R:$R,SMALL(PRENOTAZIONI!$V:$V,57)),"")</f>
        <v/>
      </c>
      <c r="S60" s="78"/>
    </row>
    <row r="61" spans="1:19" ht="22" customHeight="1" x14ac:dyDescent="0.25">
      <c r="A61" s="31" t="str">
        <f>IFERROR(INDEX(PRENOTAZIONI!$A:$A,SMALL(PRENOTAZIONI!$V:$V,58)),"")</f>
        <v/>
      </c>
      <c r="B61" s="31" t="str">
        <f>IFERROR(INDEX(PRENOTAZIONI!$B:$B,SMALL(PRENOTAZIONI!$V:$V,58)),"")</f>
        <v/>
      </c>
      <c r="C61" s="32" t="str">
        <f t="shared" si="11"/>
        <v/>
      </c>
      <c r="D61" s="34" t="str">
        <f>IFERROR(INDEX(PRENOTAZIONI!$E:$E,SMALL(PRENOTAZIONI!$V:$V,58)),"")</f>
        <v/>
      </c>
      <c r="E61" s="34" t="str">
        <f>IFERROR(INDEX(PRENOTAZIONI!$F:$F,SMALL(PRENOTAZIONI!$V:$V,58)),"")</f>
        <v/>
      </c>
      <c r="F61" s="34" t="str">
        <f>IFERROR(INDEX(PRENOTAZIONI!$G:$G,SMALL(PRENOTAZIONI!$V:$V,58)),"")</f>
        <v/>
      </c>
      <c r="G61" s="35" t="str">
        <f>IFERROR(INDEX(PRENOTAZIONI!$H:$H,SMALL(PRENOTAZIONI!$V:$V,58)),"")</f>
        <v/>
      </c>
      <c r="H61" s="35" t="str">
        <f t="shared" si="12"/>
        <v/>
      </c>
      <c r="I61" s="35" t="str">
        <f t="shared" si="13"/>
        <v/>
      </c>
      <c r="J61" s="149" t="str">
        <f t="shared" si="14"/>
        <v/>
      </c>
      <c r="K61" s="34" t="str">
        <f>IFERROR(INDEX(PRENOTAZIONI!$K:$K,SMALL(PRENOTAZIONI!$V:$V,58)),"")</f>
        <v/>
      </c>
      <c r="L61" s="35" t="str">
        <f>IFERROR(INDEX(PRENOTAZIONI!$L:$L,SMALL(PRENOTAZIONI!$V:$V,58)),"")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47" t="str">
        <f>IFERROR(INDEX(PRENOTAZIONI!$R:$R,SMALL(PRENOTAZIONI!$V:$V,58)),"")</f>
        <v/>
      </c>
      <c r="S61" s="78"/>
    </row>
    <row r="62" spans="1:19" ht="22" customHeight="1" x14ac:dyDescent="0.25">
      <c r="A62" s="31" t="str">
        <f>IFERROR(INDEX(PRENOTAZIONI!$A:$A,SMALL(PRENOTAZIONI!$V:$V,59)),"")</f>
        <v/>
      </c>
      <c r="B62" s="31" t="str">
        <f>IFERROR(INDEX(PRENOTAZIONI!$B:$B,SMALL(PRENOTAZIONI!$V:$V,59)),"")</f>
        <v/>
      </c>
      <c r="C62" s="32" t="str">
        <f t="shared" si="11"/>
        <v/>
      </c>
      <c r="D62" s="34" t="str">
        <f>IFERROR(INDEX(PRENOTAZIONI!$E:$E,SMALL(PRENOTAZIONI!$V:$V,59)),"")</f>
        <v/>
      </c>
      <c r="E62" s="34" t="str">
        <f>IFERROR(INDEX(PRENOTAZIONI!$F:$F,SMALL(PRENOTAZIONI!$V:$V,59)),"")</f>
        <v/>
      </c>
      <c r="F62" s="34" t="str">
        <f>IFERROR(INDEX(PRENOTAZIONI!$G:$G,SMALL(PRENOTAZIONI!$V:$V,59)),"")</f>
        <v/>
      </c>
      <c r="G62" s="35" t="str">
        <f>IFERROR(INDEX(PRENOTAZIONI!$H:$H,SMALL(PRENOTAZIONI!$V:$V,59)),"")</f>
        <v/>
      </c>
      <c r="H62" s="35" t="str">
        <f t="shared" si="12"/>
        <v/>
      </c>
      <c r="I62" s="35" t="str">
        <f t="shared" si="13"/>
        <v/>
      </c>
      <c r="J62" s="149" t="str">
        <f t="shared" si="14"/>
        <v/>
      </c>
      <c r="K62" s="34" t="str">
        <f>IFERROR(INDEX(PRENOTAZIONI!$K:$K,SMALL(PRENOTAZIONI!$V:$V,59)),"")</f>
        <v/>
      </c>
      <c r="L62" s="35" t="str">
        <f>IFERROR(INDEX(PRENOTAZIONI!$L:$L,SMALL(PRENOTAZIONI!$V:$V,59)),"")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47" t="str">
        <f>IFERROR(INDEX(PRENOTAZIONI!$R:$R,SMALL(PRENOTAZIONI!$V:$V,59)),"")</f>
        <v/>
      </c>
      <c r="S62" s="78"/>
    </row>
    <row r="63" spans="1:19" ht="22" customHeight="1" x14ac:dyDescent="0.25">
      <c r="A63" s="31" t="str">
        <f>IFERROR(INDEX(PRENOTAZIONI!$A:$A,SMALL(PRENOTAZIONI!$V:$V,60)),"")</f>
        <v/>
      </c>
      <c r="B63" s="31" t="str">
        <f>IFERROR(INDEX(PRENOTAZIONI!$B:$B,SMALL(PRENOTAZIONI!$V:$V,60)),"")</f>
        <v/>
      </c>
      <c r="C63" s="32" t="str">
        <f t="shared" si="11"/>
        <v/>
      </c>
      <c r="D63" s="34" t="str">
        <f>IFERROR(INDEX(PRENOTAZIONI!$E:$E,SMALL(PRENOTAZIONI!$V:$V,60)),"")</f>
        <v/>
      </c>
      <c r="E63" s="34" t="str">
        <f>IFERROR(INDEX(PRENOTAZIONI!$F:$F,SMALL(PRENOTAZIONI!$V:$V,60)),"")</f>
        <v/>
      </c>
      <c r="F63" s="34" t="str">
        <f>IFERROR(INDEX(PRENOTAZIONI!$G:$G,SMALL(PRENOTAZIONI!$V:$V,60)),"")</f>
        <v/>
      </c>
      <c r="G63" s="35" t="str">
        <f>IFERROR(INDEX(PRENOTAZIONI!$H:$H,SMALL(PRENOTAZIONI!$V:$V,60)),"")</f>
        <v/>
      </c>
      <c r="H63" s="35" t="str">
        <f t="shared" si="12"/>
        <v/>
      </c>
      <c r="I63" s="35" t="str">
        <f t="shared" si="13"/>
        <v/>
      </c>
      <c r="J63" s="149" t="str">
        <f t="shared" si="14"/>
        <v/>
      </c>
      <c r="K63" s="34" t="str">
        <f>IFERROR(INDEX(PRENOTAZIONI!$K:$K,SMALL(PRENOTAZIONI!$V:$V,60)),"")</f>
        <v/>
      </c>
      <c r="L63" s="35" t="str">
        <f>IFERROR(INDEX(PRENOTAZIONI!$L:$L,SMALL(PRENOTAZIONI!$V:$V,60)),"")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47" t="str">
        <f>IFERROR(INDEX(PRENOTAZIONI!$R:$R,SMALL(PRENOTAZIONI!$V:$V,60)),"")</f>
        <v/>
      </c>
      <c r="S63" s="78"/>
    </row>
    <row r="64" spans="1:19" ht="19" customHeight="1" x14ac:dyDescent="0.25">
      <c r="S64" s="78"/>
    </row>
    <row r="65" spans="19:19" ht="19" customHeight="1" x14ac:dyDescent="0.25">
      <c r="S65" s="78"/>
    </row>
  </sheetData>
  <autoFilter ref="A3:R63" xr:uid="{00000000-0009-0000-0000-000007000000}"/>
  <pageMargins left="0.75" right="0.75" top="1" bottom="1" header="0.5" footer="0.5"/>
  <pageSetup paperSize="9" scale="16" orientation="landscape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  <pageSetUpPr fitToPage="1"/>
  </sheetPr>
  <dimension ref="A1:BH65"/>
  <sheetViews>
    <sheetView zoomScale="120" zoomScaleNormal="120" workbookViewId="0">
      <pane ySplit="3" topLeftCell="A5" activePane="bottomLeft" state="frozen"/>
      <selection pane="bottomLeft" activeCell="N7" sqref="N7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" customWidth="1"/>
    <col min="7" max="7" width="11.1640625" customWidth="1"/>
    <col min="8" max="9" width="11" customWidth="1"/>
    <col min="10" max="10" width="13" customWidth="1"/>
    <col min="11" max="11" width="8" customWidth="1"/>
    <col min="12" max="12" width="10" customWidth="1"/>
    <col min="13" max="13" width="13" customWidth="1"/>
    <col min="14" max="14" width="10" customWidth="1"/>
    <col min="15" max="15" width="20" customWidth="1"/>
    <col min="16" max="16" width="12.5" bestFit="1" customWidth="1"/>
    <col min="17" max="17" width="18" customWidth="1"/>
    <col min="18" max="18" width="14.6640625" customWidth="1"/>
    <col min="19" max="19" width="44.1640625" customWidth="1"/>
    <col min="20" max="20" width="13.1640625" bestFit="1" customWidth="1"/>
    <col min="21" max="21" width="11.5" bestFit="1" customWidth="1"/>
    <col min="22" max="22" width="20" customWidth="1"/>
    <col min="23" max="23" width="13" bestFit="1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8.1640625" customWidth="1"/>
    <col min="33" max="33" width="20.33203125" customWidth="1"/>
    <col min="34" max="34" width="8.83203125" bestFit="1" customWidth="1"/>
    <col min="35" max="35" width="9" bestFit="1" customWidth="1"/>
    <col min="36" max="36" width="13.33203125" bestFit="1" customWidth="1"/>
    <col min="37" max="37" width="12.1640625" bestFit="1" customWidth="1"/>
    <col min="38" max="38" width="10.1640625" bestFit="1" customWidth="1"/>
    <col min="39" max="39" width="11.83203125" bestFit="1" customWidth="1"/>
    <col min="40" max="40" width="11" bestFit="1" customWidth="1"/>
    <col min="41" max="42" width="11" customWidth="1"/>
  </cols>
  <sheetData>
    <row r="1" spans="1:60" ht="28" customHeight="1" x14ac:dyDescent="0.25">
      <c r="A1" s="1" t="s">
        <v>266</v>
      </c>
      <c r="B1" s="2"/>
      <c r="C1" s="2"/>
      <c r="D1" s="2"/>
      <c r="E1" s="2"/>
      <c r="F1" s="2"/>
      <c r="G1" s="118"/>
      <c r="H1" s="119"/>
      <c r="I1" s="2"/>
      <c r="J1" s="148"/>
      <c r="K1" s="2"/>
      <c r="L1" s="2"/>
      <c r="M1" s="2"/>
      <c r="N1" s="2"/>
      <c r="O1" s="2"/>
      <c r="P1" s="2"/>
      <c r="Q1" s="2"/>
      <c r="R1" s="2"/>
      <c r="T1" s="77"/>
      <c r="AF1" s="38"/>
      <c r="AG1" s="110" t="s">
        <v>267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200" t="s">
        <v>9</v>
      </c>
      <c r="I3" s="139" t="s">
        <v>249</v>
      </c>
      <c r="J3" s="155" t="s">
        <v>250</v>
      </c>
      <c r="K3" s="139" t="s">
        <v>11</v>
      </c>
      <c r="L3" s="139" t="s">
        <v>12</v>
      </c>
      <c r="M3" s="139" t="s">
        <v>251</v>
      </c>
      <c r="N3" s="139" t="s">
        <v>252</v>
      </c>
      <c r="O3" s="139" t="s">
        <v>253</v>
      </c>
      <c r="P3" s="139" t="s">
        <v>254</v>
      </c>
      <c r="Q3" s="139" t="s">
        <v>255</v>
      </c>
      <c r="R3" s="139" t="s">
        <v>18</v>
      </c>
      <c r="S3" s="201"/>
      <c r="T3" s="83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thickBot="1" x14ac:dyDescent="0.25">
      <c r="A4" s="164">
        <f>IFERROR(INDEX(PRENOTAZIONI!$A:$A,SMALL(PRENOTAZIONI!$AF:$AF,1)),"")</f>
        <v>46038</v>
      </c>
      <c r="B4" s="165">
        <f>IFERROR(INDEX(PRENOTAZIONI!$B:$B,SMALL(PRENOTAZIONI!$AF:$AF,1)),"")</f>
        <v>46040</v>
      </c>
      <c r="C4" s="166">
        <f t="shared" ref="C4:C35" si="0">IF(A4&lt;&gt;"",B4-A4,"")</f>
        <v>2</v>
      </c>
      <c r="D4" s="167" t="str">
        <f>IFERROR(INDEX(PRENOTAZIONI!$E:$E,SMALL(PRENOTAZIONI!$AF:$AF,1)),"")</f>
        <v xml:space="preserve">Giovanni Simone </v>
      </c>
      <c r="E4" s="167" t="str">
        <f>IFERROR(INDEX(PRENOTAZIONI!$F:$F,SMALL(PRENOTAZIONI!$AF:$AF,1)),"")</f>
        <v>4 ad</v>
      </c>
      <c r="F4" s="167" t="str">
        <f>IFERROR(INDEX(PRENOTAZIONI!$G:$G,SMALL(PRENOTAZIONI!$AF:$AF,1)),"")</f>
        <v>diretta</v>
      </c>
      <c r="G4" s="168">
        <f>IFERROR(INDEX(PRENOTAZIONI!$H:$H,SMALL(PRENOTAZIONI!$AF:$AF,1)),"")</f>
        <v>200</v>
      </c>
      <c r="H4" s="203">
        <f t="shared" ref="H4:H35" si="1">IF(AND(G4&lt;&gt;"",C4&lt;&gt;"",C4&lt;&gt;0),G4/C4,"")</f>
        <v>100</v>
      </c>
      <c r="I4" s="168">
        <f t="shared" ref="I4:I35" si="2">IF(G4="","",IF(NOT(ISERROR(SEARCH("diretta",F4))),0,IF(NOT(ISERROR(SEARCH("booking",F4))),G4*0.15,IF(NOT(ISERROR(SEARCH("airbnb",F4))),G4*0.155,""))))</f>
        <v>0</v>
      </c>
      <c r="J4" s="169">
        <v>0</v>
      </c>
      <c r="K4" s="167" t="str">
        <f>IFERROR(INDEX(PRENOTAZIONI!$K:$K,SMALL(PRENOTAZIONI!$AF:$AF,1)),"")</f>
        <v>MASTER</v>
      </c>
      <c r="L4" s="168">
        <f>IFERROR(INDEX(PRENOTAZIONI!$L:$L,SMALL(PRENOTAZIONI!$AF:$AF,1)),"")</f>
        <v>8</v>
      </c>
      <c r="M4" s="170">
        <f t="shared" ref="M4:M35" si="3">IF(G4&lt;&gt;"",G4*0.21,"")</f>
        <v>42</v>
      </c>
      <c r="N4" s="168">
        <f t="shared" ref="N4:N35" si="4">IF(G4&lt;&gt;"",G4*0.25,"")</f>
        <v>50</v>
      </c>
      <c r="O4" s="168">
        <v>0</v>
      </c>
      <c r="P4" s="171"/>
      <c r="Q4" s="170">
        <f t="shared" ref="Q4:Q35" si="5">IF(G4&lt;&gt;"",G4-I4-J4-M4-N4-O4,"")</f>
        <v>108</v>
      </c>
      <c r="R4" s="167">
        <f>IFERROR(INDEX(PRENOTAZIONI!$R:$R,SMALL(PRENOTAZIONI!$AF:$AF,1)),"")</f>
        <v>0</v>
      </c>
      <c r="S4" s="208" t="s">
        <v>268</v>
      </c>
      <c r="T4" s="99">
        <f>IFERROR(INDEX(PRENOTAZIONI!$A:$A,SMALL(PRENOTAZIONI!$AH:$AH,1)),"")</f>
        <v>46056</v>
      </c>
      <c r="U4" s="31">
        <f>IFERROR(INDEX(PRENOTAZIONI!$B:$B,SMALL(PRENOTAZIONI!$AH:$AH,1)),"")</f>
        <v>46058</v>
      </c>
      <c r="V4" s="32">
        <f t="shared" ref="V4:V33" si="6">IF(T4&lt;&gt;"",U4-T4,"")</f>
        <v>2</v>
      </c>
      <c r="W4" s="34" t="str">
        <f>IFERROR(INDEX(PRENOTAZIONI!$E:$E,SMALL(PRENOTAZIONI!$AH:$AH,1)),"")</f>
        <v>Monia Cardo</v>
      </c>
      <c r="X4" s="34" t="str">
        <f>IFERROR(INDEX(PRENOTAZIONI!$F:$F,SMALL(PRENOTAZIONI!$AH:$AH,1)),"")</f>
        <v>1 ad</v>
      </c>
      <c r="Y4" s="35">
        <f>IFERROR(INDEX(PRENOTAZIONI!$H:$H,SMALL(PRENOTAZIONI!$AH:$AH,1)),"")</f>
        <v>162</v>
      </c>
      <c r="Z4" s="34" t="str">
        <f>IFERROR(INDEX(PRENOTAZIONI!$K:$K,SMALL(PRENOTAZIONI!$AH:$AH,1)),"")</f>
        <v>contanti</v>
      </c>
      <c r="AA4" s="34" t="s">
        <v>269</v>
      </c>
      <c r="AB4" s="34" t="s">
        <v>270</v>
      </c>
      <c r="AC4" s="40">
        <f t="shared" ref="AC4:AC33" si="7">IF(Y4&lt;&gt;"",Y4*0.25,"")</f>
        <v>40.5</v>
      </c>
      <c r="AD4" s="41">
        <f t="shared" ref="AD4:AD33" si="8">IF(Y4&lt;&gt;"",Y4-AC4,"")</f>
        <v>121.5</v>
      </c>
      <c r="AF4" s="38"/>
      <c r="AG4" s="113" t="s">
        <v>174</v>
      </c>
      <c r="AH4" s="114">
        <f>SUMPRODUCT((MONTH(PRENOTAZIONI!$A$3:$A$262)=1)*(YEAR(PRENOTAZIONI!$A$3:$A$262)=2026)*(PRENOTAZIONI!$D$3:$D$262="Villa Elena"))</f>
        <v>1</v>
      </c>
      <c r="AI4" s="114">
        <f>SUMPRODUCT((PRENOTAZIONI!$A$3:$A$262&lt;DATE(2026,2,1))*(PRENOTAZIONI!$B$3:$B$262&gt;DATE(2026,1,1))*(YEAR(PRENOTAZIONI!$A$3:$A$262)=2026)*(PRENOTAZIONI!$D$3:$D$262="Villa Elena")*((PRENOTAZIONI!$B$3:$B$262*(PRENOTAZIONI!$B$3:$B$262&lt;DATE(2026,2,1))+DATE(2026,2,1)*(PRENOTAZIONI!$B$3:$B$262&gt;=DATE(2026,2,1)))-(PRENOTAZIONI!$A$3:$A$262*(PRENOTAZIONI!$A$3:$A$262&gt;DATE(2026,1,1))+DATE(2026,1,1)*(PRENOTAZIONI!$A$3:$A$262&lt;=DATE(2026,1,1)))))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2</v>
      </c>
      <c r="AJ4" s="151">
        <f>SUMIF(A4:A33,"&gt;="&amp;DATE(2026,1,1),G4:G33)-SUMIF(A4:A33,"&gt;="&amp;DATE(2026,2,1),G4:G33)</f>
        <v>200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8</v>
      </c>
      <c r="AM4" s="151">
        <f>SUMIF(A4:A33,"&gt;="&amp;DATE(2026,1,1),N4:N33)-SUMIF(A4:A33,"&gt;="&amp;DATE(2026,2,1),N4:N33)</f>
        <v>50</v>
      </c>
      <c r="AN4" s="152">
        <f>SUMIF(A4:A33,"&gt;="&amp;DATE(2026,1,1),M4:M33)-SUMIF(A4:A33,"&gt;="&amp;DATE(2026,2,1),M4:M33)</f>
        <v>42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108</v>
      </c>
    </row>
    <row r="5" spans="1:60" ht="20" customHeight="1" thickBot="1" x14ac:dyDescent="0.25">
      <c r="A5" s="164">
        <f>IFERROR(INDEX(PRENOTAZIONI!$A:$A,SMALL(PRENOTAZIONI!$AF:$AF,2)),"")</f>
        <v>46129</v>
      </c>
      <c r="B5" s="165">
        <f>IFERROR(INDEX(PRENOTAZIONI!$B:$B,SMALL(PRENOTAZIONI!$AF:$AF,2)),"")</f>
        <v>46132</v>
      </c>
      <c r="C5" s="166">
        <f t="shared" si="0"/>
        <v>3</v>
      </c>
      <c r="D5" s="167" t="str">
        <f>IFERROR(INDEX(PRENOTAZIONI!$E:$E,SMALL(PRENOTAZIONI!$AF:$AF,2)),"")</f>
        <v>Luca Ferrari</v>
      </c>
      <c r="E5" s="167" t="str">
        <f>IFERROR(INDEX(PRENOTAZIONI!$F:$F,SMALL(PRENOTAZIONI!$AF:$AF,2)),"")</f>
        <v>3 ad</v>
      </c>
      <c r="F5" s="167" t="str">
        <f>IFERROR(INDEX(PRENOTAZIONI!$G:$G,SMALL(PRENOTAZIONI!$AF:$AF,2)),"")</f>
        <v>diretta</v>
      </c>
      <c r="G5" s="168">
        <f>IFERROR(INDEX(PRENOTAZIONI!$H:$H,SMALL(PRENOTAZIONI!$AF:$AF,2)),"")</f>
        <v>300</v>
      </c>
      <c r="H5" s="203">
        <f t="shared" si="1"/>
        <v>100</v>
      </c>
      <c r="I5" s="168">
        <f t="shared" si="2"/>
        <v>0</v>
      </c>
      <c r="J5" s="169">
        <v>0</v>
      </c>
      <c r="K5" s="167">
        <f>IFERROR(INDEX(PRENOTAZIONI!$K:$K,SMALL(PRENOTAZIONI!$AF:$AF,2)),"")</f>
        <v>0</v>
      </c>
      <c r="L5" s="168">
        <f>IFERROR(INDEX(PRENOTAZIONI!$L:$L,SMALL(PRENOTAZIONI!$AF:$AF,2)),"")</f>
        <v>6</v>
      </c>
      <c r="M5" s="170">
        <f t="shared" si="3"/>
        <v>63</v>
      </c>
      <c r="N5" s="168">
        <f t="shared" si="4"/>
        <v>75</v>
      </c>
      <c r="O5" s="168">
        <v>0</v>
      </c>
      <c r="P5" s="171"/>
      <c r="Q5" s="170">
        <f t="shared" si="5"/>
        <v>162</v>
      </c>
      <c r="R5" s="167">
        <f>IFERROR(INDEX(PRENOTAZIONI!$R:$R,SMALL(PRENOTAZIONI!$AF:$AF,2)),"")</f>
        <v>0</v>
      </c>
      <c r="S5" s="208" t="s">
        <v>271</v>
      </c>
      <c r="T5" s="99">
        <f>IFERROR(INDEX(PRENOTAZIONI!$A:$A,SMALL(PRENOTAZIONI!$AH:$AH,2)),"")</f>
        <v>46091</v>
      </c>
      <c r="U5" s="31">
        <f>IFERROR(INDEX(PRENOTAZIONI!$B:$B,SMALL(PRENOTAZIONI!$AH:$AH,2)),"")</f>
        <v>46093</v>
      </c>
      <c r="V5" s="32">
        <f t="shared" si="6"/>
        <v>2</v>
      </c>
      <c r="W5" s="34" t="str">
        <f>IFERROR(INDEX(PRENOTAZIONI!$E:$E,SMALL(PRENOTAZIONI!$AH:$AH,2)),"")</f>
        <v>Monia Cardo</v>
      </c>
      <c r="X5" s="34" t="str">
        <f>IFERROR(INDEX(PRENOTAZIONI!$F:$F,SMALL(PRENOTAZIONI!$AH:$AH,2)),"")</f>
        <v>1 ad</v>
      </c>
      <c r="Y5" s="35">
        <f>IFERROR(INDEX(PRENOTAZIONI!$H:$H,SMALL(PRENOTAZIONI!$AH:$AH,2)),"")</f>
        <v>162</v>
      </c>
      <c r="Z5" s="34" t="str">
        <f>IFERROR(INDEX(PRENOTAZIONI!$K:$K,SMALL(PRENOTAZIONI!$AH:$AH,2)),"")</f>
        <v>contanti</v>
      </c>
      <c r="AA5" s="34" t="s">
        <v>269</v>
      </c>
      <c r="AB5" s="34" t="s">
        <v>270</v>
      </c>
      <c r="AC5" s="40">
        <f t="shared" si="7"/>
        <v>40.5</v>
      </c>
      <c r="AD5" s="41">
        <f t="shared" si="8"/>
        <v>121.5</v>
      </c>
      <c r="AF5" s="38"/>
      <c r="AG5" s="113" t="s">
        <v>182</v>
      </c>
      <c r="AH5" s="114">
        <f>SUMPRODUCT((MONTH(PRENOTAZIONI!$A$3:$A$262)=2)*(YEAR(PRENOTAZIONI!$A$3:$A$262)=2026)*(PRENOTAZIONI!$D$3:$D$262="Villa Elena"))</f>
        <v>1</v>
      </c>
      <c r="AI5" s="114">
        <f>SUMPRODUCT((PRENOTAZIONI!$A$3:$A$262&lt;DATE(2026,3,1))*(PRENOTAZIONI!$B$3:$B$262&gt;DATE(2026,2,1))*(YEAR(PRENOTAZIONI!$A$3:$A$262)=2026)*(PRENOTAZIONI!$D$3:$D$262="Villa Elena")*((PRENOTAZIONI!$B$3:$B$262*(PRENOTAZIONI!$B$3:$B$262&lt;DATE(2026,3,1))+DATE(2026,3,1)*(PRENOTAZIONI!$B$3:$B$262&gt;=DATE(2026,3,1)))-(PRENOTAZIONI!$A$3:$A$262*(PRENOTAZIONI!$A$3:$A$262&gt;DATE(2026,2,1))+DATE(2026,2,1)*(PRENOTAZIONI!$A$3:$A$262&lt;=DATE(2026,2,1)))))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2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157">
        <f>IFERROR(INDEX(PRENOTAZIONI!$A:$A,SMALL(PRENOTAZIONI!$AF:$AF,3)),"")</f>
        <v>46194</v>
      </c>
      <c r="B6" s="157">
        <f>IFERROR(INDEX(PRENOTAZIONI!$B:$B,SMALL(PRENOTAZIONI!$AF:$AF,3)),"")</f>
        <v>46197</v>
      </c>
      <c r="C6" s="158">
        <f t="shared" si="0"/>
        <v>3</v>
      </c>
      <c r="D6" s="159" t="str">
        <f>IFERROR(INDEX(PRENOTAZIONI!$E:$E,SMALL(PRENOTAZIONI!$AF:$AF,3)),"")</f>
        <v>Roberto Fontana</v>
      </c>
      <c r="E6" s="159" t="str">
        <f>IFERROR(INDEX(PRENOTAZIONI!$F:$F,SMALL(PRENOTAZIONI!$AF:$AF,3)),"")</f>
        <v>2 ad + 2 b</v>
      </c>
      <c r="F6" s="159" t="str">
        <f>IFERROR(INDEX(PRENOTAZIONI!$G:$G,SMALL(PRENOTAZIONI!$AF:$AF,3)),"")</f>
        <v>booking.com</v>
      </c>
      <c r="G6" s="160">
        <f>IFERROR(INDEX(PRENOTAZIONI!$H:$H,SMALL(PRENOTAZIONI!$AF:$AF,3)),"")</f>
        <v>369.3</v>
      </c>
      <c r="H6" s="202">
        <f t="shared" si="1"/>
        <v>123.10000000000001</v>
      </c>
      <c r="I6" s="160">
        <f t="shared" si="2"/>
        <v>55.395000000000003</v>
      </c>
      <c r="J6" s="161">
        <f>IF(I6&lt;&gt;"",I6*0.22,"")</f>
        <v>12.186900000000001</v>
      </c>
      <c r="K6" s="159" t="str">
        <f>IFERROR(INDEX(PRENOTAZIONI!$K:$K,SMALL(PRENOTAZIONI!$AF:$AF,3)),"")</f>
        <v>VISA</v>
      </c>
      <c r="L6" s="160">
        <f>IFERROR(INDEX(PRENOTAZIONI!$L:$L,SMALL(PRENOTAZIONI!$AF:$AF,3)),"")</f>
        <v>4</v>
      </c>
      <c r="M6" s="154">
        <f t="shared" si="3"/>
        <v>77.552999999999997</v>
      </c>
      <c r="N6" s="160">
        <f t="shared" si="4"/>
        <v>92.325000000000003</v>
      </c>
      <c r="O6" s="160"/>
      <c r="P6" s="162"/>
      <c r="Q6" s="154">
        <f t="shared" si="5"/>
        <v>131.84010000000006</v>
      </c>
      <c r="R6" s="159">
        <f>IFERROR(INDEX(PRENOTAZIONI!$R:$R,SMALL(PRENOTAZIONI!$AF:$AF,3)),"")</f>
        <v>0</v>
      </c>
      <c r="S6" s="157"/>
      <c r="T6" s="80">
        <f>IFERROR(INDEX(PRENOTAZIONI!$A:$A,SMALL(PRENOTAZIONI!$AH:$AH,3)),"")</f>
        <v>46153</v>
      </c>
      <c r="U6" s="31">
        <f>IFERROR(INDEX(PRENOTAZIONI!$B:$B,SMALL(PRENOTAZIONI!$AH:$AH,3)),"")</f>
        <v>46155</v>
      </c>
      <c r="V6" s="32">
        <f t="shared" si="6"/>
        <v>2</v>
      </c>
      <c r="W6" s="34" t="str">
        <f>IFERROR(INDEX(PRENOTAZIONI!$E:$E,SMALL(PRENOTAZIONI!$AH:$AH,3)),"")</f>
        <v>Monia Cardo</v>
      </c>
      <c r="X6" s="34" t="str">
        <f>IFERROR(INDEX(PRENOTAZIONI!$F:$F,SMALL(PRENOTAZIONI!$AH:$AH,3)),"")</f>
        <v>1 ad</v>
      </c>
      <c r="Y6" s="35">
        <f>IFERROR(INDEX(PRENOTAZIONI!$H:$H,SMALL(PRENOTAZIONI!$AH:$AH,3)),"")</f>
        <v>162</v>
      </c>
      <c r="Z6" s="34" t="str">
        <f>IFERROR(INDEX(PRENOTAZIONI!$K:$K,SMALL(PRENOTAZIONI!$AH:$AH,3)),"")</f>
        <v>contanti</v>
      </c>
      <c r="AA6" s="34" t="s">
        <v>269</v>
      </c>
      <c r="AB6" s="34"/>
      <c r="AC6" s="40">
        <f t="shared" si="7"/>
        <v>40.5</v>
      </c>
      <c r="AD6" s="41">
        <f t="shared" si="8"/>
        <v>121.5</v>
      </c>
      <c r="AF6" s="38"/>
      <c r="AG6" s="113" t="s">
        <v>183</v>
      </c>
      <c r="AH6" s="114">
        <f>SUMPRODUCT((MONTH(PRENOTAZIONI!$A$3:$A$262)=3)*(YEAR(PRENOTAZIONI!$A$3:$A$262)=2026)*(PRENOTAZIONI!$D$3:$D$262="Villa Elena"))</f>
        <v>1</v>
      </c>
      <c r="AI6" s="114">
        <f>SUMPRODUCT((PRENOTAZIONI!$A$3:$A$262&lt;DATE(2026,4,1))*(PRENOTAZIONI!$B$3:$B$262&gt;DATE(2026,3,1))*(YEAR(PRENOTAZIONI!$A$3:$A$262)=2026)*(PRENOTAZIONI!$D$3:$D$262="Villa Elena")*((PRENOTAZIONI!$B$3:$B$262*(PRENOTAZIONI!$B$3:$B$262&lt;DATE(2026,4,1))+DATE(2026,4,1)*(PRENOTAZIONI!$B$3:$B$262&gt;=DATE(2026,4,1)))-(PRENOTAZIONI!$A$3:$A$262*(PRENOTAZIONI!$A$3:$A$262&gt;DATE(2026,3,1))+DATE(2026,3,1)*(PRENOTAZIONI!$A$3:$A$262&lt;=DATE(2026,3,1)))))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2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31">
        <f>IFERROR(INDEX(PRENOTAZIONI!$A:$A,SMALL(PRENOTAZIONI!$AF:$AF,4)),"")</f>
        <v>46244</v>
      </c>
      <c r="B7" s="31">
        <f>IFERROR(INDEX(PRENOTAZIONI!$B:$B,SMALL(PRENOTAZIONI!$AF:$AF,4)),"")</f>
        <v>46251</v>
      </c>
      <c r="C7" s="32">
        <f t="shared" si="0"/>
        <v>7</v>
      </c>
      <c r="D7" s="34" t="str">
        <f>IFERROR(INDEX(PRENOTAZIONI!$E:$E,SMALL(PRENOTAZIONI!$AF:$AF,4)),"")</f>
        <v>Paola Roana</v>
      </c>
      <c r="E7" s="34" t="str">
        <f>IFERROR(INDEX(PRENOTAZIONI!$F:$F,SMALL(PRENOTAZIONI!$AF:$AF,4)),"")</f>
        <v>2 ad</v>
      </c>
      <c r="F7" s="34" t="str">
        <f>IFERROR(INDEX(PRENOTAZIONI!$G:$G,SMALL(PRENOTAZIONI!$AF:$AF,4)),"")</f>
        <v>booking.com</v>
      </c>
      <c r="G7" s="35">
        <f>IFERROR(INDEX(PRENOTAZIONI!$H:$H,SMALL(PRENOTAZIONI!$AF:$AF,4)),"")</f>
        <v>853.94</v>
      </c>
      <c r="H7" s="86">
        <f t="shared" si="1"/>
        <v>121.99142857142859</v>
      </c>
      <c r="I7" s="35">
        <f t="shared" si="2"/>
        <v>128.09100000000001</v>
      </c>
      <c r="J7" s="161">
        <f>IF(I7&lt;&gt;"",I7*0.22,"")</f>
        <v>28.180020000000003</v>
      </c>
      <c r="K7" s="34">
        <f>IFERROR(INDEX(PRENOTAZIONI!$K:$K,SMALL(PRENOTAZIONI!$AF:$AF,4)),"")</f>
        <v>0</v>
      </c>
      <c r="L7" s="35">
        <f>IFERROR(INDEX(PRENOTAZIONI!$L:$L,SMALL(PRENOTAZIONI!$AF:$AF,4)),"")</f>
        <v>0</v>
      </c>
      <c r="M7" s="150">
        <f t="shared" si="3"/>
        <v>179.32740000000001</v>
      </c>
      <c r="N7" s="35">
        <f t="shared" si="4"/>
        <v>213.48500000000001</v>
      </c>
      <c r="O7" s="35"/>
      <c r="P7" s="43"/>
      <c r="Q7" s="150">
        <f t="shared" si="5"/>
        <v>304.85658000000001</v>
      </c>
      <c r="R7" s="34">
        <f>IFERROR(INDEX(PRENOTAZIONI!$R:$R,SMALL(PRENOTAZIONI!$AF:$AF,4)),"")</f>
        <v>0</v>
      </c>
      <c r="S7" s="31"/>
      <c r="T7" s="80" t="str">
        <f>IFERROR(INDEX(PRENOTAZIONI!$A:$A,SMALL(PRENOTAZIONI!$AH:$AH,4)),"")</f>
        <v/>
      </c>
      <c r="U7" s="31" t="str">
        <f>IFERROR(INDEX(PRENOTAZIONI!$B:$B,SMALL(PRENOTAZIONI!$AH:$AH,4)),"")</f>
        <v/>
      </c>
      <c r="V7" s="32" t="str">
        <f t="shared" si="6"/>
        <v/>
      </c>
      <c r="W7" s="34" t="str">
        <f>IFERROR(INDEX(PRENOTAZIONI!$E:$E,SMALL(PRENOTAZIONI!$AH:$AH,4)),"")</f>
        <v/>
      </c>
      <c r="X7" s="34" t="str">
        <f>IFERROR(INDEX(PRENOTAZIONI!$F:$F,SMALL(PRENOTAZIONI!$AH:$AH,4)),"")</f>
        <v/>
      </c>
      <c r="Y7" s="35" t="str">
        <f>IFERROR(INDEX(PRENOTAZIONI!$H:$H,SMALL(PRENOTAZIONI!$AH:$AH,4)),"")</f>
        <v/>
      </c>
      <c r="Z7" s="34" t="str">
        <f>IFERROR(INDEX(PRENOTAZIONI!$K:$K,SMALL(PRENOTAZIONI!$AH:$AH,4)),"")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SUMPRODUCT((MONTH(PRENOTAZIONI!$A$3:$A$262)=4)*(YEAR(PRENOTAZIONI!$A$3:$A$262)=2026)*(PRENOTAZIONI!$D$3:$D$262="Villa Elena"))</f>
        <v>1</v>
      </c>
      <c r="AI7" s="114">
        <f>SUMPRODUCT((PRENOTAZIONI!$A$3:$A$262&lt;DATE(2026,5,1))*(PRENOTAZIONI!$B$3:$B$262&gt;DATE(2026,4,1))*(YEAR(PRENOTAZIONI!$A$3:$A$262)=2026)*(PRENOTAZIONI!$D$3:$D$262="Villa Elena")*((PRENOTAZIONI!$B$3:$B$262*(PRENOTAZIONI!$B$3:$B$262&lt;DATE(2026,5,1))+DATE(2026,5,1)*(PRENOTAZIONI!$B$3:$B$262&gt;=DATE(2026,5,1)))-(PRENOTAZIONI!$A$3:$A$262*(PRENOTAZIONI!$A$3:$A$262&gt;DATE(2026,4,1))+DATE(2026,4,1)*(PRENOTAZIONI!$A$3:$A$262&lt;=DATE(2026,4,1)))))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3</v>
      </c>
      <c r="AJ7" s="151">
        <f>SUMIF(A4:A33,"&gt;="&amp;DATE(2026,4,1),G4:G33)-SUMIF(A4:A33,"&gt;="&amp;DATE(2026,5,1),G4:G33)</f>
        <v>300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6</v>
      </c>
      <c r="AM7" s="151">
        <f>SUMIF(A4:A33,"&gt;="&amp;DATE(2026,4,1),N4:N33)-SUMIF(A4:A33,"&gt;="&amp;DATE(2026,5,1),N4:N33)</f>
        <v>75</v>
      </c>
      <c r="AN7" s="152">
        <f>SUMIF(A4:A33,"&gt;="&amp;DATE(2026,4,1),M4:M33)-SUMIF(A4:A33,"&gt;="&amp;DATE(2026,5,1),M4:M33)</f>
        <v>63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162</v>
      </c>
    </row>
    <row r="8" spans="1:60" ht="20" customHeight="1" x14ac:dyDescent="0.2">
      <c r="A8" s="31">
        <f>IFERROR(INDEX(PRENOTAZIONI!$A:$A,SMALL(PRENOTAZIONI!$AF:$AF,5)),"")</f>
        <v>46253</v>
      </c>
      <c r="B8" s="31">
        <f>IFERROR(INDEX(PRENOTAZIONI!$B:$B,SMALL(PRENOTAZIONI!$AF:$AF,5)),"")</f>
        <v>46257</v>
      </c>
      <c r="C8" s="32">
        <f t="shared" si="0"/>
        <v>4</v>
      </c>
      <c r="D8" s="34" t="str">
        <f>IFERROR(INDEX(PRENOTAZIONI!$E:$E,SMALL(PRENOTAZIONI!$AF:$AF,5)),"")</f>
        <v>Silvia Marinelli</v>
      </c>
      <c r="E8" s="34" t="str">
        <f>IFERROR(INDEX(PRENOTAZIONI!$F:$F,SMALL(PRENOTAZIONI!$AF:$AF,5)),"")</f>
        <v>2 ad</v>
      </c>
      <c r="F8" s="34" t="str">
        <f>IFERROR(INDEX(PRENOTAZIONI!$G:$G,SMALL(PRENOTAZIONI!$AF:$AF,5)),"")</f>
        <v>booking.com</v>
      </c>
      <c r="G8" s="35">
        <f>IFERROR(INDEX(PRENOTAZIONI!$H:$H,SMALL(PRENOTAZIONI!$AF:$AF,5)),"")</f>
        <v>521.64</v>
      </c>
      <c r="H8" s="86">
        <f t="shared" si="1"/>
        <v>130.41</v>
      </c>
      <c r="I8" s="35">
        <f t="shared" si="2"/>
        <v>78.245999999999995</v>
      </c>
      <c r="J8" s="149">
        <f t="shared" ref="J8:J37" si="9">IF(H8&lt;&gt;"",H8*0.22,"")</f>
        <v>28.690200000000001</v>
      </c>
      <c r="K8" s="34">
        <f>IFERROR(INDEX(PRENOTAZIONI!$K:$K,SMALL(PRENOTAZIONI!$AF:$AF,5)),"")</f>
        <v>0</v>
      </c>
      <c r="L8" s="35">
        <f>IFERROR(INDEX(PRENOTAZIONI!$L:$L,SMALL(PRENOTAZIONI!$AF:$AF,5)),"")</f>
        <v>0</v>
      </c>
      <c r="M8" s="150">
        <f t="shared" si="3"/>
        <v>109.5444</v>
      </c>
      <c r="N8" s="35">
        <f t="shared" si="4"/>
        <v>130.41</v>
      </c>
      <c r="O8" s="35"/>
      <c r="P8" s="43"/>
      <c r="Q8" s="150">
        <f t="shared" si="5"/>
        <v>174.74940000000001</v>
      </c>
      <c r="R8" s="34">
        <f>IFERROR(INDEX(PRENOTAZIONI!$R:$R,SMALL(PRENOTAZIONI!$AF:$AF,5)),"")</f>
        <v>0</v>
      </c>
      <c r="S8" s="31"/>
      <c r="T8" s="80" t="str">
        <f>IFERROR(INDEX(PRENOTAZIONI!$A:$A,SMALL(PRENOTAZIONI!$AH:$AH,5)),"")</f>
        <v/>
      </c>
      <c r="U8" s="31" t="str">
        <f>IFERROR(INDEX(PRENOTAZIONI!$B:$B,SMALL(PRENOTAZIONI!$AH:$AH,5)),"")</f>
        <v/>
      </c>
      <c r="V8" s="32" t="str">
        <f t="shared" si="6"/>
        <v/>
      </c>
      <c r="W8" s="34" t="str">
        <f>IFERROR(INDEX(PRENOTAZIONI!$E:$E,SMALL(PRENOTAZIONI!$AH:$AH,5)),"")</f>
        <v/>
      </c>
      <c r="X8" s="34" t="str">
        <f>IFERROR(INDEX(PRENOTAZIONI!$F:$F,SMALL(PRENOTAZIONI!$AH:$AH,5)),"")</f>
        <v/>
      </c>
      <c r="Y8" s="35" t="str">
        <f>IFERROR(INDEX(PRENOTAZIONI!$H:$H,SMALL(PRENOTAZIONI!$AH:$AH,5)),"")</f>
        <v/>
      </c>
      <c r="Z8" s="34" t="str">
        <f>IFERROR(INDEX(PRENOTAZIONI!$K:$K,SMALL(PRENOTAZIONI!$AH:$AH,5)),"")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SUMPRODUCT((MONTH(PRENOTAZIONI!$A$3:$A$262)=5)*(YEAR(PRENOTAZIONI!$A$3:$A$262)=2026)*(PRENOTAZIONI!$D$3:$D$262="Villa Elena"))</f>
        <v>1</v>
      </c>
      <c r="AI8" s="114">
        <f>SUMPRODUCT((PRENOTAZIONI!$A$3:$A$262&lt;DATE(2026,6,1))*(PRENOTAZIONI!$B$3:$B$262&gt;DATE(2026,5,1))*(YEAR(PRENOTAZIONI!$A$3:$A$262)=2026)*(PRENOTAZIONI!$D$3:$D$262="Villa Elena")*((PRENOTAZIONI!$B$3:$B$262*(PRENOTAZIONI!$B$3:$B$262&lt;DATE(2026,6,1))+DATE(2026,6,1)*(PRENOTAZIONI!$B$3:$B$262&gt;=DATE(2026,6,1)))-(PRENOTAZIONI!$A$3:$A$262*(PRENOTAZIONI!$A$3:$A$262&gt;DATE(2026,5,1))+DATE(2026,5,1)*(PRENOTAZIONI!$A$3:$A$262&lt;=DATE(2026,5,1)))))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2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IFERROR(INDEX(PRENOTAZIONI!$A:$A,SMALL(PRENOTAZIONI!$AF:$AF,6)),"")</f>
        <v/>
      </c>
      <c r="B9" s="31" t="str">
        <f>IFERROR(INDEX(PRENOTAZIONI!$B:$B,SMALL(PRENOTAZIONI!$AF:$AF,6)),"")</f>
        <v/>
      </c>
      <c r="C9" s="32" t="str">
        <f t="shared" si="0"/>
        <v/>
      </c>
      <c r="D9" s="34" t="str">
        <f>IFERROR(INDEX(PRENOTAZIONI!$E:$E,SMALL(PRENOTAZIONI!$AF:$AF,6)),"")</f>
        <v/>
      </c>
      <c r="E9" s="34" t="str">
        <f>IFERROR(INDEX(PRENOTAZIONI!$F:$F,SMALL(PRENOTAZIONI!$AF:$AF,6)),"")</f>
        <v/>
      </c>
      <c r="F9" s="34" t="str">
        <f>IFERROR(INDEX(PRENOTAZIONI!$G:$G,SMALL(PRENOTAZIONI!$AF:$AF,6)),"")</f>
        <v/>
      </c>
      <c r="G9" s="35" t="str">
        <f>IFERROR(INDEX(PRENOTAZIONI!$H:$H,SMALL(PRENOTAZIONI!$AF:$AF,6)),"")</f>
        <v/>
      </c>
      <c r="H9" s="86" t="str">
        <f t="shared" si="1"/>
        <v/>
      </c>
      <c r="I9" s="35" t="str">
        <f t="shared" si="2"/>
        <v/>
      </c>
      <c r="J9" s="149" t="str">
        <f t="shared" si="9"/>
        <v/>
      </c>
      <c r="K9" s="34" t="str">
        <f>IFERROR(INDEX(PRENOTAZIONI!$K:$K,SMALL(PRENOTAZIONI!$AF:$AF,6)),"")</f>
        <v/>
      </c>
      <c r="L9" s="35" t="str">
        <f>IFERROR(INDEX(PRENOTAZIONI!$L:$L,SMALL(PRENOTAZIONI!$AF:$AF,6)),"")</f>
        <v/>
      </c>
      <c r="M9" s="150" t="str">
        <f t="shared" si="3"/>
        <v/>
      </c>
      <c r="N9" s="35" t="str">
        <f t="shared" si="4"/>
        <v/>
      </c>
      <c r="O9" s="35"/>
      <c r="P9" s="43"/>
      <c r="Q9" s="150" t="str">
        <f t="shared" si="5"/>
        <v/>
      </c>
      <c r="R9" s="34" t="str">
        <f>IFERROR(INDEX(PRENOTAZIONI!$R:$R,SMALL(PRENOTAZIONI!$AF:$AF,6)),"")</f>
        <v/>
      </c>
      <c r="S9" s="31"/>
      <c r="T9" s="80" t="str">
        <f>IFERROR(INDEX(PRENOTAZIONI!$A:$A,SMALL(PRENOTAZIONI!$AH:$AH,6)),"")</f>
        <v/>
      </c>
      <c r="U9" s="31" t="str">
        <f>IFERROR(INDEX(PRENOTAZIONI!$B:$B,SMALL(PRENOTAZIONI!$AH:$AH,6)),"")</f>
        <v/>
      </c>
      <c r="V9" s="32" t="str">
        <f t="shared" si="6"/>
        <v/>
      </c>
      <c r="W9" s="34" t="str">
        <f>IFERROR(INDEX(PRENOTAZIONI!$E:$E,SMALL(PRENOTAZIONI!$AH:$AH,6)),"")</f>
        <v/>
      </c>
      <c r="X9" s="34" t="str">
        <f>IFERROR(INDEX(PRENOTAZIONI!$F:$F,SMALL(PRENOTAZIONI!$AH:$AH,6)),"")</f>
        <v/>
      </c>
      <c r="Y9" s="35" t="str">
        <f>IFERROR(INDEX(PRENOTAZIONI!$H:$H,SMALL(PRENOTAZIONI!$AH:$AH,6)),"")</f>
        <v/>
      </c>
      <c r="Z9" s="34" t="str">
        <f>IFERROR(INDEX(PRENOTAZIONI!$K:$K,SMALL(PRENOTAZIONI!$AH:$AH,6)),"")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SUMPRODUCT((MONTH(PRENOTAZIONI!$A$3:$A$262)=6)*(YEAR(PRENOTAZIONI!$A$3:$A$262)=2026)*(PRENOTAZIONI!$D$3:$D$262="Villa Elena"))</f>
        <v>1</v>
      </c>
      <c r="AI9" s="114">
        <f>SUMPRODUCT((PRENOTAZIONI!$A$3:$A$262&lt;DATE(2026,7,1))*(PRENOTAZIONI!$B$3:$B$262&gt;DATE(2026,6,1))*(YEAR(PRENOTAZIONI!$A$3:$A$262)=2026)*(PRENOTAZIONI!$D$3:$D$262="Villa Elena")*((PRENOTAZIONI!$B$3:$B$262*(PRENOTAZIONI!$B$3:$B$262&lt;DATE(2026,7,1))+DATE(2026,7,1)*(PRENOTAZIONI!$B$3:$B$262&gt;=DATE(2026,7,1)))-(PRENOTAZIONI!$A$3:$A$262*(PRENOTAZIONI!$A$3:$A$262&gt;DATE(2026,6,1))+DATE(2026,6,1)*(PRENOTAZIONI!$A$3:$A$262&lt;=DATE(2026,6,1)))))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3</v>
      </c>
      <c r="AJ9" s="151">
        <f>SUMIF(A4:A33,"&gt;="&amp;DATE(2026,6,1),G4:G33)-SUMIF(A4:A33,"&gt;="&amp;DATE(2026,7,1),G4:G33)</f>
        <v>369.30000000000018</v>
      </c>
      <c r="AK9" s="151">
        <f>SUMIF(A4:A33,"&gt;="&amp;DATE(2026,6,1),I4:I33)-SUMIF(A4:A33,"&gt;="&amp;DATE(2026,7,1),I4:I33)</f>
        <v>55.395000000000039</v>
      </c>
      <c r="AL9" s="151">
        <f>SUMIF(A4:A33,"&gt;="&amp;DATE(2026,6,1),L4:L33)-SUMIF(A4:A33,"&gt;="&amp;DATE(2026,7,1),L4:L33)</f>
        <v>4</v>
      </c>
      <c r="AM9" s="151">
        <f>SUMIF(A4:A33,"&gt;="&amp;DATE(2026,6,1),N4:N33)-SUMIF(A4:A33,"&gt;="&amp;DATE(2026,7,1),N4:N33)</f>
        <v>92.325000000000045</v>
      </c>
      <c r="AN9" s="152">
        <f>SUMIF(A4:A33,"&gt;="&amp;DATE(2026,6,1),M4:M33)-SUMIF(A4:A33,"&gt;="&amp;DATE(2026,7,1),M4:M33)</f>
        <v>77.552999999999997</v>
      </c>
      <c r="AO9" s="152">
        <f>SUMIF(A4:A33,"&gt;="&amp;DATE(2026,6,1),J4:J33)-SUMIF(A4:A33,"&gt;="&amp;DATE(2026,7,1),J4:J33)</f>
        <v>12.186900000000009</v>
      </c>
      <c r="AP9" s="153">
        <f>SUMIF(A4:A33,"&gt;="&amp;DATE(2026,6,1),Q4:Q33)-SUMIF(A4:A33,"&gt;="&amp;DATE(2026,7,1),Q4:Q33)</f>
        <v>131.84010000000001</v>
      </c>
    </row>
    <row r="10" spans="1:60" ht="20" customHeight="1" x14ac:dyDescent="0.2">
      <c r="A10" s="31" t="str">
        <f>IFERROR(INDEX(PRENOTAZIONI!$A:$A,SMALL(PRENOTAZIONI!$AF:$AF,7)),"")</f>
        <v/>
      </c>
      <c r="B10" s="31" t="str">
        <f>IFERROR(INDEX(PRENOTAZIONI!$B:$B,SMALL(PRENOTAZIONI!$AF:$AF,7)),"")</f>
        <v/>
      </c>
      <c r="C10" s="32" t="str">
        <f t="shared" si="0"/>
        <v/>
      </c>
      <c r="D10" s="34" t="str">
        <f>IFERROR(INDEX(PRENOTAZIONI!$E:$E,SMALL(PRENOTAZIONI!$AF:$AF,7)),"")</f>
        <v/>
      </c>
      <c r="E10" s="34" t="str">
        <f>IFERROR(INDEX(PRENOTAZIONI!$F:$F,SMALL(PRENOTAZIONI!$AF:$AF,7)),"")</f>
        <v/>
      </c>
      <c r="F10" s="34" t="str">
        <f>IFERROR(INDEX(PRENOTAZIONI!$G:$G,SMALL(PRENOTAZIONI!$AF:$AF,7)),"")</f>
        <v/>
      </c>
      <c r="G10" s="35" t="str">
        <f>IFERROR(INDEX(PRENOTAZIONI!$H:$H,SMALL(PRENOTAZIONI!$AF:$AF,7)),"")</f>
        <v/>
      </c>
      <c r="H10" s="86" t="str">
        <f t="shared" si="1"/>
        <v/>
      </c>
      <c r="I10" s="35" t="str">
        <f t="shared" si="2"/>
        <v/>
      </c>
      <c r="J10" s="149" t="str">
        <f t="shared" si="9"/>
        <v/>
      </c>
      <c r="K10" s="34" t="str">
        <f>IFERROR(INDEX(PRENOTAZIONI!$K:$K,SMALL(PRENOTAZIONI!$AF:$AF,7)),"")</f>
        <v/>
      </c>
      <c r="L10" s="35" t="str">
        <f>IFERROR(INDEX(PRENOTAZIONI!$L:$L,SMALL(PRENOTAZIONI!$AF:$AF,7)),"")</f>
        <v/>
      </c>
      <c r="M10" s="150" t="str">
        <f t="shared" si="3"/>
        <v/>
      </c>
      <c r="N10" s="35" t="str">
        <f t="shared" si="4"/>
        <v/>
      </c>
      <c r="O10" s="35"/>
      <c r="P10" s="43"/>
      <c r="Q10" s="150" t="str">
        <f t="shared" si="5"/>
        <v/>
      </c>
      <c r="R10" s="34" t="str">
        <f>IFERROR(INDEX(PRENOTAZIONI!$R:$R,SMALL(PRENOTAZIONI!$AF:$AF,7)),"")</f>
        <v/>
      </c>
      <c r="S10" s="31"/>
      <c r="T10" s="80" t="str">
        <f>IFERROR(INDEX(PRENOTAZIONI!$A:$A,SMALL(PRENOTAZIONI!$AH:$AH,7)),"")</f>
        <v/>
      </c>
      <c r="U10" s="31" t="str">
        <f>IFERROR(INDEX(PRENOTAZIONI!$B:$B,SMALL(PRENOTAZIONI!$AH:$AH,7)),"")</f>
        <v/>
      </c>
      <c r="V10" s="32" t="str">
        <f t="shared" si="6"/>
        <v/>
      </c>
      <c r="W10" s="34" t="str">
        <f>IFERROR(INDEX(PRENOTAZIONI!$E:$E,SMALL(PRENOTAZIONI!$AH:$AH,7)),"")</f>
        <v/>
      </c>
      <c r="X10" s="34" t="str">
        <f>IFERROR(INDEX(PRENOTAZIONI!$F:$F,SMALL(PRENOTAZIONI!$AH:$AH,7)),"")</f>
        <v/>
      </c>
      <c r="Y10" s="35" t="str">
        <f>IFERROR(INDEX(PRENOTAZIONI!$H:$H,SMALL(PRENOTAZIONI!$AH:$AH,7)),"")</f>
        <v/>
      </c>
      <c r="Z10" s="34" t="str">
        <f>IFERROR(INDEX(PRENOTAZIONI!$K:$K,SMALL(PRENOTAZIONI!$AH:$AH,7)),"")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SUMPRODUCT((MONTH(PRENOTAZIONI!$A$3:$A$262)=7)*(YEAR(PRENOTAZIONI!$A$3:$A$262)=2026)*(PRENOTAZIONI!$D$3:$D$262="Villa Elena"))</f>
        <v>0</v>
      </c>
      <c r="AI10" s="114">
        <f>SUMPRODUCT((PRENOTAZIONI!$A$3:$A$262&lt;DATE(2026,8,1))*(PRENOTAZIONI!$B$3:$B$262&gt;DATE(2026,7,1))*(YEAR(PRENOTAZIONI!$A$3:$A$262)=2026)*(PRENOTAZIONI!$D$3:$D$262="Villa Elena")*((PRENOTAZIONI!$B$3:$B$262*(PRENOTAZIONI!$B$3:$B$262&lt;DATE(2026,8,1))+DATE(2026,8,1)*(PRENOTAZIONI!$B$3:$B$262&gt;=DATE(2026,8,1)))-(PRENOTAZIONI!$A$3:$A$262*(PRENOTAZIONI!$A$3:$A$262&gt;DATE(2026,7,1))+DATE(2026,7,1)*(PRENOTAZIONI!$A$3:$A$262&lt;=DATE(2026,7,1)))))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0</v>
      </c>
      <c r="AJ10" s="151">
        <f>SUMIF(A4:A33,"&gt;="&amp;DATE(2026,7,1),G4:G33)-SUMIF(A4:A33,"&gt;="&amp;DATE(2026,8,1),G4:G33)</f>
        <v>0</v>
      </c>
      <c r="AK10" s="151">
        <f>SUMIF(A4:A33,"&gt;="&amp;DATE(2026,7,1),I4:I33)-SUMIF(A4:A33,"&gt;="&amp;DATE(2026,8,1),I4:I33)</f>
        <v>0</v>
      </c>
      <c r="AL10" s="151">
        <f>SUMIF(A4:A33,"&gt;="&amp;DATE(2026,7,1),L4:L33)-SUMIF(A4:A33,"&gt;="&amp;DATE(2026,8,1),L4:L33)</f>
        <v>0</v>
      </c>
      <c r="AM10" s="151">
        <f>SUMIF(A4:A33,"&gt;="&amp;DATE(2026,7,1),N4:N33)-SUMIF(A4:A33,"&gt;="&amp;DATE(2026,8,1),N4:N33)</f>
        <v>0</v>
      </c>
      <c r="AN10" s="152">
        <f>SUMIF(A4:A33,"&gt;="&amp;DATE(2026,7,1),M4:M33)-SUMIF(A4:A33,"&gt;="&amp;DATE(2026,8,1),M4:M33)</f>
        <v>0</v>
      </c>
      <c r="AO10" s="152">
        <f>SUMIF(A4:A33,"&gt;="&amp;DATE(2026,7,1),J4:J33)-SUMIF(A4:A33,"&gt;="&amp;DATE(2026,8,1),J4:J33)</f>
        <v>0</v>
      </c>
      <c r="AP10" s="153">
        <f>SUMIF(A4:A33,"&gt;="&amp;DATE(2026,7,1),Q4:Q33)-SUMIF(A4:A33,"&gt;="&amp;DATE(2026,8,1),Q4:Q33)</f>
        <v>0</v>
      </c>
    </row>
    <row r="11" spans="1:60" ht="20" customHeight="1" x14ac:dyDescent="0.2">
      <c r="A11" s="31" t="str">
        <f>IFERROR(INDEX(PRENOTAZIONI!$A:$A,SMALL(PRENOTAZIONI!$AF:$AF,8)),"")</f>
        <v/>
      </c>
      <c r="B11" s="31" t="str">
        <f>IFERROR(INDEX(PRENOTAZIONI!$B:$B,SMALL(PRENOTAZIONI!$AF:$AF,8)),"")</f>
        <v/>
      </c>
      <c r="C11" s="32" t="str">
        <f t="shared" si="0"/>
        <v/>
      </c>
      <c r="D11" s="34" t="str">
        <f>IFERROR(INDEX(PRENOTAZIONI!$E:$E,SMALL(PRENOTAZIONI!$AF:$AF,8)),"")</f>
        <v/>
      </c>
      <c r="E11" s="34" t="str">
        <f>IFERROR(INDEX(PRENOTAZIONI!$F:$F,SMALL(PRENOTAZIONI!$AF:$AF,8)),"")</f>
        <v/>
      </c>
      <c r="F11" s="34" t="str">
        <f>IFERROR(INDEX(PRENOTAZIONI!$G:$G,SMALL(PRENOTAZIONI!$AF:$AF,8)),"")</f>
        <v/>
      </c>
      <c r="G11" s="35" t="str">
        <f>IFERROR(INDEX(PRENOTAZIONI!$H:$H,SMALL(PRENOTAZIONI!$AF:$AF,8)),"")</f>
        <v/>
      </c>
      <c r="H11" s="86" t="str">
        <f t="shared" si="1"/>
        <v/>
      </c>
      <c r="I11" s="35" t="str">
        <f t="shared" si="2"/>
        <v/>
      </c>
      <c r="J11" s="149" t="str">
        <f t="shared" si="9"/>
        <v/>
      </c>
      <c r="K11" s="34" t="str">
        <f>IFERROR(INDEX(PRENOTAZIONI!$K:$K,SMALL(PRENOTAZIONI!$AF:$AF,8)),"")</f>
        <v/>
      </c>
      <c r="L11" s="35" t="str">
        <f>IFERROR(INDEX(PRENOTAZIONI!$L:$L,SMALL(PRENOTAZIONI!$AF:$AF,8)),"")</f>
        <v/>
      </c>
      <c r="M11" s="150" t="str">
        <f t="shared" si="3"/>
        <v/>
      </c>
      <c r="N11" s="35" t="str">
        <f t="shared" si="4"/>
        <v/>
      </c>
      <c r="O11" s="35"/>
      <c r="P11" s="43"/>
      <c r="Q11" s="150" t="str">
        <f t="shared" si="5"/>
        <v/>
      </c>
      <c r="R11" s="34" t="str">
        <f>IFERROR(INDEX(PRENOTAZIONI!$R:$R,SMALL(PRENOTAZIONI!$AF:$AF,8)),"")</f>
        <v/>
      </c>
      <c r="S11" s="31"/>
      <c r="T11" s="80" t="str">
        <f>IFERROR(INDEX(PRENOTAZIONI!$A:$A,SMALL(PRENOTAZIONI!$AH:$AH,8)),"")</f>
        <v/>
      </c>
      <c r="U11" s="31" t="str">
        <f>IFERROR(INDEX(PRENOTAZIONI!$B:$B,SMALL(PRENOTAZIONI!$AH:$AH,8)),"")</f>
        <v/>
      </c>
      <c r="V11" s="32" t="str">
        <f t="shared" si="6"/>
        <v/>
      </c>
      <c r="W11" s="34" t="str">
        <f>IFERROR(INDEX(PRENOTAZIONI!$E:$E,SMALL(PRENOTAZIONI!$AH:$AH,8)),"")</f>
        <v/>
      </c>
      <c r="X11" s="34" t="str">
        <f>IFERROR(INDEX(PRENOTAZIONI!$F:$F,SMALL(PRENOTAZIONI!$AH:$AH,8)),"")</f>
        <v/>
      </c>
      <c r="Y11" s="35" t="str">
        <f>IFERROR(INDEX(PRENOTAZIONI!$H:$H,SMALL(PRENOTAZIONI!$AH:$AH,8)),"")</f>
        <v/>
      </c>
      <c r="Z11" s="34" t="str">
        <f>IFERROR(INDEX(PRENOTAZIONI!$K:$K,SMALL(PRENOTAZIONI!$AH:$AH,8)),"")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SUMPRODUCT((MONTH(PRENOTAZIONI!$A$3:$A$262)=8)*(YEAR(PRENOTAZIONI!$A$3:$A$262)=2026)*(PRENOTAZIONI!$D$3:$D$262="Villa Elena"))</f>
        <v>2</v>
      </c>
      <c r="AI11" s="114">
        <f>SUMPRODUCT((PRENOTAZIONI!$A$3:$A$262&lt;DATE(2026,9,1))*(PRENOTAZIONI!$B$3:$B$262&gt;DATE(2026,8,1))*(YEAR(PRENOTAZIONI!$A$3:$A$262)=2026)*(PRENOTAZIONI!$D$3:$D$262="Villa Elena")*((PRENOTAZIONI!$B$3:$B$262*(PRENOTAZIONI!$B$3:$B$262&lt;DATE(2026,9,1))+DATE(2026,9,1)*(PRENOTAZIONI!$B$3:$B$262&gt;=DATE(2026,9,1)))-(PRENOTAZIONI!$A$3:$A$262*(PRENOTAZIONI!$A$3:$A$262&gt;DATE(2026,8,1))+DATE(2026,8,1)*(PRENOTAZIONI!$A$3:$A$262&lt;=DATE(2026,8,1)))))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11</v>
      </c>
      <c r="AJ11" s="151">
        <f>SUMIF(A4:A33,"&gt;="&amp;DATE(2026,8,1),G4:G33)-SUMIF(A4:A33,"&gt;="&amp;DATE(2026,9,1),G4:G33)</f>
        <v>1375.58</v>
      </c>
      <c r="AK11" s="151">
        <f>SUMIF(A4:A33,"&gt;="&amp;DATE(2026,8,1),I4:I33)-SUMIF(A4:A33,"&gt;="&amp;DATE(2026,9,1),I4:I33)</f>
        <v>206.33699999999999</v>
      </c>
      <c r="AL11" s="151">
        <f>SUMIF(A4:A33,"&gt;="&amp;DATE(2026,8,1),L4:L33)-SUMIF(A4:A33,"&gt;="&amp;DATE(2026,9,1),L4:L33)</f>
        <v>0</v>
      </c>
      <c r="AM11" s="151">
        <f>SUMIF(A4:A33,"&gt;="&amp;DATE(2026,8,1),N4:N33)-SUMIF(A4:A33,"&gt;="&amp;DATE(2026,9,1),N4:N33)</f>
        <v>343.89499999999998</v>
      </c>
      <c r="AN11" s="152">
        <f>SUMIF(A4:A33,"&gt;="&amp;DATE(2026,8,1),M4:M33)-SUMIF(A4:A33,"&gt;="&amp;DATE(2026,9,1),M4:M33)</f>
        <v>288.87180000000001</v>
      </c>
      <c r="AO11" s="152">
        <f>SUMIF(A4:A33,"&gt;="&amp;DATE(2026,8,1),J4:J33)-SUMIF(A4:A33,"&gt;="&amp;DATE(2026,9,1),J4:J33)</f>
        <v>56.870220000000003</v>
      </c>
      <c r="AP11" s="153">
        <f>SUMIF(A4:A33,"&gt;="&amp;DATE(2026,8,1),Q4:Q33)-SUMIF(A4:A33,"&gt;="&amp;DATE(2026,9,1),Q4:Q33)</f>
        <v>479.60598000000005</v>
      </c>
    </row>
    <row r="12" spans="1:60" ht="20" customHeight="1" x14ac:dyDescent="0.2">
      <c r="A12" s="31" t="str">
        <f>IFERROR(INDEX(PRENOTAZIONI!$A:$A,SMALL(PRENOTAZIONI!$AF:$AF,9)),"")</f>
        <v/>
      </c>
      <c r="B12" s="31" t="str">
        <f>IFERROR(INDEX(PRENOTAZIONI!$B:$B,SMALL(PRENOTAZIONI!$AF:$AF,9)),"")</f>
        <v/>
      </c>
      <c r="C12" s="32" t="str">
        <f t="shared" si="0"/>
        <v/>
      </c>
      <c r="D12" s="34" t="str">
        <f>IFERROR(INDEX(PRENOTAZIONI!$E:$E,SMALL(PRENOTAZIONI!$AF:$AF,9)),"")</f>
        <v/>
      </c>
      <c r="E12" s="34" t="str">
        <f>IFERROR(INDEX(PRENOTAZIONI!$F:$F,SMALL(PRENOTAZIONI!$AF:$AF,9)),"")</f>
        <v/>
      </c>
      <c r="F12" s="34" t="str">
        <f>IFERROR(INDEX(PRENOTAZIONI!$G:$G,SMALL(PRENOTAZIONI!$AF:$AF,9)),"")</f>
        <v/>
      </c>
      <c r="G12" s="35" t="str">
        <f>IFERROR(INDEX(PRENOTAZIONI!$H:$H,SMALL(PRENOTAZIONI!$AF:$AF,9)),"")</f>
        <v/>
      </c>
      <c r="H12" s="86" t="str">
        <f t="shared" si="1"/>
        <v/>
      </c>
      <c r="I12" s="35" t="str">
        <f t="shared" si="2"/>
        <v/>
      </c>
      <c r="J12" s="149" t="str">
        <f t="shared" si="9"/>
        <v/>
      </c>
      <c r="K12" s="34" t="str">
        <f>IFERROR(INDEX(PRENOTAZIONI!$K:$K,SMALL(PRENOTAZIONI!$AF:$AF,9)),"")</f>
        <v/>
      </c>
      <c r="L12" s="35" t="str">
        <f>IFERROR(INDEX(PRENOTAZIONI!$L:$L,SMALL(PRENOTAZIONI!$AF:$AF,9)),"")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34" t="str">
        <f>IFERROR(INDEX(PRENOTAZIONI!$R:$R,SMALL(PRENOTAZIONI!$AF:$AF,9)),"")</f>
        <v/>
      </c>
      <c r="S12" s="31"/>
      <c r="T12" s="80" t="str">
        <f>IFERROR(INDEX(PRENOTAZIONI!$A:$A,SMALL(PRENOTAZIONI!$AH:$AH,9)),"")</f>
        <v/>
      </c>
      <c r="U12" s="31" t="str">
        <f>IFERROR(INDEX(PRENOTAZIONI!$B:$B,SMALL(PRENOTAZIONI!$AH:$AH,9)),"")</f>
        <v/>
      </c>
      <c r="V12" s="32" t="str">
        <f t="shared" si="6"/>
        <v/>
      </c>
      <c r="W12" s="34" t="str">
        <f>IFERROR(INDEX(PRENOTAZIONI!$E:$E,SMALL(PRENOTAZIONI!$AH:$AH,9)),"")</f>
        <v/>
      </c>
      <c r="X12" s="34" t="str">
        <f>IFERROR(INDEX(PRENOTAZIONI!$F:$F,SMALL(PRENOTAZIONI!$AH:$AH,9)),"")</f>
        <v/>
      </c>
      <c r="Y12" s="35" t="str">
        <f>IFERROR(INDEX(PRENOTAZIONI!$H:$H,SMALL(PRENOTAZIONI!$AH:$AH,9)),"")</f>
        <v/>
      </c>
      <c r="Z12" s="34" t="str">
        <f>IFERROR(INDEX(PRENOTAZIONI!$K:$K,SMALL(PRENOTAZIONI!$AH:$AH,9)),"")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SUMPRODUCT((MONTH(PRENOTAZIONI!$A$3:$A$262)=9)*(YEAR(PRENOTAZIONI!$A$3:$A$262)=2026)*(PRENOTAZIONI!$D$3:$D$262="Villa Elena"))</f>
        <v>0</v>
      </c>
      <c r="AI12" s="114">
        <f>SUMPRODUCT((PRENOTAZIONI!$A$3:$A$262&lt;DATE(2026,10,1))*(PRENOTAZIONI!$B$3:$B$262&gt;DATE(2026,9,1))*(YEAR(PRENOTAZIONI!$A$3:$A$262)=2026)*(PRENOTAZIONI!$D$3:$D$262="Villa Elena")*((PRENOTAZIONI!$B$3:$B$262*(PRENOTAZIONI!$B$3:$B$262&lt;DATE(2026,10,1))+DATE(2026,10,1)*(PRENOTAZIONI!$B$3:$B$262&gt;=DATE(2026,10,1)))-(PRENOTAZIONI!$A$3:$A$262*(PRENOTAZIONI!$A$3:$A$262&gt;DATE(2026,9,1))+DATE(2026,9,1)*(PRENOTAZIONI!$A$3:$A$262&lt;=DATE(2026,9,1)))))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IFERROR(INDEX(PRENOTAZIONI!$A:$A,SMALL(PRENOTAZIONI!$AF:$AF,10)),"")</f>
        <v/>
      </c>
      <c r="B13" s="31" t="str">
        <f>IFERROR(INDEX(PRENOTAZIONI!$B:$B,SMALL(PRENOTAZIONI!$AF:$AF,10)),"")</f>
        <v/>
      </c>
      <c r="C13" s="32" t="str">
        <f t="shared" si="0"/>
        <v/>
      </c>
      <c r="D13" s="34" t="str">
        <f>IFERROR(INDEX(PRENOTAZIONI!$E:$E,SMALL(PRENOTAZIONI!$AF:$AF,10)),"")</f>
        <v/>
      </c>
      <c r="E13" s="34" t="str">
        <f>IFERROR(INDEX(PRENOTAZIONI!$F:$F,SMALL(PRENOTAZIONI!$AF:$AF,10)),"")</f>
        <v/>
      </c>
      <c r="F13" s="34" t="str">
        <f>IFERROR(INDEX(PRENOTAZIONI!$G:$G,SMALL(PRENOTAZIONI!$AF:$AF,10)),"")</f>
        <v/>
      </c>
      <c r="G13" s="35" t="str">
        <f>IFERROR(INDEX(PRENOTAZIONI!$H:$H,SMALL(PRENOTAZIONI!$AF:$AF,10)),"")</f>
        <v/>
      </c>
      <c r="H13" s="86" t="str">
        <f t="shared" si="1"/>
        <v/>
      </c>
      <c r="I13" s="35" t="str">
        <f t="shared" si="2"/>
        <v/>
      </c>
      <c r="J13" s="149" t="str">
        <f t="shared" si="9"/>
        <v/>
      </c>
      <c r="K13" s="34" t="str">
        <f>IFERROR(INDEX(PRENOTAZIONI!$K:$K,SMALL(PRENOTAZIONI!$AF:$AF,10)),"")</f>
        <v/>
      </c>
      <c r="L13" s="35" t="str">
        <f>IFERROR(INDEX(PRENOTAZIONI!$L:$L,SMALL(PRENOTAZIONI!$AF:$AF,10)),"")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34" t="str">
        <f>IFERROR(INDEX(PRENOTAZIONI!$R:$R,SMALL(PRENOTAZIONI!$AF:$AF,10)),"")</f>
        <v/>
      </c>
      <c r="S13" s="31"/>
      <c r="T13" s="80" t="str">
        <f>IFERROR(INDEX(PRENOTAZIONI!$A:$A,SMALL(PRENOTAZIONI!$AH:$AH,10)),"")</f>
        <v/>
      </c>
      <c r="U13" s="31" t="str">
        <f>IFERROR(INDEX(PRENOTAZIONI!$B:$B,SMALL(PRENOTAZIONI!$AH:$AH,10)),"")</f>
        <v/>
      </c>
      <c r="V13" s="32" t="str">
        <f t="shared" si="6"/>
        <v/>
      </c>
      <c r="W13" s="34" t="str">
        <f>IFERROR(INDEX(PRENOTAZIONI!$E:$E,SMALL(PRENOTAZIONI!$AH:$AH,10)),"")</f>
        <v/>
      </c>
      <c r="X13" s="34" t="str">
        <f>IFERROR(INDEX(PRENOTAZIONI!$F:$F,SMALL(PRENOTAZIONI!$AH:$AH,10)),"")</f>
        <v/>
      </c>
      <c r="Y13" s="35" t="str">
        <f>IFERROR(INDEX(PRENOTAZIONI!$H:$H,SMALL(PRENOTAZIONI!$AH:$AH,10)),"")</f>
        <v/>
      </c>
      <c r="Z13" s="34" t="str">
        <f>IFERROR(INDEX(PRENOTAZIONI!$K:$K,SMALL(PRENOTAZIONI!$AH:$AH,10)),"")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SUMPRODUCT((MONTH(PRENOTAZIONI!$A$3:$A$262)=10)*(YEAR(PRENOTAZIONI!$A$3:$A$262)=2026)*(PRENOTAZIONI!$D$3:$D$262="Villa Elena"))</f>
        <v>0</v>
      </c>
      <c r="AI13" s="114">
        <f>SUMPRODUCT((PRENOTAZIONI!$A$3:$A$262&lt;DATE(2026,11,1))*(PRENOTAZIONI!$B$3:$B$262&gt;DATE(2026,10,1))*(YEAR(PRENOTAZIONI!$A$3:$A$262)=2026)*(PRENOTAZIONI!$D$3:$D$262="Villa Elen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IFERROR(INDEX(PRENOTAZIONI!$A:$A,SMALL(PRENOTAZIONI!$AF:$AF,11)),"")</f>
        <v/>
      </c>
      <c r="B14" s="31" t="str">
        <f>IFERROR(INDEX(PRENOTAZIONI!$B:$B,SMALL(PRENOTAZIONI!$AF:$AF,11)),"")</f>
        <v/>
      </c>
      <c r="C14" s="32" t="str">
        <f t="shared" si="0"/>
        <v/>
      </c>
      <c r="D14" s="34" t="str">
        <f>IFERROR(INDEX(PRENOTAZIONI!$E:$E,SMALL(PRENOTAZIONI!$AF:$AF,11)),"")</f>
        <v/>
      </c>
      <c r="E14" s="34" t="str">
        <f>IFERROR(INDEX(PRENOTAZIONI!$F:$F,SMALL(PRENOTAZIONI!$AF:$AF,11)),"")</f>
        <v/>
      </c>
      <c r="F14" s="34" t="str">
        <f>IFERROR(INDEX(PRENOTAZIONI!$G:$G,SMALL(PRENOTAZIONI!$AF:$AF,11)),"")</f>
        <v/>
      </c>
      <c r="G14" s="35" t="str">
        <f>IFERROR(INDEX(PRENOTAZIONI!$H:$H,SMALL(PRENOTAZIONI!$AF:$AF,11)),"")</f>
        <v/>
      </c>
      <c r="H14" s="86" t="str">
        <f t="shared" si="1"/>
        <v/>
      </c>
      <c r="I14" s="35" t="str">
        <f t="shared" si="2"/>
        <v/>
      </c>
      <c r="J14" s="149" t="str">
        <f t="shared" si="9"/>
        <v/>
      </c>
      <c r="K14" s="34" t="str">
        <f>IFERROR(INDEX(PRENOTAZIONI!$K:$K,SMALL(PRENOTAZIONI!$AF:$AF,11)),"")</f>
        <v/>
      </c>
      <c r="L14" s="35" t="str">
        <f>IFERROR(INDEX(PRENOTAZIONI!$L:$L,SMALL(PRENOTAZIONI!$AF:$AF,11)),"")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34" t="str">
        <f>IFERROR(INDEX(PRENOTAZIONI!$R:$R,SMALL(PRENOTAZIONI!$AF:$AF,11)),"")</f>
        <v/>
      </c>
      <c r="S14" s="31"/>
      <c r="T14" s="80" t="str">
        <f>IFERROR(INDEX(PRENOTAZIONI!$A:$A,SMALL(PRENOTAZIONI!$AH:$AH,11)),"")</f>
        <v/>
      </c>
      <c r="U14" s="31" t="str">
        <f>IFERROR(INDEX(PRENOTAZIONI!$B:$B,SMALL(PRENOTAZIONI!$AH:$AH,11)),"")</f>
        <v/>
      </c>
      <c r="V14" s="32" t="str">
        <f t="shared" si="6"/>
        <v/>
      </c>
      <c r="W14" s="34" t="str">
        <f>IFERROR(INDEX(PRENOTAZIONI!$E:$E,SMALL(PRENOTAZIONI!$AH:$AH,11)),"")</f>
        <v/>
      </c>
      <c r="X14" s="34" t="str">
        <f>IFERROR(INDEX(PRENOTAZIONI!$F:$F,SMALL(PRENOTAZIONI!$AH:$AH,11)),"")</f>
        <v/>
      </c>
      <c r="Y14" s="35" t="str">
        <f>IFERROR(INDEX(PRENOTAZIONI!$H:$H,SMALL(PRENOTAZIONI!$AH:$AH,11)),"")</f>
        <v/>
      </c>
      <c r="Z14" s="34" t="str">
        <f>IFERROR(INDEX(PRENOTAZIONI!$K:$K,SMALL(PRENOTAZIONI!$AH:$AH,11)),"")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SUMPRODUCT((MONTH(PRENOTAZIONI!$A$3:$A$262)=11)*(YEAR(PRENOTAZIONI!$A$3:$A$262)=2026)*(PRENOTAZIONI!$D$3:$D$262="Villa Elena"))</f>
        <v>0</v>
      </c>
      <c r="AI14" s="114">
        <f>SUMPRODUCT((PRENOTAZIONI!$A$3:$A$262&lt;DATE(2026,12,1))*(PRENOTAZIONI!$B$3:$B$262&gt;DATE(2026,11,1))*(YEAR(PRENOTAZIONI!$A$3:$A$262)=2026)*(PRENOTAZIONI!$D$3:$D$262="Villa Elen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IFERROR(INDEX(PRENOTAZIONI!$A:$A,SMALL(PRENOTAZIONI!$AF:$AF,12)),"")</f>
        <v/>
      </c>
      <c r="B15" s="31" t="str">
        <f>IFERROR(INDEX(PRENOTAZIONI!$B:$B,SMALL(PRENOTAZIONI!$AF:$AF,12)),"")</f>
        <v/>
      </c>
      <c r="C15" s="32" t="str">
        <f t="shared" si="0"/>
        <v/>
      </c>
      <c r="D15" s="34" t="str">
        <f>IFERROR(INDEX(PRENOTAZIONI!$E:$E,SMALL(PRENOTAZIONI!$AF:$AF,12)),"")</f>
        <v/>
      </c>
      <c r="E15" s="34" t="str">
        <f>IFERROR(INDEX(PRENOTAZIONI!$F:$F,SMALL(PRENOTAZIONI!$AF:$AF,12)),"")</f>
        <v/>
      </c>
      <c r="F15" s="34" t="str">
        <f>IFERROR(INDEX(PRENOTAZIONI!$G:$G,SMALL(PRENOTAZIONI!$AF:$AF,12)),"")</f>
        <v/>
      </c>
      <c r="G15" s="35" t="str">
        <f>IFERROR(INDEX(PRENOTAZIONI!$H:$H,SMALL(PRENOTAZIONI!$AF:$AF,12)),"")</f>
        <v/>
      </c>
      <c r="H15" s="86" t="str">
        <f t="shared" si="1"/>
        <v/>
      </c>
      <c r="I15" s="35" t="str">
        <f t="shared" si="2"/>
        <v/>
      </c>
      <c r="J15" s="149" t="str">
        <f t="shared" si="9"/>
        <v/>
      </c>
      <c r="K15" s="34" t="str">
        <f>IFERROR(INDEX(PRENOTAZIONI!$K:$K,SMALL(PRENOTAZIONI!$AF:$AF,12)),"")</f>
        <v/>
      </c>
      <c r="L15" s="35" t="str">
        <f>IFERROR(INDEX(PRENOTAZIONI!$L:$L,SMALL(PRENOTAZIONI!$AF:$AF,12)),"")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34" t="str">
        <f>IFERROR(INDEX(PRENOTAZIONI!$R:$R,SMALL(PRENOTAZIONI!$AF:$AF,12)),"")</f>
        <v/>
      </c>
      <c r="S15" s="31"/>
      <c r="T15" s="80" t="str">
        <f>IFERROR(INDEX(PRENOTAZIONI!$A:$A,SMALL(PRENOTAZIONI!$AH:$AH,12)),"")</f>
        <v/>
      </c>
      <c r="U15" s="31" t="str">
        <f>IFERROR(INDEX(PRENOTAZIONI!$B:$B,SMALL(PRENOTAZIONI!$AH:$AH,12)),"")</f>
        <v/>
      </c>
      <c r="V15" s="32" t="str">
        <f t="shared" si="6"/>
        <v/>
      </c>
      <c r="W15" s="34" t="str">
        <f>IFERROR(INDEX(PRENOTAZIONI!$E:$E,SMALL(PRENOTAZIONI!$AH:$AH,12)),"")</f>
        <v/>
      </c>
      <c r="X15" s="34" t="str">
        <f>IFERROR(INDEX(PRENOTAZIONI!$F:$F,SMALL(PRENOTAZIONI!$AH:$AH,12)),"")</f>
        <v/>
      </c>
      <c r="Y15" s="35" t="str">
        <f>IFERROR(INDEX(PRENOTAZIONI!$H:$H,SMALL(PRENOTAZIONI!$AH:$AH,12)),"")</f>
        <v/>
      </c>
      <c r="Z15" s="34" t="str">
        <f>IFERROR(INDEX(PRENOTAZIONI!$K:$K,SMALL(PRENOTAZIONI!$AH:$AH,12)),"")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SUMPRODUCT((MONTH(PRENOTAZIONI!$A$3:$A$262)=12)*(YEAR(PRENOTAZIONI!$A$3:$A$262)=2026)*(PRENOTAZIONI!$D$3:$D$262="Villa Elena"))</f>
        <v>0</v>
      </c>
      <c r="AI15" s="114">
        <f>SUMPRODUCT((PRENOTAZIONI!$A$3:$A$262&lt;DATE(2027,1,1))*(PRENOTAZIONI!$B$3:$B$262&gt;DATE(2026,12,1))*(YEAR(PRENOTAZIONI!$A$3:$A$262)=2026)*(PRENOTAZIONI!$D$3:$D$262="Villa Elena")*((PRENOTAZIONI!$B$3:$B$262*(PRENOTAZIONI!$B$3:$B$262&lt;DATE(2027,1,1))+DATE(2027,1,1)*(PRENOTAZIONI!$B$3:$B$262&gt;=DATE(2027,1,1)))-(PRENOTAZIONI!$A$3:$A$262*(PRENOTAZIONI!$A$3:$A$262&gt;DATE(2026,12,1))+DATE(2026,12,1)*(PRENOTAZIONI!$A$3:$A$262&lt;=DATE(2026,12,1)))))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IFERROR(INDEX(PRENOTAZIONI!$A:$A,SMALL(PRENOTAZIONI!$AF:$AF,13)),"")</f>
        <v/>
      </c>
      <c r="B16" s="31" t="str">
        <f>IFERROR(INDEX(PRENOTAZIONI!$B:$B,SMALL(PRENOTAZIONI!$AF:$AF,13)),"")</f>
        <v/>
      </c>
      <c r="C16" s="32" t="str">
        <f t="shared" si="0"/>
        <v/>
      </c>
      <c r="D16" s="34" t="str">
        <f>IFERROR(INDEX(PRENOTAZIONI!$E:$E,SMALL(PRENOTAZIONI!$AF:$AF,13)),"")</f>
        <v/>
      </c>
      <c r="E16" s="34" t="str">
        <f>IFERROR(INDEX(PRENOTAZIONI!$F:$F,SMALL(PRENOTAZIONI!$AF:$AF,13)),"")</f>
        <v/>
      </c>
      <c r="F16" s="34" t="str">
        <f>IFERROR(INDEX(PRENOTAZIONI!$G:$G,SMALL(PRENOTAZIONI!$AF:$AF,13)),"")</f>
        <v/>
      </c>
      <c r="G16" s="35" t="str">
        <f>IFERROR(INDEX(PRENOTAZIONI!$H:$H,SMALL(PRENOTAZIONI!$AF:$AF,13)),"")</f>
        <v/>
      </c>
      <c r="H16" s="86" t="str">
        <f t="shared" si="1"/>
        <v/>
      </c>
      <c r="I16" s="35" t="str">
        <f t="shared" si="2"/>
        <v/>
      </c>
      <c r="J16" s="149" t="str">
        <f t="shared" si="9"/>
        <v/>
      </c>
      <c r="K16" s="34" t="str">
        <f>IFERROR(INDEX(PRENOTAZIONI!$K:$K,SMALL(PRENOTAZIONI!$AF:$AF,13)),"")</f>
        <v/>
      </c>
      <c r="L16" s="35" t="str">
        <f>IFERROR(INDEX(PRENOTAZIONI!$L:$L,SMALL(PRENOTAZIONI!$AF:$AF,13)),"")</f>
        <v/>
      </c>
      <c r="M16" s="150" t="str">
        <f t="shared" si="3"/>
        <v/>
      </c>
      <c r="N16" s="35" t="str">
        <f t="shared" si="4"/>
        <v/>
      </c>
      <c r="O16" s="35"/>
      <c r="P16" s="43"/>
      <c r="Q16" s="150" t="str">
        <f t="shared" si="5"/>
        <v/>
      </c>
      <c r="R16" s="34" t="str">
        <f>IFERROR(INDEX(PRENOTAZIONI!$R:$R,SMALL(PRENOTAZIONI!$AF:$AF,13)),"")</f>
        <v/>
      </c>
      <c r="S16" s="31"/>
      <c r="T16" s="80" t="str">
        <f>IFERROR(INDEX(PRENOTAZIONI!$A:$A,SMALL(PRENOTAZIONI!$AH:$AH,13)),"")</f>
        <v/>
      </c>
      <c r="U16" s="31" t="str">
        <f>IFERROR(INDEX(PRENOTAZIONI!$B:$B,SMALL(PRENOTAZIONI!$AH:$AH,13)),"")</f>
        <v/>
      </c>
      <c r="V16" s="32" t="str">
        <f t="shared" si="6"/>
        <v/>
      </c>
      <c r="W16" s="34" t="str">
        <f>IFERROR(INDEX(PRENOTAZIONI!$E:$E,SMALL(PRENOTAZIONI!$AH:$AH,13)),"")</f>
        <v/>
      </c>
      <c r="X16" s="34" t="str">
        <f>IFERROR(INDEX(PRENOTAZIONI!$F:$F,SMALL(PRENOTAZIONI!$AH:$AH,13)),"")</f>
        <v/>
      </c>
      <c r="Y16" s="35" t="str">
        <f>IFERROR(INDEX(PRENOTAZIONI!$H:$H,SMALL(PRENOTAZIONI!$AH:$AH,13)),"")</f>
        <v/>
      </c>
      <c r="Z16" s="34" t="str">
        <f>IFERROR(INDEX(PRENOTAZIONI!$K:$K,SMALL(PRENOTAZIONI!$AH:$AH,13)),"")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8</v>
      </c>
      <c r="AI16" s="116">
        <f t="shared" si="10"/>
        <v>25</v>
      </c>
      <c r="AJ16" s="116">
        <f t="shared" si="10"/>
        <v>2244.88</v>
      </c>
      <c r="AK16" s="116">
        <f t="shared" si="10"/>
        <v>261.73200000000003</v>
      </c>
      <c r="AL16" s="116">
        <f t="shared" si="10"/>
        <v>18</v>
      </c>
      <c r="AM16" s="116">
        <f t="shared" si="10"/>
        <v>561.22</v>
      </c>
      <c r="AN16" s="116">
        <f t="shared" si="10"/>
        <v>471.4248</v>
      </c>
      <c r="AO16" s="117">
        <f t="shared" si="10"/>
        <v>69.057120000000012</v>
      </c>
      <c r="AP16" s="117">
        <f t="shared" si="10"/>
        <v>881.44608000000005</v>
      </c>
    </row>
    <row r="17" spans="1:42" ht="22" customHeight="1" x14ac:dyDescent="0.2">
      <c r="A17" s="31" t="str">
        <f>IFERROR(INDEX(PRENOTAZIONI!$A:$A,SMALL(PRENOTAZIONI!$AF:$AF,14)),"")</f>
        <v/>
      </c>
      <c r="B17" s="31" t="str">
        <f>IFERROR(INDEX(PRENOTAZIONI!$B:$B,SMALL(PRENOTAZIONI!$AF:$AF,14)),"")</f>
        <v/>
      </c>
      <c r="C17" s="32" t="str">
        <f t="shared" si="0"/>
        <v/>
      </c>
      <c r="D17" s="34" t="str">
        <f>IFERROR(INDEX(PRENOTAZIONI!$E:$E,SMALL(PRENOTAZIONI!$AF:$AF,14)),"")</f>
        <v/>
      </c>
      <c r="E17" s="34" t="str">
        <f>IFERROR(INDEX(PRENOTAZIONI!$F:$F,SMALL(PRENOTAZIONI!$AF:$AF,14)),"")</f>
        <v/>
      </c>
      <c r="F17" s="34" t="str">
        <f>IFERROR(INDEX(PRENOTAZIONI!$G:$G,SMALL(PRENOTAZIONI!$AF:$AF,14)),"")</f>
        <v/>
      </c>
      <c r="G17" s="35" t="str">
        <f>IFERROR(INDEX(PRENOTAZIONI!$H:$H,SMALL(PRENOTAZIONI!$AF:$AF,14)),"")</f>
        <v/>
      </c>
      <c r="H17" s="86" t="str">
        <f t="shared" si="1"/>
        <v/>
      </c>
      <c r="I17" s="35" t="str">
        <f t="shared" si="2"/>
        <v/>
      </c>
      <c r="J17" s="149" t="str">
        <f t="shared" si="9"/>
        <v/>
      </c>
      <c r="K17" s="34" t="str">
        <f>IFERROR(INDEX(PRENOTAZIONI!$K:$K,SMALL(PRENOTAZIONI!$AF:$AF,14)),"")</f>
        <v/>
      </c>
      <c r="L17" s="35" t="str">
        <f>IFERROR(INDEX(PRENOTAZIONI!$L:$L,SMALL(PRENOTAZIONI!$AF:$AF,14)),"")</f>
        <v/>
      </c>
      <c r="M17" s="150" t="str">
        <f t="shared" si="3"/>
        <v/>
      </c>
      <c r="N17" s="35" t="str">
        <f t="shared" si="4"/>
        <v/>
      </c>
      <c r="O17" s="35"/>
      <c r="P17" s="43"/>
      <c r="Q17" s="150" t="str">
        <f t="shared" si="5"/>
        <v/>
      </c>
      <c r="R17" s="34" t="str">
        <f>IFERROR(INDEX(PRENOTAZIONI!$R:$R,SMALL(PRENOTAZIONI!$AF:$AF,14)),"")</f>
        <v/>
      </c>
      <c r="S17" s="31"/>
      <c r="T17" s="80" t="str">
        <f>IFERROR(INDEX(PRENOTAZIONI!$A:$A,SMALL(PRENOTAZIONI!$AH:$AH,14)),"")</f>
        <v/>
      </c>
      <c r="U17" s="31" t="str">
        <f>IFERROR(INDEX(PRENOTAZIONI!$B:$B,SMALL(PRENOTAZIONI!$AH:$AH,14)),"")</f>
        <v/>
      </c>
      <c r="V17" s="32" t="str">
        <f t="shared" si="6"/>
        <v/>
      </c>
      <c r="W17" s="34" t="str">
        <f>IFERROR(INDEX(PRENOTAZIONI!$E:$E,SMALL(PRENOTAZIONI!$AH:$AH,14)),"")</f>
        <v/>
      </c>
      <c r="X17" s="34" t="str">
        <f>IFERROR(INDEX(PRENOTAZIONI!$F:$F,SMALL(PRENOTAZIONI!$AH:$AH,14)),"")</f>
        <v/>
      </c>
      <c r="Y17" s="35" t="str">
        <f>IFERROR(INDEX(PRENOTAZIONI!$H:$H,SMALL(PRENOTAZIONI!$AH:$AH,14)),"")</f>
        <v/>
      </c>
      <c r="Z17" s="34" t="str">
        <f>IFERROR(INDEX(PRENOTAZIONI!$K:$K,SMALL(PRENOTAZIONI!$AH:$AH,14)),"")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IFERROR(INDEX(PRENOTAZIONI!$A:$A,SMALL(PRENOTAZIONI!$AF:$AF,15)),"")</f>
        <v/>
      </c>
      <c r="B18" s="31" t="str">
        <f>IFERROR(INDEX(PRENOTAZIONI!$B:$B,SMALL(PRENOTAZIONI!$AF:$AF,15)),"")</f>
        <v/>
      </c>
      <c r="C18" s="32" t="str">
        <f t="shared" si="0"/>
        <v/>
      </c>
      <c r="D18" s="34" t="str">
        <f>IFERROR(INDEX(PRENOTAZIONI!$E:$E,SMALL(PRENOTAZIONI!$AF:$AF,15)),"")</f>
        <v/>
      </c>
      <c r="E18" s="34" t="str">
        <f>IFERROR(INDEX(PRENOTAZIONI!$F:$F,SMALL(PRENOTAZIONI!$AF:$AF,15)),"")</f>
        <v/>
      </c>
      <c r="F18" s="34" t="str">
        <f>IFERROR(INDEX(PRENOTAZIONI!$G:$G,SMALL(PRENOTAZIONI!$AF:$AF,15)),"")</f>
        <v/>
      </c>
      <c r="G18" s="35" t="str">
        <f>IFERROR(INDEX(PRENOTAZIONI!$H:$H,SMALL(PRENOTAZIONI!$AF:$AF,15)),"")</f>
        <v/>
      </c>
      <c r="H18" s="86" t="str">
        <f t="shared" si="1"/>
        <v/>
      </c>
      <c r="I18" s="35" t="str">
        <f t="shared" si="2"/>
        <v/>
      </c>
      <c r="J18" s="149" t="str">
        <f t="shared" si="9"/>
        <v/>
      </c>
      <c r="K18" s="34" t="str">
        <f>IFERROR(INDEX(PRENOTAZIONI!$K:$K,SMALL(PRENOTAZIONI!$AF:$AF,15)),"")</f>
        <v/>
      </c>
      <c r="L18" s="35" t="str">
        <f>IFERROR(INDEX(PRENOTAZIONI!$L:$L,SMALL(PRENOTAZIONI!$AF:$AF,15)),"")</f>
        <v/>
      </c>
      <c r="M18" s="150" t="str">
        <f t="shared" si="3"/>
        <v/>
      </c>
      <c r="N18" s="35" t="str">
        <f t="shared" si="4"/>
        <v/>
      </c>
      <c r="O18" s="35"/>
      <c r="P18" s="43"/>
      <c r="Q18" s="150" t="str">
        <f t="shared" si="5"/>
        <v/>
      </c>
      <c r="R18" s="34" t="str">
        <f>IFERROR(INDEX(PRENOTAZIONI!$R:$R,SMALL(PRENOTAZIONI!$AF:$AF,15)),"")</f>
        <v/>
      </c>
      <c r="S18" s="31"/>
      <c r="T18" s="80" t="str">
        <f>IFERROR(INDEX(PRENOTAZIONI!$A:$A,SMALL(PRENOTAZIONI!$AH:$AH,15)),"")</f>
        <v/>
      </c>
      <c r="U18" s="31" t="str">
        <f>IFERROR(INDEX(PRENOTAZIONI!$B:$B,SMALL(PRENOTAZIONI!$AH:$AH,15)),"")</f>
        <v/>
      </c>
      <c r="V18" s="32" t="str">
        <f t="shared" si="6"/>
        <v/>
      </c>
      <c r="W18" s="34" t="str">
        <f>IFERROR(INDEX(PRENOTAZIONI!$E:$E,SMALL(PRENOTAZIONI!$AH:$AH,15)),"")</f>
        <v/>
      </c>
      <c r="X18" s="34" t="str">
        <f>IFERROR(INDEX(PRENOTAZIONI!$F:$F,SMALL(PRENOTAZIONI!$AH:$AH,15)),"")</f>
        <v/>
      </c>
      <c r="Y18" s="35" t="str">
        <f>IFERROR(INDEX(PRENOTAZIONI!$H:$H,SMALL(PRENOTAZIONI!$AH:$AH,15)),"")</f>
        <v/>
      </c>
      <c r="Z18" s="34" t="str">
        <f>IFERROR(INDEX(PRENOTAZIONI!$K:$K,SMALL(PRENOTAZIONI!$AH:$AH,15)),"")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IFERROR(INDEX(PRENOTAZIONI!$A:$A,SMALL(PRENOTAZIONI!$AF:$AF,16)),"")</f>
        <v/>
      </c>
      <c r="B19" s="31" t="str">
        <f>IFERROR(INDEX(PRENOTAZIONI!$B:$B,SMALL(PRENOTAZIONI!$AF:$AF,16)),"")</f>
        <v/>
      </c>
      <c r="C19" s="32" t="str">
        <f t="shared" si="0"/>
        <v/>
      </c>
      <c r="D19" s="34" t="str">
        <f>IFERROR(INDEX(PRENOTAZIONI!$E:$E,SMALL(PRENOTAZIONI!$AF:$AF,16)),"")</f>
        <v/>
      </c>
      <c r="E19" s="34" t="str">
        <f>IFERROR(INDEX(PRENOTAZIONI!$F:$F,SMALL(PRENOTAZIONI!$AF:$AF,16)),"")</f>
        <v/>
      </c>
      <c r="F19" s="34" t="str">
        <f>IFERROR(INDEX(PRENOTAZIONI!$G:$G,SMALL(PRENOTAZIONI!$AF:$AF,16)),"")</f>
        <v/>
      </c>
      <c r="G19" s="35" t="str">
        <f>IFERROR(INDEX(PRENOTAZIONI!$H:$H,SMALL(PRENOTAZIONI!$AF:$AF,16)),"")</f>
        <v/>
      </c>
      <c r="H19" s="86" t="str">
        <f t="shared" si="1"/>
        <v/>
      </c>
      <c r="I19" s="35" t="str">
        <f t="shared" si="2"/>
        <v/>
      </c>
      <c r="J19" s="149" t="str">
        <f t="shared" si="9"/>
        <v/>
      </c>
      <c r="K19" s="34" t="str">
        <f>IFERROR(INDEX(PRENOTAZIONI!$K:$K,SMALL(PRENOTAZIONI!$AF:$AF,16)),"")</f>
        <v/>
      </c>
      <c r="L19" s="35" t="str">
        <f>IFERROR(INDEX(PRENOTAZIONI!$L:$L,SMALL(PRENOTAZIONI!$AF:$AF,16)),"")</f>
        <v/>
      </c>
      <c r="M19" s="150" t="str">
        <f t="shared" si="3"/>
        <v/>
      </c>
      <c r="N19" s="35" t="str">
        <f t="shared" si="4"/>
        <v/>
      </c>
      <c r="O19" s="35"/>
      <c r="P19" s="43"/>
      <c r="Q19" s="150" t="str">
        <f t="shared" si="5"/>
        <v/>
      </c>
      <c r="R19" s="34" t="str">
        <f>IFERROR(INDEX(PRENOTAZIONI!$R:$R,SMALL(PRENOTAZIONI!$AF:$AF,16)),"")</f>
        <v/>
      </c>
      <c r="S19" s="31"/>
      <c r="T19" s="80" t="str">
        <f>IFERROR(INDEX(PRENOTAZIONI!$A:$A,SMALL(PRENOTAZIONI!$AH:$AH,16)),"")</f>
        <v/>
      </c>
      <c r="U19" s="31" t="str">
        <f>IFERROR(INDEX(PRENOTAZIONI!$B:$B,SMALL(PRENOTAZIONI!$AH:$AH,16)),"")</f>
        <v/>
      </c>
      <c r="V19" s="32" t="str">
        <f t="shared" si="6"/>
        <v/>
      </c>
      <c r="W19" s="34" t="str">
        <f>IFERROR(INDEX(PRENOTAZIONI!$E:$E,SMALL(PRENOTAZIONI!$AH:$AH,16)),"")</f>
        <v/>
      </c>
      <c r="X19" s="34" t="str">
        <f>IFERROR(INDEX(PRENOTAZIONI!$F:$F,SMALL(PRENOTAZIONI!$AH:$AH,16)),"")</f>
        <v/>
      </c>
      <c r="Y19" s="35" t="str">
        <f>IFERROR(INDEX(PRENOTAZIONI!$H:$H,SMALL(PRENOTAZIONI!$AH:$AH,16)),"")</f>
        <v/>
      </c>
      <c r="Z19" s="34" t="str">
        <f>IFERROR(INDEX(PRENOTAZIONI!$K:$K,SMALL(PRENOTAZIONI!$AH:$AH,16)),"")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IFERROR(INDEX(PRENOTAZIONI!$A:$A,SMALL(PRENOTAZIONI!$AF:$AF,17)),"")</f>
        <v/>
      </c>
      <c r="B20" s="31" t="str">
        <f>IFERROR(INDEX(PRENOTAZIONI!$B:$B,SMALL(PRENOTAZIONI!$AF:$AF,17)),"")</f>
        <v/>
      </c>
      <c r="C20" s="32" t="str">
        <f t="shared" si="0"/>
        <v/>
      </c>
      <c r="D20" s="34" t="str">
        <f>IFERROR(INDEX(PRENOTAZIONI!$E:$E,SMALL(PRENOTAZIONI!$AF:$AF,17)),"")</f>
        <v/>
      </c>
      <c r="E20" s="34" t="str">
        <f>IFERROR(INDEX(PRENOTAZIONI!$F:$F,SMALL(PRENOTAZIONI!$AF:$AF,17)),"")</f>
        <v/>
      </c>
      <c r="F20" s="34" t="str">
        <f>IFERROR(INDEX(PRENOTAZIONI!$G:$G,SMALL(PRENOTAZIONI!$AF:$AF,17)),"")</f>
        <v/>
      </c>
      <c r="G20" s="35" t="str">
        <f>IFERROR(INDEX(PRENOTAZIONI!$H:$H,SMALL(PRENOTAZIONI!$AF:$AF,17)),"")</f>
        <v/>
      </c>
      <c r="H20" s="86" t="str">
        <f t="shared" si="1"/>
        <v/>
      </c>
      <c r="I20" s="35" t="str">
        <f t="shared" si="2"/>
        <v/>
      </c>
      <c r="J20" s="149" t="str">
        <f t="shared" si="9"/>
        <v/>
      </c>
      <c r="K20" s="34" t="str">
        <f>IFERROR(INDEX(PRENOTAZIONI!$K:$K,SMALL(PRENOTAZIONI!$AF:$AF,17)),"")</f>
        <v/>
      </c>
      <c r="L20" s="35" t="str">
        <f>IFERROR(INDEX(PRENOTAZIONI!$L:$L,SMALL(PRENOTAZIONI!$AF:$AF,17)),"")</f>
        <v/>
      </c>
      <c r="M20" s="150" t="str">
        <f t="shared" si="3"/>
        <v/>
      </c>
      <c r="N20" s="35" t="str">
        <f t="shared" si="4"/>
        <v/>
      </c>
      <c r="O20" s="35"/>
      <c r="P20" s="43"/>
      <c r="Q20" s="150" t="str">
        <f t="shared" si="5"/>
        <v/>
      </c>
      <c r="R20" s="34" t="str">
        <f>IFERROR(INDEX(PRENOTAZIONI!$R:$R,SMALL(PRENOTAZIONI!$AF:$AF,17)),"")</f>
        <v/>
      </c>
      <c r="S20" s="31"/>
      <c r="T20" s="80" t="str">
        <f>IFERROR(INDEX(PRENOTAZIONI!$A:$A,SMALL(PRENOTAZIONI!$AH:$AH,17)),"")</f>
        <v/>
      </c>
      <c r="U20" s="31" t="str">
        <f>IFERROR(INDEX(PRENOTAZIONI!$B:$B,SMALL(PRENOTAZIONI!$AH:$AH,17)),"")</f>
        <v/>
      </c>
      <c r="V20" s="32" t="str">
        <f t="shared" si="6"/>
        <v/>
      </c>
      <c r="W20" s="34" t="str">
        <f>IFERROR(INDEX(PRENOTAZIONI!$E:$E,SMALL(PRENOTAZIONI!$AH:$AH,17)),"")</f>
        <v/>
      </c>
      <c r="X20" s="34" t="str">
        <f>IFERROR(INDEX(PRENOTAZIONI!$F:$F,SMALL(PRENOTAZIONI!$AH:$AH,17)),"")</f>
        <v/>
      </c>
      <c r="Y20" s="35" t="str">
        <f>IFERROR(INDEX(PRENOTAZIONI!$H:$H,SMALL(PRENOTAZIONI!$AH:$AH,17)),"")</f>
        <v/>
      </c>
      <c r="Z20" s="34" t="str">
        <f>IFERROR(INDEX(PRENOTAZIONI!$K:$K,SMALL(PRENOTAZIONI!$AH:$AH,17)),"")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IFERROR(INDEX(PRENOTAZIONI!$A:$A,SMALL(PRENOTAZIONI!$AF:$AF,18)),"")</f>
        <v/>
      </c>
      <c r="B21" s="31" t="str">
        <f>IFERROR(INDEX(PRENOTAZIONI!$B:$B,SMALL(PRENOTAZIONI!$AF:$AF,18)),"")</f>
        <v/>
      </c>
      <c r="C21" s="32" t="str">
        <f t="shared" si="0"/>
        <v/>
      </c>
      <c r="D21" s="34" t="str">
        <f>IFERROR(INDEX(PRENOTAZIONI!$E:$E,SMALL(PRENOTAZIONI!$AF:$AF,18)),"")</f>
        <v/>
      </c>
      <c r="E21" s="34" t="str">
        <f>IFERROR(INDEX(PRENOTAZIONI!$F:$F,SMALL(PRENOTAZIONI!$AF:$AF,18)),"")</f>
        <v/>
      </c>
      <c r="F21" s="34" t="str">
        <f>IFERROR(INDEX(PRENOTAZIONI!$G:$G,SMALL(PRENOTAZIONI!$AF:$AF,18)),"")</f>
        <v/>
      </c>
      <c r="G21" s="35" t="str">
        <f>IFERROR(INDEX(PRENOTAZIONI!$H:$H,SMALL(PRENOTAZIONI!$AF:$AF,18)),"")</f>
        <v/>
      </c>
      <c r="H21" s="86" t="str">
        <f t="shared" si="1"/>
        <v/>
      </c>
      <c r="I21" s="35" t="str">
        <f t="shared" si="2"/>
        <v/>
      </c>
      <c r="J21" s="149" t="str">
        <f t="shared" si="9"/>
        <v/>
      </c>
      <c r="K21" s="34" t="str">
        <f>IFERROR(INDEX(PRENOTAZIONI!$K:$K,SMALL(PRENOTAZIONI!$AF:$AF,18)),"")</f>
        <v/>
      </c>
      <c r="L21" s="35" t="str">
        <f>IFERROR(INDEX(PRENOTAZIONI!$L:$L,SMALL(PRENOTAZIONI!$AF:$AF,18)),"")</f>
        <v/>
      </c>
      <c r="M21" s="150" t="str">
        <f t="shared" si="3"/>
        <v/>
      </c>
      <c r="N21" s="35" t="str">
        <f t="shared" si="4"/>
        <v/>
      </c>
      <c r="O21" s="35"/>
      <c r="P21" s="43"/>
      <c r="Q21" s="150" t="str">
        <f t="shared" si="5"/>
        <v/>
      </c>
      <c r="R21" s="34" t="str">
        <f>IFERROR(INDEX(PRENOTAZIONI!$R:$R,SMALL(PRENOTAZIONI!$AF:$AF,18)),"")</f>
        <v/>
      </c>
      <c r="S21" s="31"/>
      <c r="T21" s="80" t="str">
        <f>IFERROR(INDEX(PRENOTAZIONI!$A:$A,SMALL(PRENOTAZIONI!$AH:$AH,18)),"")</f>
        <v/>
      </c>
      <c r="U21" s="31" t="str">
        <f>IFERROR(INDEX(PRENOTAZIONI!$B:$B,SMALL(PRENOTAZIONI!$AH:$AH,18)),"")</f>
        <v/>
      </c>
      <c r="V21" s="32" t="str">
        <f t="shared" si="6"/>
        <v/>
      </c>
      <c r="W21" s="34" t="str">
        <f>IFERROR(INDEX(PRENOTAZIONI!$E:$E,SMALL(PRENOTAZIONI!$AH:$AH,18)),"")</f>
        <v/>
      </c>
      <c r="X21" s="34" t="str">
        <f>IFERROR(INDEX(PRENOTAZIONI!$F:$F,SMALL(PRENOTAZIONI!$AH:$AH,18)),"")</f>
        <v/>
      </c>
      <c r="Y21" s="35" t="str">
        <f>IFERROR(INDEX(PRENOTAZIONI!$H:$H,SMALL(PRENOTAZIONI!$AH:$AH,18)),"")</f>
        <v/>
      </c>
      <c r="Z21" s="34" t="str">
        <f>IFERROR(INDEX(PRENOTAZIONI!$K:$K,SMALL(PRENOTAZIONI!$AH:$AH,18)),"")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IFERROR(INDEX(PRENOTAZIONI!$A:$A,SMALL(PRENOTAZIONI!$AF:$AF,19)),"")</f>
        <v/>
      </c>
      <c r="B22" s="31" t="str">
        <f>IFERROR(INDEX(PRENOTAZIONI!$B:$B,SMALL(PRENOTAZIONI!$AF:$AF,19)),"")</f>
        <v/>
      </c>
      <c r="C22" s="32" t="str">
        <f t="shared" si="0"/>
        <v/>
      </c>
      <c r="D22" s="34" t="str">
        <f>IFERROR(INDEX(PRENOTAZIONI!$E:$E,SMALL(PRENOTAZIONI!$AF:$AF,19)),"")</f>
        <v/>
      </c>
      <c r="E22" s="34" t="str">
        <f>IFERROR(INDEX(PRENOTAZIONI!$F:$F,SMALL(PRENOTAZIONI!$AF:$AF,19)),"")</f>
        <v/>
      </c>
      <c r="F22" s="34" t="str">
        <f>IFERROR(INDEX(PRENOTAZIONI!$G:$G,SMALL(PRENOTAZIONI!$AF:$AF,19)),"")</f>
        <v/>
      </c>
      <c r="G22" s="35" t="str">
        <f>IFERROR(INDEX(PRENOTAZIONI!$H:$H,SMALL(PRENOTAZIONI!$AF:$AF,19)),"")</f>
        <v/>
      </c>
      <c r="H22" s="86" t="str">
        <f t="shared" si="1"/>
        <v/>
      </c>
      <c r="I22" s="35" t="str">
        <f t="shared" si="2"/>
        <v/>
      </c>
      <c r="J22" s="149" t="str">
        <f t="shared" si="9"/>
        <v/>
      </c>
      <c r="K22" s="34" t="str">
        <f>IFERROR(INDEX(PRENOTAZIONI!$K:$K,SMALL(PRENOTAZIONI!$AF:$AF,19)),"")</f>
        <v/>
      </c>
      <c r="L22" s="35" t="str">
        <f>IFERROR(INDEX(PRENOTAZIONI!$L:$L,SMALL(PRENOTAZIONI!$AF:$AF,19)),"")</f>
        <v/>
      </c>
      <c r="M22" s="150" t="str">
        <f t="shared" si="3"/>
        <v/>
      </c>
      <c r="N22" s="35" t="str">
        <f t="shared" si="4"/>
        <v/>
      </c>
      <c r="O22" s="35"/>
      <c r="P22" s="43"/>
      <c r="Q22" s="150" t="str">
        <f t="shared" si="5"/>
        <v/>
      </c>
      <c r="R22" s="34" t="str">
        <f>IFERROR(INDEX(PRENOTAZIONI!$R:$R,SMALL(PRENOTAZIONI!$AF:$AF,19)),"")</f>
        <v/>
      </c>
      <c r="S22" s="31"/>
      <c r="T22" s="80" t="str">
        <f>IFERROR(INDEX(PRENOTAZIONI!$A:$A,SMALL(PRENOTAZIONI!$AH:$AH,19)),"")</f>
        <v/>
      </c>
      <c r="U22" s="31" t="str">
        <f>IFERROR(INDEX(PRENOTAZIONI!$B:$B,SMALL(PRENOTAZIONI!$AH:$AH,19)),"")</f>
        <v/>
      </c>
      <c r="V22" s="32" t="str">
        <f t="shared" si="6"/>
        <v/>
      </c>
      <c r="W22" s="34" t="str">
        <f>IFERROR(INDEX(PRENOTAZIONI!$E:$E,SMALL(PRENOTAZIONI!$AH:$AH,19)),"")</f>
        <v/>
      </c>
      <c r="X22" s="34" t="str">
        <f>IFERROR(INDEX(PRENOTAZIONI!$F:$F,SMALL(PRENOTAZIONI!$AH:$AH,19)),"")</f>
        <v/>
      </c>
      <c r="Y22" s="35" t="str">
        <f>IFERROR(INDEX(PRENOTAZIONI!$H:$H,SMALL(PRENOTAZIONI!$AH:$AH,19)),"")</f>
        <v/>
      </c>
      <c r="Z22" s="34" t="str">
        <f>IFERROR(INDEX(PRENOTAZIONI!$K:$K,SMALL(PRENOTAZIONI!$AH:$AH,19)),"")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IFERROR(INDEX(PRENOTAZIONI!$A:$A,SMALL(PRENOTAZIONI!$AF:$AF,20)),"")</f>
        <v/>
      </c>
      <c r="B23" s="31" t="str">
        <f>IFERROR(INDEX(PRENOTAZIONI!$B:$B,SMALL(PRENOTAZIONI!$AF:$AF,20)),"")</f>
        <v/>
      </c>
      <c r="C23" s="32" t="str">
        <f t="shared" si="0"/>
        <v/>
      </c>
      <c r="D23" s="34" t="str">
        <f>IFERROR(INDEX(PRENOTAZIONI!$E:$E,SMALL(PRENOTAZIONI!$AF:$AF,20)),"")</f>
        <v/>
      </c>
      <c r="E23" s="34" t="str">
        <f>IFERROR(INDEX(PRENOTAZIONI!$F:$F,SMALL(PRENOTAZIONI!$AF:$AF,20)),"")</f>
        <v/>
      </c>
      <c r="F23" s="34" t="str">
        <f>IFERROR(INDEX(PRENOTAZIONI!$G:$G,SMALL(PRENOTAZIONI!$AF:$AF,20)),"")</f>
        <v/>
      </c>
      <c r="G23" s="35" t="str">
        <f>IFERROR(INDEX(PRENOTAZIONI!$H:$H,SMALL(PRENOTAZIONI!$AF:$AF,20)),"")</f>
        <v/>
      </c>
      <c r="H23" s="86" t="str">
        <f t="shared" si="1"/>
        <v/>
      </c>
      <c r="I23" s="35" t="str">
        <f t="shared" si="2"/>
        <v/>
      </c>
      <c r="J23" s="149" t="str">
        <f t="shared" si="9"/>
        <v/>
      </c>
      <c r="K23" s="34" t="str">
        <f>IFERROR(INDEX(PRENOTAZIONI!$K:$K,SMALL(PRENOTAZIONI!$AF:$AF,20)),"")</f>
        <v/>
      </c>
      <c r="L23" s="35" t="str">
        <f>IFERROR(INDEX(PRENOTAZIONI!$L:$L,SMALL(PRENOTAZIONI!$AF:$AF,20)),"")</f>
        <v/>
      </c>
      <c r="M23" s="150" t="str">
        <f t="shared" si="3"/>
        <v/>
      </c>
      <c r="N23" s="35" t="str">
        <f t="shared" si="4"/>
        <v/>
      </c>
      <c r="O23" s="35"/>
      <c r="P23" s="43"/>
      <c r="Q23" s="150" t="str">
        <f t="shared" si="5"/>
        <v/>
      </c>
      <c r="R23" s="34" t="str">
        <f>IFERROR(INDEX(PRENOTAZIONI!$R:$R,SMALL(PRENOTAZIONI!$AF:$AF,20)),"")</f>
        <v/>
      </c>
      <c r="S23" s="31"/>
      <c r="T23" s="80" t="str">
        <f>IFERROR(INDEX(PRENOTAZIONI!$A:$A,SMALL(PRENOTAZIONI!$AH:$AH,20)),"")</f>
        <v/>
      </c>
      <c r="U23" s="31" t="str">
        <f>IFERROR(INDEX(PRENOTAZIONI!$B:$B,SMALL(PRENOTAZIONI!$AH:$AH,20)),"")</f>
        <v/>
      </c>
      <c r="V23" s="32" t="str">
        <f t="shared" si="6"/>
        <v/>
      </c>
      <c r="W23" s="34" t="str">
        <f>IFERROR(INDEX(PRENOTAZIONI!$E:$E,SMALL(PRENOTAZIONI!$AH:$AH,20)),"")</f>
        <v/>
      </c>
      <c r="X23" s="34" t="str">
        <f>IFERROR(INDEX(PRENOTAZIONI!$F:$F,SMALL(PRENOTAZIONI!$AH:$AH,20)),"")</f>
        <v/>
      </c>
      <c r="Y23" s="35" t="str">
        <f>IFERROR(INDEX(PRENOTAZIONI!$H:$H,SMALL(PRENOTAZIONI!$AH:$AH,20)),"")</f>
        <v/>
      </c>
      <c r="Z23" s="34" t="str">
        <f>IFERROR(INDEX(PRENOTAZIONI!$K:$K,SMALL(PRENOTAZIONI!$AH:$AH,20)),"")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IFERROR(INDEX(PRENOTAZIONI!$A:$A,SMALL(PRENOTAZIONI!$AF:$AF,21)),"")</f>
        <v/>
      </c>
      <c r="B24" s="31" t="str">
        <f>IFERROR(INDEX(PRENOTAZIONI!$B:$B,SMALL(PRENOTAZIONI!$AF:$AF,21)),"")</f>
        <v/>
      </c>
      <c r="C24" s="32" t="str">
        <f t="shared" si="0"/>
        <v/>
      </c>
      <c r="D24" s="34" t="str">
        <f>IFERROR(INDEX(PRENOTAZIONI!$E:$E,SMALL(PRENOTAZIONI!$AF:$AF,21)),"")</f>
        <v/>
      </c>
      <c r="E24" s="34" t="str">
        <f>IFERROR(INDEX(PRENOTAZIONI!$F:$F,SMALL(PRENOTAZIONI!$AF:$AF,21)),"")</f>
        <v/>
      </c>
      <c r="F24" s="34" t="str">
        <f>IFERROR(INDEX(PRENOTAZIONI!$G:$G,SMALL(PRENOTAZIONI!$AF:$AF,21)),"")</f>
        <v/>
      </c>
      <c r="G24" s="35" t="str">
        <f>IFERROR(INDEX(PRENOTAZIONI!$H:$H,SMALL(PRENOTAZIONI!$AF:$AF,21)),"")</f>
        <v/>
      </c>
      <c r="H24" s="86" t="str">
        <f t="shared" si="1"/>
        <v/>
      </c>
      <c r="I24" s="35" t="str">
        <f t="shared" si="2"/>
        <v/>
      </c>
      <c r="J24" s="149" t="str">
        <f t="shared" si="9"/>
        <v/>
      </c>
      <c r="K24" s="34" t="str">
        <f>IFERROR(INDEX(PRENOTAZIONI!$K:$K,SMALL(PRENOTAZIONI!$AF:$AF,21)),"")</f>
        <v/>
      </c>
      <c r="L24" s="35" t="str">
        <f>IFERROR(INDEX(PRENOTAZIONI!$L:$L,SMALL(PRENOTAZIONI!$AF:$AF,21)),"")</f>
        <v/>
      </c>
      <c r="M24" s="150" t="str">
        <f t="shared" si="3"/>
        <v/>
      </c>
      <c r="N24" s="35" t="str">
        <f t="shared" si="4"/>
        <v/>
      </c>
      <c r="O24" s="35"/>
      <c r="P24" s="43"/>
      <c r="Q24" s="150" t="str">
        <f t="shared" si="5"/>
        <v/>
      </c>
      <c r="R24" s="34" t="str">
        <f>IFERROR(INDEX(PRENOTAZIONI!$R:$R,SMALL(PRENOTAZIONI!$AF:$AF,21)),"")</f>
        <v/>
      </c>
      <c r="S24" s="31"/>
      <c r="T24" s="80" t="str">
        <f>IFERROR(INDEX(PRENOTAZIONI!$A:$A,SMALL(PRENOTAZIONI!$AH:$AH,21)),"")</f>
        <v/>
      </c>
      <c r="U24" s="31" t="str">
        <f>IFERROR(INDEX(PRENOTAZIONI!$B:$B,SMALL(PRENOTAZIONI!$AH:$AH,21)),"")</f>
        <v/>
      </c>
      <c r="V24" s="32" t="str">
        <f t="shared" si="6"/>
        <v/>
      </c>
      <c r="W24" s="34" t="str">
        <f>IFERROR(INDEX(PRENOTAZIONI!$E:$E,SMALL(PRENOTAZIONI!$AH:$AH,21)),"")</f>
        <v/>
      </c>
      <c r="X24" s="34" t="str">
        <f>IFERROR(INDEX(PRENOTAZIONI!$F:$F,SMALL(PRENOTAZIONI!$AH:$AH,21)),"")</f>
        <v/>
      </c>
      <c r="Y24" s="35" t="str">
        <f>IFERROR(INDEX(PRENOTAZIONI!$H:$H,SMALL(PRENOTAZIONI!$AH:$AH,21)),"")</f>
        <v/>
      </c>
      <c r="Z24" s="34" t="str">
        <f>IFERROR(INDEX(PRENOTAZIONI!$K:$K,SMALL(PRENOTAZIONI!$AH:$AH,21)),"")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IFERROR(INDEX(PRENOTAZIONI!$A:$A,SMALL(PRENOTAZIONI!$AF:$AF,22)),"")</f>
        <v/>
      </c>
      <c r="B25" s="31" t="str">
        <f>IFERROR(INDEX(PRENOTAZIONI!$B:$B,SMALL(PRENOTAZIONI!$AF:$AF,22)),"")</f>
        <v/>
      </c>
      <c r="C25" s="32" t="str">
        <f t="shared" si="0"/>
        <v/>
      </c>
      <c r="D25" s="34" t="str">
        <f>IFERROR(INDEX(PRENOTAZIONI!$E:$E,SMALL(PRENOTAZIONI!$AF:$AF,22)),"")</f>
        <v/>
      </c>
      <c r="E25" s="34" t="str">
        <f>IFERROR(INDEX(PRENOTAZIONI!$F:$F,SMALL(PRENOTAZIONI!$AF:$AF,22)),"")</f>
        <v/>
      </c>
      <c r="F25" s="34" t="str">
        <f>IFERROR(INDEX(PRENOTAZIONI!$G:$G,SMALL(PRENOTAZIONI!$AF:$AF,22)),"")</f>
        <v/>
      </c>
      <c r="G25" s="35" t="str">
        <f>IFERROR(INDEX(PRENOTAZIONI!$H:$H,SMALL(PRENOTAZIONI!$AF:$AF,22)),"")</f>
        <v/>
      </c>
      <c r="H25" s="86" t="str">
        <f t="shared" si="1"/>
        <v/>
      </c>
      <c r="I25" s="35" t="str">
        <f t="shared" si="2"/>
        <v/>
      </c>
      <c r="J25" s="149" t="str">
        <f t="shared" si="9"/>
        <v/>
      </c>
      <c r="K25" s="34" t="str">
        <f>IFERROR(INDEX(PRENOTAZIONI!$K:$K,SMALL(PRENOTAZIONI!$AF:$AF,22)),"")</f>
        <v/>
      </c>
      <c r="L25" s="35" t="str">
        <f>IFERROR(INDEX(PRENOTAZIONI!$L:$L,SMALL(PRENOTAZIONI!$AF:$AF,22)),"")</f>
        <v/>
      </c>
      <c r="M25" s="150" t="str">
        <f t="shared" si="3"/>
        <v/>
      </c>
      <c r="N25" s="35" t="str">
        <f t="shared" si="4"/>
        <v/>
      </c>
      <c r="O25" s="35"/>
      <c r="P25" s="43"/>
      <c r="Q25" s="150" t="str">
        <f t="shared" si="5"/>
        <v/>
      </c>
      <c r="R25" s="34" t="str">
        <f>IFERROR(INDEX(PRENOTAZIONI!$R:$R,SMALL(PRENOTAZIONI!$AF:$AF,22)),"")</f>
        <v/>
      </c>
      <c r="S25" s="31"/>
      <c r="T25" s="80" t="str">
        <f>IFERROR(INDEX(PRENOTAZIONI!$A:$A,SMALL(PRENOTAZIONI!$AH:$AH,22)),"")</f>
        <v/>
      </c>
      <c r="U25" s="31" t="str">
        <f>IFERROR(INDEX(PRENOTAZIONI!$B:$B,SMALL(PRENOTAZIONI!$AH:$AH,22)),"")</f>
        <v/>
      </c>
      <c r="V25" s="32" t="str">
        <f t="shared" si="6"/>
        <v/>
      </c>
      <c r="W25" s="34" t="str">
        <f>IFERROR(INDEX(PRENOTAZIONI!$E:$E,SMALL(PRENOTAZIONI!$AH:$AH,22)),"")</f>
        <v/>
      </c>
      <c r="X25" s="34" t="str">
        <f>IFERROR(INDEX(PRENOTAZIONI!$F:$F,SMALL(PRENOTAZIONI!$AH:$AH,22)),"")</f>
        <v/>
      </c>
      <c r="Y25" s="35" t="str">
        <f>IFERROR(INDEX(PRENOTAZIONI!$H:$H,SMALL(PRENOTAZIONI!$AH:$AH,22)),"")</f>
        <v/>
      </c>
      <c r="Z25" s="34" t="str">
        <f>IFERROR(INDEX(PRENOTAZIONI!$K:$K,SMALL(PRENOTAZIONI!$AH:$AH,22)),"")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IFERROR(INDEX(PRENOTAZIONI!$A:$A,SMALL(PRENOTAZIONI!$AF:$AF,23)),"")</f>
        <v/>
      </c>
      <c r="B26" s="31" t="str">
        <f>IFERROR(INDEX(PRENOTAZIONI!$B:$B,SMALL(PRENOTAZIONI!$AF:$AF,23)),"")</f>
        <v/>
      </c>
      <c r="C26" s="32" t="str">
        <f t="shared" si="0"/>
        <v/>
      </c>
      <c r="D26" s="34" t="str">
        <f>IFERROR(INDEX(PRENOTAZIONI!$E:$E,SMALL(PRENOTAZIONI!$AF:$AF,23)),"")</f>
        <v/>
      </c>
      <c r="E26" s="34" t="str">
        <f>IFERROR(INDEX(PRENOTAZIONI!$F:$F,SMALL(PRENOTAZIONI!$AF:$AF,23)),"")</f>
        <v/>
      </c>
      <c r="F26" s="34" t="str">
        <f>IFERROR(INDEX(PRENOTAZIONI!$G:$G,SMALL(PRENOTAZIONI!$AF:$AF,23)),"")</f>
        <v/>
      </c>
      <c r="G26" s="35" t="str">
        <f>IFERROR(INDEX(PRENOTAZIONI!$H:$H,SMALL(PRENOTAZIONI!$AF:$AF,23)),"")</f>
        <v/>
      </c>
      <c r="H26" s="86" t="str">
        <f t="shared" si="1"/>
        <v/>
      </c>
      <c r="I26" s="35" t="str">
        <f t="shared" si="2"/>
        <v/>
      </c>
      <c r="J26" s="149" t="str">
        <f t="shared" si="9"/>
        <v/>
      </c>
      <c r="K26" s="34" t="str">
        <f>IFERROR(INDEX(PRENOTAZIONI!$K:$K,SMALL(PRENOTAZIONI!$AF:$AF,23)),"")</f>
        <v/>
      </c>
      <c r="L26" s="35" t="str">
        <f>IFERROR(INDEX(PRENOTAZIONI!$L:$L,SMALL(PRENOTAZIONI!$AF:$AF,23)),"")</f>
        <v/>
      </c>
      <c r="M26" s="150" t="str">
        <f t="shared" si="3"/>
        <v/>
      </c>
      <c r="N26" s="35" t="str">
        <f t="shared" si="4"/>
        <v/>
      </c>
      <c r="O26" s="35"/>
      <c r="P26" s="43"/>
      <c r="Q26" s="150" t="str">
        <f t="shared" si="5"/>
        <v/>
      </c>
      <c r="R26" s="34" t="str">
        <f>IFERROR(INDEX(PRENOTAZIONI!$R:$R,SMALL(PRENOTAZIONI!$AF:$AF,23)),"")</f>
        <v/>
      </c>
      <c r="S26" s="31"/>
      <c r="T26" s="80" t="str">
        <f>IFERROR(INDEX(PRENOTAZIONI!$A:$A,SMALL(PRENOTAZIONI!$AH:$AH,23)),"")</f>
        <v/>
      </c>
      <c r="U26" s="31" t="str">
        <f>IFERROR(INDEX(PRENOTAZIONI!$B:$B,SMALL(PRENOTAZIONI!$AH:$AH,23)),"")</f>
        <v/>
      </c>
      <c r="V26" s="32" t="str">
        <f t="shared" si="6"/>
        <v/>
      </c>
      <c r="W26" s="34" t="str">
        <f>IFERROR(INDEX(PRENOTAZIONI!$E:$E,SMALL(PRENOTAZIONI!$AH:$AH,23)),"")</f>
        <v/>
      </c>
      <c r="X26" s="34" t="str">
        <f>IFERROR(INDEX(PRENOTAZIONI!$F:$F,SMALL(PRENOTAZIONI!$AH:$AH,23)),"")</f>
        <v/>
      </c>
      <c r="Y26" s="35" t="str">
        <f>IFERROR(INDEX(PRENOTAZIONI!$H:$H,SMALL(PRENOTAZIONI!$AH:$AH,23)),"")</f>
        <v/>
      </c>
      <c r="Z26" s="34" t="str">
        <f>IFERROR(INDEX(PRENOTAZIONI!$K:$K,SMALL(PRENOTAZIONI!$AH:$AH,23)),"")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IFERROR(INDEX(PRENOTAZIONI!$A:$A,SMALL(PRENOTAZIONI!$AF:$AF,24)),"")</f>
        <v/>
      </c>
      <c r="B27" s="31" t="str">
        <f>IFERROR(INDEX(PRENOTAZIONI!$B:$B,SMALL(PRENOTAZIONI!$AF:$AF,24)),"")</f>
        <v/>
      </c>
      <c r="C27" s="32" t="str">
        <f t="shared" si="0"/>
        <v/>
      </c>
      <c r="D27" s="34" t="str">
        <f>IFERROR(INDEX(PRENOTAZIONI!$E:$E,SMALL(PRENOTAZIONI!$AF:$AF,24)),"")</f>
        <v/>
      </c>
      <c r="E27" s="34" t="str">
        <f>IFERROR(INDEX(PRENOTAZIONI!$F:$F,SMALL(PRENOTAZIONI!$AF:$AF,24)),"")</f>
        <v/>
      </c>
      <c r="F27" s="34" t="str">
        <f>IFERROR(INDEX(PRENOTAZIONI!$G:$G,SMALL(PRENOTAZIONI!$AF:$AF,24)),"")</f>
        <v/>
      </c>
      <c r="G27" s="35" t="str">
        <f>IFERROR(INDEX(PRENOTAZIONI!$H:$H,SMALL(PRENOTAZIONI!$AF:$AF,24)),"")</f>
        <v/>
      </c>
      <c r="H27" s="86" t="str">
        <f t="shared" si="1"/>
        <v/>
      </c>
      <c r="I27" s="35" t="str">
        <f t="shared" si="2"/>
        <v/>
      </c>
      <c r="J27" s="149" t="str">
        <f t="shared" si="9"/>
        <v/>
      </c>
      <c r="K27" s="34" t="str">
        <f>IFERROR(INDEX(PRENOTAZIONI!$K:$K,SMALL(PRENOTAZIONI!$AF:$AF,24)),"")</f>
        <v/>
      </c>
      <c r="L27" s="35" t="str">
        <f>IFERROR(INDEX(PRENOTAZIONI!$L:$L,SMALL(PRENOTAZIONI!$AF:$AF,24)),"")</f>
        <v/>
      </c>
      <c r="M27" s="150" t="str">
        <f t="shared" si="3"/>
        <v/>
      </c>
      <c r="N27" s="35" t="str">
        <f t="shared" si="4"/>
        <v/>
      </c>
      <c r="O27" s="35"/>
      <c r="P27" s="43"/>
      <c r="Q27" s="150" t="str">
        <f t="shared" si="5"/>
        <v/>
      </c>
      <c r="R27" s="34" t="str">
        <f>IFERROR(INDEX(PRENOTAZIONI!$R:$R,SMALL(PRENOTAZIONI!$AF:$AF,24)),"")</f>
        <v/>
      </c>
      <c r="S27" s="31"/>
      <c r="T27" s="80" t="str">
        <f>IFERROR(INDEX(PRENOTAZIONI!$A:$A,SMALL(PRENOTAZIONI!$AH:$AH,24)),"")</f>
        <v/>
      </c>
      <c r="U27" s="31" t="str">
        <f>IFERROR(INDEX(PRENOTAZIONI!$B:$B,SMALL(PRENOTAZIONI!$AH:$AH,24)),"")</f>
        <v/>
      </c>
      <c r="V27" s="32" t="str">
        <f t="shared" si="6"/>
        <v/>
      </c>
      <c r="W27" s="34" t="str">
        <f>IFERROR(INDEX(PRENOTAZIONI!$E:$E,SMALL(PRENOTAZIONI!$AH:$AH,24)),"")</f>
        <v/>
      </c>
      <c r="X27" s="34" t="str">
        <f>IFERROR(INDEX(PRENOTAZIONI!$F:$F,SMALL(PRENOTAZIONI!$AH:$AH,24)),"")</f>
        <v/>
      </c>
      <c r="Y27" s="35" t="str">
        <f>IFERROR(INDEX(PRENOTAZIONI!$H:$H,SMALL(PRENOTAZIONI!$AH:$AH,24)),"")</f>
        <v/>
      </c>
      <c r="Z27" s="34" t="str">
        <f>IFERROR(INDEX(PRENOTAZIONI!$K:$K,SMALL(PRENOTAZIONI!$AH:$AH,24)),"")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IFERROR(INDEX(PRENOTAZIONI!$A:$A,SMALL(PRENOTAZIONI!$AF:$AF,25)),"")</f>
        <v/>
      </c>
      <c r="B28" s="31" t="str">
        <f>IFERROR(INDEX(PRENOTAZIONI!$B:$B,SMALL(PRENOTAZIONI!$AF:$AF,25)),"")</f>
        <v/>
      </c>
      <c r="C28" s="32" t="str">
        <f t="shared" si="0"/>
        <v/>
      </c>
      <c r="D28" s="34" t="str">
        <f>IFERROR(INDEX(PRENOTAZIONI!$E:$E,SMALL(PRENOTAZIONI!$AF:$AF,25)),"")</f>
        <v/>
      </c>
      <c r="E28" s="34" t="str">
        <f>IFERROR(INDEX(PRENOTAZIONI!$F:$F,SMALL(PRENOTAZIONI!$AF:$AF,25)),"")</f>
        <v/>
      </c>
      <c r="F28" s="34" t="str">
        <f>IFERROR(INDEX(PRENOTAZIONI!$G:$G,SMALL(PRENOTAZIONI!$AF:$AF,25)),"")</f>
        <v/>
      </c>
      <c r="G28" s="35" t="str">
        <f>IFERROR(INDEX(PRENOTAZIONI!$H:$H,SMALL(PRENOTAZIONI!$AF:$AF,25)),"")</f>
        <v/>
      </c>
      <c r="H28" s="86" t="str">
        <f t="shared" si="1"/>
        <v/>
      </c>
      <c r="I28" s="35" t="str">
        <f t="shared" si="2"/>
        <v/>
      </c>
      <c r="J28" s="149" t="str">
        <f t="shared" si="9"/>
        <v/>
      </c>
      <c r="K28" s="34" t="str">
        <f>IFERROR(INDEX(PRENOTAZIONI!$K:$K,SMALL(PRENOTAZIONI!$AF:$AF,25)),"")</f>
        <v/>
      </c>
      <c r="L28" s="35" t="str">
        <f>IFERROR(INDEX(PRENOTAZIONI!$L:$L,SMALL(PRENOTAZIONI!$AF:$AF,25)),"")</f>
        <v/>
      </c>
      <c r="M28" s="150" t="str">
        <f t="shared" si="3"/>
        <v/>
      </c>
      <c r="N28" s="35" t="str">
        <f t="shared" si="4"/>
        <v/>
      </c>
      <c r="O28" s="35"/>
      <c r="P28" s="43"/>
      <c r="Q28" s="150" t="str">
        <f t="shared" si="5"/>
        <v/>
      </c>
      <c r="R28" s="34" t="str">
        <f>IFERROR(INDEX(PRENOTAZIONI!$R:$R,SMALL(PRENOTAZIONI!$AF:$AF,25)),"")</f>
        <v/>
      </c>
      <c r="S28" s="31"/>
      <c r="T28" s="80" t="str">
        <f>IFERROR(INDEX(PRENOTAZIONI!$A:$A,SMALL(PRENOTAZIONI!$AH:$AH,25)),"")</f>
        <v/>
      </c>
      <c r="U28" s="31" t="str">
        <f>IFERROR(INDEX(PRENOTAZIONI!$B:$B,SMALL(PRENOTAZIONI!$AH:$AH,25)),"")</f>
        <v/>
      </c>
      <c r="V28" s="32" t="str">
        <f t="shared" si="6"/>
        <v/>
      </c>
      <c r="W28" s="34" t="str">
        <f>IFERROR(INDEX(PRENOTAZIONI!$E:$E,SMALL(PRENOTAZIONI!$AH:$AH,25)),"")</f>
        <v/>
      </c>
      <c r="X28" s="34" t="str">
        <f>IFERROR(INDEX(PRENOTAZIONI!$F:$F,SMALL(PRENOTAZIONI!$AH:$AH,25)),"")</f>
        <v/>
      </c>
      <c r="Y28" s="35" t="str">
        <f>IFERROR(INDEX(PRENOTAZIONI!$H:$H,SMALL(PRENOTAZIONI!$AH:$AH,25)),"")</f>
        <v/>
      </c>
      <c r="Z28" s="34" t="str">
        <f>IFERROR(INDEX(PRENOTAZIONI!$K:$K,SMALL(PRENOTAZIONI!$AH:$AH,25)),"")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IFERROR(INDEX(PRENOTAZIONI!$A:$A,SMALL(PRENOTAZIONI!$AF:$AF,26)),"")</f>
        <v/>
      </c>
      <c r="B29" s="31" t="str">
        <f>IFERROR(INDEX(PRENOTAZIONI!$B:$B,SMALL(PRENOTAZIONI!$AF:$AF,26)),"")</f>
        <v/>
      </c>
      <c r="C29" s="32" t="str">
        <f t="shared" si="0"/>
        <v/>
      </c>
      <c r="D29" s="34" t="str">
        <f>IFERROR(INDEX(PRENOTAZIONI!$E:$E,SMALL(PRENOTAZIONI!$AF:$AF,26)),"")</f>
        <v/>
      </c>
      <c r="E29" s="34" t="str">
        <f>IFERROR(INDEX(PRENOTAZIONI!$F:$F,SMALL(PRENOTAZIONI!$AF:$AF,26)),"")</f>
        <v/>
      </c>
      <c r="F29" s="34" t="str">
        <f>IFERROR(INDEX(PRENOTAZIONI!$G:$G,SMALL(PRENOTAZIONI!$AF:$AF,26)),"")</f>
        <v/>
      </c>
      <c r="G29" s="35" t="str">
        <f>IFERROR(INDEX(PRENOTAZIONI!$H:$H,SMALL(PRENOTAZIONI!$AF:$AF,26)),"")</f>
        <v/>
      </c>
      <c r="H29" s="86" t="str">
        <f t="shared" si="1"/>
        <v/>
      </c>
      <c r="I29" s="35" t="str">
        <f t="shared" si="2"/>
        <v/>
      </c>
      <c r="J29" s="149" t="str">
        <f t="shared" si="9"/>
        <v/>
      </c>
      <c r="K29" s="34" t="str">
        <f>IFERROR(INDEX(PRENOTAZIONI!$K:$K,SMALL(PRENOTAZIONI!$AF:$AF,26)),"")</f>
        <v/>
      </c>
      <c r="L29" s="35" t="str">
        <f>IFERROR(INDEX(PRENOTAZIONI!$L:$L,SMALL(PRENOTAZIONI!$AF:$AF,26)),"")</f>
        <v/>
      </c>
      <c r="M29" s="150" t="str">
        <f t="shared" si="3"/>
        <v/>
      </c>
      <c r="N29" s="35" t="str">
        <f t="shared" si="4"/>
        <v/>
      </c>
      <c r="O29" s="35"/>
      <c r="P29" s="43"/>
      <c r="Q29" s="150" t="str">
        <f t="shared" si="5"/>
        <v/>
      </c>
      <c r="R29" s="34" t="str">
        <f>IFERROR(INDEX(PRENOTAZIONI!$R:$R,SMALL(PRENOTAZIONI!$AF:$AF,26)),"")</f>
        <v/>
      </c>
      <c r="S29" s="31"/>
      <c r="T29" s="80" t="str">
        <f>IFERROR(INDEX(PRENOTAZIONI!$A:$A,SMALL(PRENOTAZIONI!$AH:$AH,26)),"")</f>
        <v/>
      </c>
      <c r="U29" s="31" t="str">
        <f>IFERROR(INDEX(PRENOTAZIONI!$B:$B,SMALL(PRENOTAZIONI!$AH:$AH,26)),"")</f>
        <v/>
      </c>
      <c r="V29" s="32" t="str">
        <f t="shared" si="6"/>
        <v/>
      </c>
      <c r="W29" s="34" t="str">
        <f>IFERROR(INDEX(PRENOTAZIONI!$E:$E,SMALL(PRENOTAZIONI!$AH:$AH,26)),"")</f>
        <v/>
      </c>
      <c r="X29" s="34" t="str">
        <f>IFERROR(INDEX(PRENOTAZIONI!$F:$F,SMALL(PRENOTAZIONI!$AH:$AH,26)),"")</f>
        <v/>
      </c>
      <c r="Y29" s="35" t="str">
        <f>IFERROR(INDEX(PRENOTAZIONI!$H:$H,SMALL(PRENOTAZIONI!$AH:$AH,26)),"")</f>
        <v/>
      </c>
      <c r="Z29" s="34" t="str">
        <f>IFERROR(INDEX(PRENOTAZIONI!$K:$K,SMALL(PRENOTAZIONI!$AH:$AH,26)),"")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IFERROR(INDEX(PRENOTAZIONI!$A:$A,SMALL(PRENOTAZIONI!$AF:$AF,27)),"")</f>
        <v/>
      </c>
      <c r="B30" s="31" t="str">
        <f>IFERROR(INDEX(PRENOTAZIONI!$B:$B,SMALL(PRENOTAZIONI!$AF:$AF,27)),"")</f>
        <v/>
      </c>
      <c r="C30" s="32" t="str">
        <f t="shared" si="0"/>
        <v/>
      </c>
      <c r="D30" s="34" t="str">
        <f>IFERROR(INDEX(PRENOTAZIONI!$E:$E,SMALL(PRENOTAZIONI!$AF:$AF,27)),"")</f>
        <v/>
      </c>
      <c r="E30" s="34" t="str">
        <f>IFERROR(INDEX(PRENOTAZIONI!$F:$F,SMALL(PRENOTAZIONI!$AF:$AF,27)),"")</f>
        <v/>
      </c>
      <c r="F30" s="34" t="str">
        <f>IFERROR(INDEX(PRENOTAZIONI!$G:$G,SMALL(PRENOTAZIONI!$AF:$AF,27)),"")</f>
        <v/>
      </c>
      <c r="G30" s="35" t="str">
        <f>IFERROR(INDEX(PRENOTAZIONI!$H:$H,SMALL(PRENOTAZIONI!$AF:$AF,27)),"")</f>
        <v/>
      </c>
      <c r="H30" s="86" t="str">
        <f t="shared" si="1"/>
        <v/>
      </c>
      <c r="I30" s="35" t="str">
        <f t="shared" si="2"/>
        <v/>
      </c>
      <c r="J30" s="149" t="str">
        <f t="shared" si="9"/>
        <v/>
      </c>
      <c r="K30" s="34" t="str">
        <f>IFERROR(INDEX(PRENOTAZIONI!$K:$K,SMALL(PRENOTAZIONI!$AF:$AF,27)),"")</f>
        <v/>
      </c>
      <c r="L30" s="35" t="str">
        <f>IFERROR(INDEX(PRENOTAZIONI!$L:$L,SMALL(PRENOTAZIONI!$AF:$AF,27)),"")</f>
        <v/>
      </c>
      <c r="M30" s="150" t="str">
        <f t="shared" si="3"/>
        <v/>
      </c>
      <c r="N30" s="35" t="str">
        <f t="shared" si="4"/>
        <v/>
      </c>
      <c r="O30" s="35"/>
      <c r="P30" s="43"/>
      <c r="Q30" s="150" t="str">
        <f t="shared" si="5"/>
        <v/>
      </c>
      <c r="R30" s="34" t="str">
        <f>IFERROR(INDEX(PRENOTAZIONI!$R:$R,SMALL(PRENOTAZIONI!$AF:$AF,27)),"")</f>
        <v/>
      </c>
      <c r="S30" s="31"/>
      <c r="T30" s="80" t="str">
        <f>IFERROR(INDEX(PRENOTAZIONI!$A:$A,SMALL(PRENOTAZIONI!$AH:$AH,27)),"")</f>
        <v/>
      </c>
      <c r="U30" s="31" t="str">
        <f>IFERROR(INDEX(PRENOTAZIONI!$B:$B,SMALL(PRENOTAZIONI!$AH:$AH,27)),"")</f>
        <v/>
      </c>
      <c r="V30" s="32" t="str">
        <f t="shared" si="6"/>
        <v/>
      </c>
      <c r="W30" s="34" t="str">
        <f>IFERROR(INDEX(PRENOTAZIONI!$E:$E,SMALL(PRENOTAZIONI!$AH:$AH,27)),"")</f>
        <v/>
      </c>
      <c r="X30" s="34" t="str">
        <f>IFERROR(INDEX(PRENOTAZIONI!$F:$F,SMALL(PRENOTAZIONI!$AH:$AH,27)),"")</f>
        <v/>
      </c>
      <c r="Y30" s="35" t="str">
        <f>IFERROR(INDEX(PRENOTAZIONI!$H:$H,SMALL(PRENOTAZIONI!$AH:$AH,27)),"")</f>
        <v/>
      </c>
      <c r="Z30" s="34" t="str">
        <f>IFERROR(INDEX(PRENOTAZIONI!$K:$K,SMALL(PRENOTAZIONI!$AH:$AH,27)),"")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IFERROR(INDEX(PRENOTAZIONI!$A:$A,SMALL(PRENOTAZIONI!$AF:$AF,28)),"")</f>
        <v/>
      </c>
      <c r="B31" s="31" t="str">
        <f>IFERROR(INDEX(PRENOTAZIONI!$B:$B,SMALL(PRENOTAZIONI!$AF:$AF,28)),"")</f>
        <v/>
      </c>
      <c r="C31" s="32" t="str">
        <f t="shared" si="0"/>
        <v/>
      </c>
      <c r="D31" s="34" t="str">
        <f>IFERROR(INDEX(PRENOTAZIONI!$E:$E,SMALL(PRENOTAZIONI!$AF:$AF,28)),"")</f>
        <v/>
      </c>
      <c r="E31" s="34" t="str">
        <f>IFERROR(INDEX(PRENOTAZIONI!$F:$F,SMALL(PRENOTAZIONI!$AF:$AF,28)),"")</f>
        <v/>
      </c>
      <c r="F31" s="34" t="str">
        <f>IFERROR(INDEX(PRENOTAZIONI!$G:$G,SMALL(PRENOTAZIONI!$AF:$AF,28)),"")</f>
        <v/>
      </c>
      <c r="G31" s="35" t="str">
        <f>IFERROR(INDEX(PRENOTAZIONI!$H:$H,SMALL(PRENOTAZIONI!$AF:$AF,28)),"")</f>
        <v/>
      </c>
      <c r="H31" s="86" t="str">
        <f t="shared" si="1"/>
        <v/>
      </c>
      <c r="I31" s="35" t="str">
        <f t="shared" si="2"/>
        <v/>
      </c>
      <c r="J31" s="149" t="str">
        <f t="shared" si="9"/>
        <v/>
      </c>
      <c r="K31" s="34" t="str">
        <f>IFERROR(INDEX(PRENOTAZIONI!$K:$K,SMALL(PRENOTAZIONI!$AF:$AF,28)),"")</f>
        <v/>
      </c>
      <c r="L31" s="35" t="str">
        <f>IFERROR(INDEX(PRENOTAZIONI!$L:$L,SMALL(PRENOTAZIONI!$AF:$AF,28)),"")</f>
        <v/>
      </c>
      <c r="M31" s="150" t="str">
        <f t="shared" si="3"/>
        <v/>
      </c>
      <c r="N31" s="35" t="str">
        <f t="shared" si="4"/>
        <v/>
      </c>
      <c r="O31" s="35"/>
      <c r="P31" s="43"/>
      <c r="Q31" s="150" t="str">
        <f t="shared" si="5"/>
        <v/>
      </c>
      <c r="R31" s="34" t="str">
        <f>IFERROR(INDEX(PRENOTAZIONI!$R:$R,SMALL(PRENOTAZIONI!$AF:$AF,28)),"")</f>
        <v/>
      </c>
      <c r="S31" s="31"/>
      <c r="T31" s="80" t="str">
        <f>IFERROR(INDEX(PRENOTAZIONI!$A:$A,SMALL(PRENOTAZIONI!$AH:$AH,28)),"")</f>
        <v/>
      </c>
      <c r="U31" s="31" t="str">
        <f>IFERROR(INDEX(PRENOTAZIONI!$B:$B,SMALL(PRENOTAZIONI!$AH:$AH,28)),"")</f>
        <v/>
      </c>
      <c r="V31" s="32" t="str">
        <f t="shared" si="6"/>
        <v/>
      </c>
      <c r="W31" s="34" t="str">
        <f>IFERROR(INDEX(PRENOTAZIONI!$E:$E,SMALL(PRENOTAZIONI!$AH:$AH,28)),"")</f>
        <v/>
      </c>
      <c r="X31" s="34" t="str">
        <f>IFERROR(INDEX(PRENOTAZIONI!$F:$F,SMALL(PRENOTAZIONI!$AH:$AH,28)),"")</f>
        <v/>
      </c>
      <c r="Y31" s="35" t="str">
        <f>IFERROR(INDEX(PRENOTAZIONI!$H:$H,SMALL(PRENOTAZIONI!$AH:$AH,28)),"")</f>
        <v/>
      </c>
      <c r="Z31" s="34" t="str">
        <f>IFERROR(INDEX(PRENOTAZIONI!$K:$K,SMALL(PRENOTAZIONI!$AH:$AH,28)),"")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IFERROR(INDEX(PRENOTAZIONI!$A:$A,SMALL(PRENOTAZIONI!$AF:$AF,29)),"")</f>
        <v/>
      </c>
      <c r="B32" s="31" t="str">
        <f>IFERROR(INDEX(PRENOTAZIONI!$B:$B,SMALL(PRENOTAZIONI!$AF:$AF,29)),"")</f>
        <v/>
      </c>
      <c r="C32" s="32" t="str">
        <f t="shared" si="0"/>
        <v/>
      </c>
      <c r="D32" s="34" t="str">
        <f>IFERROR(INDEX(PRENOTAZIONI!$E:$E,SMALL(PRENOTAZIONI!$AF:$AF,29)),"")</f>
        <v/>
      </c>
      <c r="E32" s="34" t="str">
        <f>IFERROR(INDEX(PRENOTAZIONI!$F:$F,SMALL(PRENOTAZIONI!$AF:$AF,29)),"")</f>
        <v/>
      </c>
      <c r="F32" s="34" t="str">
        <f>IFERROR(INDEX(PRENOTAZIONI!$G:$G,SMALL(PRENOTAZIONI!$AF:$AF,29)),"")</f>
        <v/>
      </c>
      <c r="G32" s="35" t="str">
        <f>IFERROR(INDEX(PRENOTAZIONI!$H:$H,SMALL(PRENOTAZIONI!$AF:$AF,29)),"")</f>
        <v/>
      </c>
      <c r="H32" s="86" t="str">
        <f t="shared" si="1"/>
        <v/>
      </c>
      <c r="I32" s="35" t="str">
        <f t="shared" si="2"/>
        <v/>
      </c>
      <c r="J32" s="149" t="str">
        <f t="shared" si="9"/>
        <v/>
      </c>
      <c r="K32" s="34" t="str">
        <f>IFERROR(INDEX(PRENOTAZIONI!$K:$K,SMALL(PRENOTAZIONI!$AF:$AF,29)),"")</f>
        <v/>
      </c>
      <c r="L32" s="35" t="str">
        <f>IFERROR(INDEX(PRENOTAZIONI!$L:$L,SMALL(PRENOTAZIONI!$AF:$AF,29)),"")</f>
        <v/>
      </c>
      <c r="M32" s="150" t="str">
        <f t="shared" si="3"/>
        <v/>
      </c>
      <c r="N32" s="35" t="str">
        <f t="shared" si="4"/>
        <v/>
      </c>
      <c r="O32" s="35"/>
      <c r="P32" s="43"/>
      <c r="Q32" s="150" t="str">
        <f t="shared" si="5"/>
        <v/>
      </c>
      <c r="R32" s="34" t="str">
        <f>IFERROR(INDEX(PRENOTAZIONI!$R:$R,SMALL(PRENOTAZIONI!$AF:$AF,29)),"")</f>
        <v/>
      </c>
      <c r="S32" s="31"/>
      <c r="T32" s="80" t="str">
        <f>IFERROR(INDEX(PRENOTAZIONI!$A:$A,SMALL(PRENOTAZIONI!$AH:$AH,29)),"")</f>
        <v/>
      </c>
      <c r="U32" s="31" t="str">
        <f>IFERROR(INDEX(PRENOTAZIONI!$B:$B,SMALL(PRENOTAZIONI!$AH:$AH,29)),"")</f>
        <v/>
      </c>
      <c r="V32" s="32" t="str">
        <f t="shared" si="6"/>
        <v/>
      </c>
      <c r="W32" s="34" t="str">
        <f>IFERROR(INDEX(PRENOTAZIONI!$E:$E,SMALL(PRENOTAZIONI!$AH:$AH,29)),"")</f>
        <v/>
      </c>
      <c r="X32" s="34" t="str">
        <f>IFERROR(INDEX(PRENOTAZIONI!$F:$F,SMALL(PRENOTAZIONI!$AH:$AH,29)),"")</f>
        <v/>
      </c>
      <c r="Y32" s="35" t="str">
        <f>IFERROR(INDEX(PRENOTAZIONI!$H:$H,SMALL(PRENOTAZIONI!$AH:$AH,29)),"")</f>
        <v/>
      </c>
      <c r="Z32" s="34" t="str">
        <f>IFERROR(INDEX(PRENOTAZIONI!$K:$K,SMALL(PRENOTAZIONI!$AH:$AH,29)),"")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IFERROR(INDEX(PRENOTAZIONI!$A:$A,SMALL(PRENOTAZIONI!$AF:$AF,30)),"")</f>
        <v/>
      </c>
      <c r="B33" s="31" t="str">
        <f>IFERROR(INDEX(PRENOTAZIONI!$B:$B,SMALL(PRENOTAZIONI!$AF:$AF,30)),"")</f>
        <v/>
      </c>
      <c r="C33" s="32" t="str">
        <f t="shared" si="0"/>
        <v/>
      </c>
      <c r="D33" s="34" t="str">
        <f>IFERROR(INDEX(PRENOTAZIONI!$E:$E,SMALL(PRENOTAZIONI!$AF:$AF,30)),"")</f>
        <v/>
      </c>
      <c r="E33" s="34" t="str">
        <f>IFERROR(INDEX(PRENOTAZIONI!$F:$F,SMALL(PRENOTAZIONI!$AF:$AF,30)),"")</f>
        <v/>
      </c>
      <c r="F33" s="34" t="str">
        <f>IFERROR(INDEX(PRENOTAZIONI!$G:$G,SMALL(PRENOTAZIONI!$AF:$AF,30)),"")</f>
        <v/>
      </c>
      <c r="G33" s="35" t="str">
        <f>IFERROR(INDEX(PRENOTAZIONI!$H:$H,SMALL(PRENOTAZIONI!$AF:$AF,30)),"")</f>
        <v/>
      </c>
      <c r="H33" s="86" t="str">
        <f t="shared" si="1"/>
        <v/>
      </c>
      <c r="I33" s="35" t="str">
        <f t="shared" si="2"/>
        <v/>
      </c>
      <c r="J33" s="149" t="str">
        <f t="shared" si="9"/>
        <v/>
      </c>
      <c r="K33" s="34" t="str">
        <f>IFERROR(INDEX(PRENOTAZIONI!$K:$K,SMALL(PRENOTAZIONI!$AF:$AF,30)),"")</f>
        <v/>
      </c>
      <c r="L33" s="35" t="str">
        <f>IFERROR(INDEX(PRENOTAZIONI!$L:$L,SMALL(PRENOTAZIONI!$AF:$AF,30)),"")</f>
        <v/>
      </c>
      <c r="M33" s="150" t="str">
        <f t="shared" si="3"/>
        <v/>
      </c>
      <c r="N33" s="35" t="str">
        <f t="shared" si="4"/>
        <v/>
      </c>
      <c r="O33" s="35"/>
      <c r="P33" s="43"/>
      <c r="Q33" s="150" t="str">
        <f t="shared" si="5"/>
        <v/>
      </c>
      <c r="R33" s="34" t="str">
        <f>IFERROR(INDEX(PRENOTAZIONI!$R:$R,SMALL(PRENOTAZIONI!$AF:$AF,30)),"")</f>
        <v/>
      </c>
      <c r="S33" s="48"/>
      <c r="T33" s="80" t="str">
        <f>IFERROR(INDEX(PRENOTAZIONI!$A:$A,SMALL(PRENOTAZIONI!$AH:$AH,30)),"")</f>
        <v/>
      </c>
      <c r="U33" s="31" t="str">
        <f>IFERROR(INDEX(PRENOTAZIONI!$B:$B,SMALL(PRENOTAZIONI!$AH:$AH,30)),"")</f>
        <v/>
      </c>
      <c r="V33" s="32" t="str">
        <f t="shared" si="6"/>
        <v/>
      </c>
      <c r="W33" s="34" t="str">
        <f>IFERROR(INDEX(PRENOTAZIONI!$E:$E,SMALL(PRENOTAZIONI!$AH:$AH,30)),"")</f>
        <v/>
      </c>
      <c r="X33" s="34" t="str">
        <f>IFERROR(INDEX(PRENOTAZIONI!$F:$F,SMALL(PRENOTAZIONI!$AH:$AH,30)),"")</f>
        <v/>
      </c>
      <c r="Y33" s="35" t="str">
        <f>IFERROR(INDEX(PRENOTAZIONI!$H:$H,SMALL(PRENOTAZIONI!$AH:$AH,30)),"")</f>
        <v/>
      </c>
      <c r="Z33" s="34" t="str">
        <f>IFERROR(INDEX(PRENOTAZIONI!$K:$K,SMALL(PRENOTAZIONI!$AH:$AH,30)),"")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IFERROR(INDEX(PRENOTAZIONI!$A:$A,SMALL(PRENOTAZIONI!$AF:$AF,31)),"")</f>
        <v/>
      </c>
      <c r="B34" s="31" t="str">
        <f>IFERROR(INDEX(PRENOTAZIONI!$B:$B,SMALL(PRENOTAZIONI!$AF:$AF,31)),"")</f>
        <v/>
      </c>
      <c r="C34" s="32" t="str">
        <f t="shared" si="0"/>
        <v/>
      </c>
      <c r="D34" s="34" t="str">
        <f>IFERROR(INDEX(PRENOTAZIONI!$E:$E,SMALL(PRENOTAZIONI!$AF:$AF,31)),"")</f>
        <v/>
      </c>
      <c r="E34" s="34" t="str">
        <f>IFERROR(INDEX(PRENOTAZIONI!$F:$F,SMALL(PRENOTAZIONI!$AF:$AF,31)),"")</f>
        <v/>
      </c>
      <c r="F34" s="34" t="str">
        <f>IFERROR(INDEX(PRENOTAZIONI!$G:$G,SMALL(PRENOTAZIONI!$AF:$AF,31)),"")</f>
        <v/>
      </c>
      <c r="G34" s="35" t="str">
        <f>IFERROR(INDEX(PRENOTAZIONI!$H:$H,SMALL(PRENOTAZIONI!$AF:$AF,31)),"")</f>
        <v/>
      </c>
      <c r="H34" s="86" t="str">
        <f t="shared" si="1"/>
        <v/>
      </c>
      <c r="I34" s="35" t="str">
        <f t="shared" si="2"/>
        <v/>
      </c>
      <c r="J34" s="149" t="str">
        <f t="shared" si="9"/>
        <v/>
      </c>
      <c r="K34" s="34" t="str">
        <f>IFERROR(INDEX(PRENOTAZIONI!$K:$K,SMALL(PRENOTAZIONI!$AF:$AF,31)),"")</f>
        <v/>
      </c>
      <c r="L34" s="35" t="str">
        <f>IFERROR(INDEX(PRENOTAZIONI!$L:$L,SMALL(PRENOTAZIONI!$AF:$AF,31)),"")</f>
        <v/>
      </c>
      <c r="M34" s="150" t="str">
        <f t="shared" si="3"/>
        <v/>
      </c>
      <c r="N34" s="35" t="str">
        <f t="shared" si="4"/>
        <v/>
      </c>
      <c r="O34" s="35"/>
      <c r="P34" s="43"/>
      <c r="Q34" s="150" t="str">
        <f t="shared" si="5"/>
        <v/>
      </c>
      <c r="R34" s="47" t="str">
        <f>IFERROR(INDEX(PRENOTAZIONI!$R:$R,SMALL(PRENOTAZIONI!$AF:$AF,31)),"")</f>
        <v/>
      </c>
      <c r="S34" s="49"/>
      <c r="T34" s="84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IFERROR(INDEX(PRENOTAZIONI!$A:$A,SMALL(PRENOTAZIONI!$AF:$AF,32)),"")</f>
        <v/>
      </c>
      <c r="B35" s="31" t="str">
        <f>IFERROR(INDEX(PRENOTAZIONI!$B:$B,SMALL(PRENOTAZIONI!$AF:$AF,32)),"")</f>
        <v/>
      </c>
      <c r="C35" s="32" t="str">
        <f t="shared" si="0"/>
        <v/>
      </c>
      <c r="D35" s="34" t="str">
        <f>IFERROR(INDEX(PRENOTAZIONI!$E:$E,SMALL(PRENOTAZIONI!$AF:$AF,32)),"")</f>
        <v/>
      </c>
      <c r="E35" s="34" t="str">
        <f>IFERROR(INDEX(PRENOTAZIONI!$F:$F,SMALL(PRENOTAZIONI!$AF:$AF,32)),"")</f>
        <v/>
      </c>
      <c r="F35" s="34" t="str">
        <f>IFERROR(INDEX(PRENOTAZIONI!$G:$G,SMALL(PRENOTAZIONI!$AF:$AF,32)),"")</f>
        <v/>
      </c>
      <c r="G35" s="35" t="str">
        <f>IFERROR(INDEX(PRENOTAZIONI!$H:$H,SMALL(PRENOTAZIONI!$AF:$AF,32)),"")</f>
        <v/>
      </c>
      <c r="H35" s="86" t="str">
        <f t="shared" si="1"/>
        <v/>
      </c>
      <c r="I35" s="35" t="str">
        <f t="shared" si="2"/>
        <v/>
      </c>
      <c r="J35" s="149" t="str">
        <f t="shared" si="9"/>
        <v/>
      </c>
      <c r="K35" s="34" t="str">
        <f>IFERROR(INDEX(PRENOTAZIONI!$K:$K,SMALL(PRENOTAZIONI!$AF:$AF,32)),"")</f>
        <v/>
      </c>
      <c r="L35" s="35" t="str">
        <f>IFERROR(INDEX(PRENOTAZIONI!$L:$L,SMALL(PRENOTAZIONI!$AF:$AF,32)),"")</f>
        <v/>
      </c>
      <c r="M35" s="150" t="str">
        <f t="shared" si="3"/>
        <v/>
      </c>
      <c r="N35" s="35" t="str">
        <f t="shared" si="4"/>
        <v/>
      </c>
      <c r="O35" s="35"/>
      <c r="P35" s="43"/>
      <c r="Q35" s="150" t="str">
        <f t="shared" si="5"/>
        <v/>
      </c>
      <c r="R35" s="34" t="str">
        <f>IFERROR(INDEX(PRENOTAZIONI!$R:$R,SMALL(PRENOTAZIONI!$AF:$AF,32)),"")</f>
        <v/>
      </c>
      <c r="T35" s="77"/>
    </row>
    <row r="36" spans="1:30" ht="22" customHeight="1" x14ac:dyDescent="0.25">
      <c r="A36" s="31" t="str">
        <f>IFERROR(INDEX(PRENOTAZIONI!$A:$A,SMALL(PRENOTAZIONI!$AF:$AF,33)),"")</f>
        <v/>
      </c>
      <c r="B36" s="31" t="str">
        <f>IFERROR(INDEX(PRENOTAZIONI!$B:$B,SMALL(PRENOTAZIONI!$AF:$AF,33)),"")</f>
        <v/>
      </c>
      <c r="C36" s="32" t="str">
        <f t="shared" ref="C36:C63" si="11">IF(A36&lt;&gt;"",B36-A36,"")</f>
        <v/>
      </c>
      <c r="D36" s="34" t="str">
        <f>IFERROR(INDEX(PRENOTAZIONI!$E:$E,SMALL(PRENOTAZIONI!$AF:$AF,33)),"")</f>
        <v/>
      </c>
      <c r="E36" s="34" t="str">
        <f>IFERROR(INDEX(PRENOTAZIONI!$F:$F,SMALL(PRENOTAZIONI!$AF:$AF,33)),"")</f>
        <v/>
      </c>
      <c r="F36" s="34" t="str">
        <f>IFERROR(INDEX(PRENOTAZIONI!$G:$G,SMALL(PRENOTAZIONI!$AF:$AF,33)),"")</f>
        <v/>
      </c>
      <c r="G36" s="35" t="str">
        <f>IFERROR(INDEX(PRENOTAZIONI!$H:$H,SMALL(PRENOTAZIONI!$AF:$AF,33)),"")</f>
        <v/>
      </c>
      <c r="H36" s="86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si="9"/>
        <v/>
      </c>
      <c r="K36" s="34" t="str">
        <f>IFERROR(INDEX(PRENOTAZIONI!$K:$K,SMALL(PRENOTAZIONI!$AF:$AF,33)),"")</f>
        <v/>
      </c>
      <c r="L36" s="35" t="str">
        <f>IFERROR(INDEX(PRENOTAZIONI!$L:$L,SMALL(PRENOTAZIONI!$AF:$AF,33)),"")</f>
        <v/>
      </c>
      <c r="M36" s="150" t="str">
        <f t="shared" ref="M36:M63" si="14">IF(G36&lt;&gt;"",G36*0.21,"")</f>
        <v/>
      </c>
      <c r="N36" s="35" t="str">
        <f t="shared" ref="N36:N63" si="15">IF(G36&lt;&gt;"",G36*0.25,"")</f>
        <v/>
      </c>
      <c r="O36" s="35"/>
      <c r="P36" s="43"/>
      <c r="Q36" s="150" t="str">
        <f t="shared" ref="Q36:Q63" si="16">IF(G36&lt;&gt;"",G36-I36-J36-M36-N36-O36,"")</f>
        <v/>
      </c>
      <c r="R36" s="34" t="str">
        <f>IFERROR(INDEX(PRENOTAZIONI!$R:$R,SMALL(PRENOTAZIONI!$AF:$AF,33)),"")</f>
        <v/>
      </c>
      <c r="T36" s="77"/>
    </row>
    <row r="37" spans="1:30" ht="22" customHeight="1" x14ac:dyDescent="0.25">
      <c r="A37" s="31" t="str">
        <f>IFERROR(INDEX(PRENOTAZIONI!$A:$A,SMALL(PRENOTAZIONI!$AF:$AF,34)),"")</f>
        <v/>
      </c>
      <c r="B37" s="31" t="str">
        <f>IFERROR(INDEX(PRENOTAZIONI!$B:$B,SMALL(PRENOTAZIONI!$AF:$AF,34)),"")</f>
        <v/>
      </c>
      <c r="C37" s="32" t="str">
        <f t="shared" si="11"/>
        <v/>
      </c>
      <c r="D37" s="34" t="str">
        <f>IFERROR(INDEX(PRENOTAZIONI!$E:$E,SMALL(PRENOTAZIONI!$AF:$AF,34)),"")</f>
        <v/>
      </c>
      <c r="E37" s="34" t="str">
        <f>IFERROR(INDEX(PRENOTAZIONI!$F:$F,SMALL(PRENOTAZIONI!$AF:$AF,34)),"")</f>
        <v/>
      </c>
      <c r="F37" s="34" t="str">
        <f>IFERROR(INDEX(PRENOTAZIONI!$G:$G,SMALL(PRENOTAZIONI!$AF:$AF,34)),"")</f>
        <v/>
      </c>
      <c r="G37" s="35" t="str">
        <f>IFERROR(INDEX(PRENOTAZIONI!$H:$H,SMALL(PRENOTAZIONI!$AF:$AF,34)),"")</f>
        <v/>
      </c>
      <c r="H37" s="86" t="str">
        <f t="shared" si="12"/>
        <v/>
      </c>
      <c r="I37" s="35" t="str">
        <f t="shared" si="13"/>
        <v/>
      </c>
      <c r="J37" s="149" t="str">
        <f t="shared" si="9"/>
        <v/>
      </c>
      <c r="K37" s="34" t="str">
        <f>IFERROR(INDEX(PRENOTAZIONI!$K:$K,SMALL(PRENOTAZIONI!$AF:$AF,34)),"")</f>
        <v/>
      </c>
      <c r="L37" s="35" t="str">
        <f>IFERROR(INDEX(PRENOTAZIONI!$L:$L,SMALL(PRENOTAZIONI!$AF:$AF,34)),"")</f>
        <v/>
      </c>
      <c r="M37" s="150" t="str">
        <f t="shared" si="14"/>
        <v/>
      </c>
      <c r="N37" s="35" t="str">
        <f t="shared" si="15"/>
        <v/>
      </c>
      <c r="O37" s="35"/>
      <c r="P37" s="43"/>
      <c r="Q37" s="150" t="str">
        <f t="shared" si="16"/>
        <v/>
      </c>
      <c r="R37" s="34" t="str">
        <f>IFERROR(INDEX(PRENOTAZIONI!$R:$R,SMALL(PRENOTAZIONI!$AF:$AF,34)),"")</f>
        <v/>
      </c>
      <c r="T37" s="77"/>
    </row>
    <row r="38" spans="1:30" ht="22" customHeight="1" x14ac:dyDescent="0.25">
      <c r="A38" s="31" t="str">
        <f>IFERROR(INDEX(PRENOTAZIONI!$A:$A,SMALL(PRENOTAZIONI!$AF:$AF,35)),"")</f>
        <v/>
      </c>
      <c r="B38" s="31" t="str">
        <f>IFERROR(INDEX(PRENOTAZIONI!$B:$B,SMALL(PRENOTAZIONI!$AF:$AF,35)),"")</f>
        <v/>
      </c>
      <c r="C38" s="32" t="str">
        <f t="shared" si="11"/>
        <v/>
      </c>
      <c r="D38" s="34" t="str">
        <f>IFERROR(INDEX(PRENOTAZIONI!$E:$E,SMALL(PRENOTAZIONI!$AF:$AF,35)),"")</f>
        <v/>
      </c>
      <c r="E38" s="34" t="str">
        <f>IFERROR(INDEX(PRENOTAZIONI!$F:$F,SMALL(PRENOTAZIONI!$AF:$AF,35)),"")</f>
        <v/>
      </c>
      <c r="F38" s="34" t="str">
        <f>IFERROR(INDEX(PRENOTAZIONI!$G:$G,SMALL(PRENOTAZIONI!$AF:$AF,35)),"")</f>
        <v/>
      </c>
      <c r="G38" s="35" t="str">
        <f>IFERROR(INDEX(PRENOTAZIONI!$H:$H,SMALL(PRENOTAZIONI!$AF:$AF,35)),"")</f>
        <v/>
      </c>
      <c r="H38" s="86" t="str">
        <f t="shared" si="12"/>
        <v/>
      </c>
      <c r="I38" s="35" t="str">
        <f t="shared" si="13"/>
        <v/>
      </c>
      <c r="J38" s="149" t="str">
        <f t="shared" ref="J38:J63" si="17">IF(H38&lt;&gt;"",H38*0.22,"")</f>
        <v/>
      </c>
      <c r="K38" s="34" t="str">
        <f>IFERROR(INDEX(PRENOTAZIONI!$K:$K,SMALL(PRENOTAZIONI!$AF:$AF,35)),"")</f>
        <v/>
      </c>
      <c r="L38" s="35" t="str">
        <f>IFERROR(INDEX(PRENOTAZIONI!$L:$L,SMALL(PRENOTAZIONI!$AF:$AF,35)),"")</f>
        <v/>
      </c>
      <c r="M38" s="150" t="str">
        <f t="shared" si="14"/>
        <v/>
      </c>
      <c r="N38" s="35" t="str">
        <f t="shared" si="15"/>
        <v/>
      </c>
      <c r="O38" s="35"/>
      <c r="P38" s="43"/>
      <c r="Q38" s="150" t="str">
        <f t="shared" si="16"/>
        <v/>
      </c>
      <c r="R38" s="34" t="str">
        <f>IFERROR(INDEX(PRENOTAZIONI!$R:$R,SMALL(PRENOTAZIONI!$AF:$AF,35)),"")</f>
        <v/>
      </c>
      <c r="T38" s="77"/>
    </row>
    <row r="39" spans="1:30" ht="22" customHeight="1" x14ac:dyDescent="0.25">
      <c r="A39" s="31" t="str">
        <f>IFERROR(INDEX(PRENOTAZIONI!$A:$A,SMALL(PRENOTAZIONI!$AF:$AF,36)),"")</f>
        <v/>
      </c>
      <c r="B39" s="31" t="str">
        <f>IFERROR(INDEX(PRENOTAZIONI!$B:$B,SMALL(PRENOTAZIONI!$AF:$AF,36)),"")</f>
        <v/>
      </c>
      <c r="C39" s="32" t="str">
        <f t="shared" si="11"/>
        <v/>
      </c>
      <c r="D39" s="34" t="str">
        <f>IFERROR(INDEX(PRENOTAZIONI!$E:$E,SMALL(PRENOTAZIONI!$AF:$AF,36)),"")</f>
        <v/>
      </c>
      <c r="E39" s="34" t="str">
        <f>IFERROR(INDEX(PRENOTAZIONI!$F:$F,SMALL(PRENOTAZIONI!$AF:$AF,36)),"")</f>
        <v/>
      </c>
      <c r="F39" s="34" t="str">
        <f>IFERROR(INDEX(PRENOTAZIONI!$G:$G,SMALL(PRENOTAZIONI!$AF:$AF,36)),"")</f>
        <v/>
      </c>
      <c r="G39" s="35" t="str">
        <f>IFERROR(INDEX(PRENOTAZIONI!$H:$H,SMALL(PRENOTAZIONI!$AF:$AF,36)),"")</f>
        <v/>
      </c>
      <c r="H39" s="86" t="str">
        <f t="shared" si="12"/>
        <v/>
      </c>
      <c r="I39" s="35" t="str">
        <f t="shared" si="13"/>
        <v/>
      </c>
      <c r="J39" s="149" t="str">
        <f t="shared" si="17"/>
        <v/>
      </c>
      <c r="K39" s="34" t="str">
        <f>IFERROR(INDEX(PRENOTAZIONI!$K:$K,SMALL(PRENOTAZIONI!$AF:$AF,36)),"")</f>
        <v/>
      </c>
      <c r="L39" s="35" t="str">
        <f>IFERROR(INDEX(PRENOTAZIONI!$L:$L,SMALL(PRENOTAZIONI!$AF:$AF,36)),"")</f>
        <v/>
      </c>
      <c r="M39" s="150" t="str">
        <f t="shared" si="14"/>
        <v/>
      </c>
      <c r="N39" s="35" t="str">
        <f t="shared" si="15"/>
        <v/>
      </c>
      <c r="O39" s="35"/>
      <c r="P39" s="43"/>
      <c r="Q39" s="150" t="str">
        <f t="shared" si="16"/>
        <v/>
      </c>
      <c r="R39" s="34" t="str">
        <f>IFERROR(INDEX(PRENOTAZIONI!$R:$R,SMALL(PRENOTAZIONI!$AF:$AF,36)),"")</f>
        <v/>
      </c>
      <c r="T39" s="77"/>
    </row>
    <row r="40" spans="1:30" ht="22" customHeight="1" x14ac:dyDescent="0.25">
      <c r="A40" s="31" t="str">
        <f>IFERROR(INDEX(PRENOTAZIONI!$A:$A,SMALL(PRENOTAZIONI!$AF:$AF,37)),"")</f>
        <v/>
      </c>
      <c r="B40" s="31" t="str">
        <f>IFERROR(INDEX(PRENOTAZIONI!$B:$B,SMALL(PRENOTAZIONI!$AF:$AF,37)),"")</f>
        <v/>
      </c>
      <c r="C40" s="32" t="str">
        <f t="shared" si="11"/>
        <v/>
      </c>
      <c r="D40" s="34" t="str">
        <f>IFERROR(INDEX(PRENOTAZIONI!$E:$E,SMALL(PRENOTAZIONI!$AF:$AF,37)),"")</f>
        <v/>
      </c>
      <c r="E40" s="34" t="str">
        <f>IFERROR(INDEX(PRENOTAZIONI!$F:$F,SMALL(PRENOTAZIONI!$AF:$AF,37)),"")</f>
        <v/>
      </c>
      <c r="F40" s="34" t="str">
        <f>IFERROR(INDEX(PRENOTAZIONI!$G:$G,SMALL(PRENOTAZIONI!$AF:$AF,37)),"")</f>
        <v/>
      </c>
      <c r="G40" s="35" t="str">
        <f>IFERROR(INDEX(PRENOTAZIONI!$H:$H,SMALL(PRENOTAZIONI!$AF:$AF,37)),"")</f>
        <v/>
      </c>
      <c r="H40" s="86" t="str">
        <f t="shared" si="12"/>
        <v/>
      </c>
      <c r="I40" s="35" t="str">
        <f t="shared" si="13"/>
        <v/>
      </c>
      <c r="J40" s="149" t="str">
        <f t="shared" si="17"/>
        <v/>
      </c>
      <c r="K40" s="34" t="str">
        <f>IFERROR(INDEX(PRENOTAZIONI!$K:$K,SMALL(PRENOTAZIONI!$AF:$AF,37)),"")</f>
        <v/>
      </c>
      <c r="L40" s="35" t="str">
        <f>IFERROR(INDEX(PRENOTAZIONI!$L:$L,SMALL(PRENOTAZIONI!$AF:$AF,37)),"")</f>
        <v/>
      </c>
      <c r="M40" s="150" t="str">
        <f t="shared" si="14"/>
        <v/>
      </c>
      <c r="N40" s="35" t="str">
        <f t="shared" si="15"/>
        <v/>
      </c>
      <c r="O40" s="35"/>
      <c r="P40" s="43"/>
      <c r="Q40" s="150" t="str">
        <f t="shared" si="16"/>
        <v/>
      </c>
      <c r="R40" s="34" t="str">
        <f>IFERROR(INDEX(PRENOTAZIONI!$R:$R,SMALL(PRENOTAZIONI!$AF:$AF,37)),"")</f>
        <v/>
      </c>
      <c r="T40" s="77"/>
    </row>
    <row r="41" spans="1:30" ht="22" customHeight="1" x14ac:dyDescent="0.25">
      <c r="A41" s="31" t="str">
        <f>IFERROR(INDEX(PRENOTAZIONI!$A:$A,SMALL(PRENOTAZIONI!$AF:$AF,38)),"")</f>
        <v/>
      </c>
      <c r="B41" s="31" t="str">
        <f>IFERROR(INDEX(PRENOTAZIONI!$B:$B,SMALL(PRENOTAZIONI!$AF:$AF,38)),"")</f>
        <v/>
      </c>
      <c r="C41" s="32" t="str">
        <f t="shared" si="11"/>
        <v/>
      </c>
      <c r="D41" s="34" t="str">
        <f>IFERROR(INDEX(PRENOTAZIONI!$E:$E,SMALL(PRENOTAZIONI!$AF:$AF,38)),"")</f>
        <v/>
      </c>
      <c r="E41" s="34" t="str">
        <f>IFERROR(INDEX(PRENOTAZIONI!$F:$F,SMALL(PRENOTAZIONI!$AF:$AF,38)),"")</f>
        <v/>
      </c>
      <c r="F41" s="34" t="str">
        <f>IFERROR(INDEX(PRENOTAZIONI!$G:$G,SMALL(PRENOTAZIONI!$AF:$AF,38)),"")</f>
        <v/>
      </c>
      <c r="G41" s="35" t="str">
        <f>IFERROR(INDEX(PRENOTAZIONI!$H:$H,SMALL(PRENOTAZIONI!$AF:$AF,38)),"")</f>
        <v/>
      </c>
      <c r="H41" s="86" t="str">
        <f t="shared" si="12"/>
        <v/>
      </c>
      <c r="I41" s="35" t="str">
        <f t="shared" si="13"/>
        <v/>
      </c>
      <c r="J41" s="149" t="str">
        <f t="shared" si="17"/>
        <v/>
      </c>
      <c r="K41" s="34" t="str">
        <f>IFERROR(INDEX(PRENOTAZIONI!$K:$K,SMALL(PRENOTAZIONI!$AF:$AF,38)),"")</f>
        <v/>
      </c>
      <c r="L41" s="35" t="str">
        <f>IFERROR(INDEX(PRENOTAZIONI!$L:$L,SMALL(PRENOTAZIONI!$AF:$AF,38)),"")</f>
        <v/>
      </c>
      <c r="M41" s="150" t="str">
        <f t="shared" si="14"/>
        <v/>
      </c>
      <c r="N41" s="35" t="str">
        <f t="shared" si="15"/>
        <v/>
      </c>
      <c r="O41" s="35"/>
      <c r="P41" s="43"/>
      <c r="Q41" s="150" t="str">
        <f t="shared" si="16"/>
        <v/>
      </c>
      <c r="R41" s="34" t="str">
        <f>IFERROR(INDEX(PRENOTAZIONI!$R:$R,SMALL(PRENOTAZIONI!$AF:$AF,38)),"")</f>
        <v/>
      </c>
      <c r="T41" s="77"/>
    </row>
    <row r="42" spans="1:30" ht="22" customHeight="1" x14ac:dyDescent="0.25">
      <c r="A42" s="31" t="str">
        <f>IFERROR(INDEX(PRENOTAZIONI!$A:$A,SMALL(PRENOTAZIONI!$AF:$AF,39)),"")</f>
        <v/>
      </c>
      <c r="B42" s="31" t="str">
        <f>IFERROR(INDEX(PRENOTAZIONI!$B:$B,SMALL(PRENOTAZIONI!$AF:$AF,39)),"")</f>
        <v/>
      </c>
      <c r="C42" s="32" t="str">
        <f t="shared" si="11"/>
        <v/>
      </c>
      <c r="D42" s="34" t="str">
        <f>IFERROR(INDEX(PRENOTAZIONI!$E:$E,SMALL(PRENOTAZIONI!$AF:$AF,39)),"")</f>
        <v/>
      </c>
      <c r="E42" s="34" t="str">
        <f>IFERROR(INDEX(PRENOTAZIONI!$F:$F,SMALL(PRENOTAZIONI!$AF:$AF,39)),"")</f>
        <v/>
      </c>
      <c r="F42" s="34" t="str">
        <f>IFERROR(INDEX(PRENOTAZIONI!$G:$G,SMALL(PRENOTAZIONI!$AF:$AF,39)),"")</f>
        <v/>
      </c>
      <c r="G42" s="35" t="str">
        <f>IFERROR(INDEX(PRENOTAZIONI!$H:$H,SMALL(PRENOTAZIONI!$AF:$AF,39)),"")</f>
        <v/>
      </c>
      <c r="H42" s="86" t="str">
        <f t="shared" si="12"/>
        <v/>
      </c>
      <c r="I42" s="35" t="str">
        <f t="shared" si="13"/>
        <v/>
      </c>
      <c r="J42" s="149" t="str">
        <f t="shared" si="17"/>
        <v/>
      </c>
      <c r="K42" s="34" t="str">
        <f>IFERROR(INDEX(PRENOTAZIONI!$K:$K,SMALL(PRENOTAZIONI!$AF:$AF,39)),"")</f>
        <v/>
      </c>
      <c r="L42" s="35" t="str">
        <f>IFERROR(INDEX(PRENOTAZIONI!$L:$L,SMALL(PRENOTAZIONI!$AF:$AF,39)),"")</f>
        <v/>
      </c>
      <c r="M42" s="150" t="str">
        <f t="shared" si="14"/>
        <v/>
      </c>
      <c r="N42" s="35" t="str">
        <f t="shared" si="15"/>
        <v/>
      </c>
      <c r="O42" s="35"/>
      <c r="P42" s="43"/>
      <c r="Q42" s="150" t="str">
        <f t="shared" si="16"/>
        <v/>
      </c>
      <c r="R42" s="34" t="str">
        <f>IFERROR(INDEX(PRENOTAZIONI!$R:$R,SMALL(PRENOTAZIONI!$AF:$AF,39)),"")</f>
        <v/>
      </c>
      <c r="T42" s="77"/>
    </row>
    <row r="43" spans="1:30" ht="22" customHeight="1" x14ac:dyDescent="0.25">
      <c r="A43" s="31" t="str">
        <f>IFERROR(INDEX(PRENOTAZIONI!$A:$A,SMALL(PRENOTAZIONI!$AF:$AF,40)),"")</f>
        <v/>
      </c>
      <c r="B43" s="31" t="str">
        <f>IFERROR(INDEX(PRENOTAZIONI!$B:$B,SMALL(PRENOTAZIONI!$AF:$AF,40)),"")</f>
        <v/>
      </c>
      <c r="C43" s="32" t="str">
        <f t="shared" si="11"/>
        <v/>
      </c>
      <c r="D43" s="34" t="str">
        <f>IFERROR(INDEX(PRENOTAZIONI!$E:$E,SMALL(PRENOTAZIONI!$AF:$AF,40)),"")</f>
        <v/>
      </c>
      <c r="E43" s="34" t="str">
        <f>IFERROR(INDEX(PRENOTAZIONI!$F:$F,SMALL(PRENOTAZIONI!$AF:$AF,40)),"")</f>
        <v/>
      </c>
      <c r="F43" s="34" t="str">
        <f>IFERROR(INDEX(PRENOTAZIONI!$G:$G,SMALL(PRENOTAZIONI!$AF:$AF,40)),"")</f>
        <v/>
      </c>
      <c r="G43" s="35" t="str">
        <f>IFERROR(INDEX(PRENOTAZIONI!$H:$H,SMALL(PRENOTAZIONI!$AF:$AF,40)),"")</f>
        <v/>
      </c>
      <c r="H43" s="86" t="str">
        <f t="shared" si="12"/>
        <v/>
      </c>
      <c r="I43" s="35" t="str">
        <f t="shared" si="13"/>
        <v/>
      </c>
      <c r="J43" s="149" t="str">
        <f t="shared" si="17"/>
        <v/>
      </c>
      <c r="K43" s="34" t="str">
        <f>IFERROR(INDEX(PRENOTAZIONI!$K:$K,SMALL(PRENOTAZIONI!$AF:$AF,40)),"")</f>
        <v/>
      </c>
      <c r="L43" s="35" t="str">
        <f>IFERROR(INDEX(PRENOTAZIONI!$L:$L,SMALL(PRENOTAZIONI!$AF:$AF,40)),"")</f>
        <v/>
      </c>
      <c r="M43" s="150" t="str">
        <f t="shared" si="14"/>
        <v/>
      </c>
      <c r="N43" s="35" t="str">
        <f t="shared" si="15"/>
        <v/>
      </c>
      <c r="O43" s="35"/>
      <c r="P43" s="43"/>
      <c r="Q43" s="150" t="str">
        <f t="shared" si="16"/>
        <v/>
      </c>
      <c r="R43" s="34" t="str">
        <f>IFERROR(INDEX(PRENOTAZIONI!$R:$R,SMALL(PRENOTAZIONI!$AF:$AF,40)),"")</f>
        <v/>
      </c>
      <c r="T43" s="77"/>
    </row>
    <row r="44" spans="1:30" ht="22" customHeight="1" x14ac:dyDescent="0.25">
      <c r="A44" s="31" t="str">
        <f>IFERROR(INDEX(PRENOTAZIONI!$A:$A,SMALL(PRENOTAZIONI!$AF:$AF,41)),"")</f>
        <v/>
      </c>
      <c r="B44" s="31" t="str">
        <f>IFERROR(INDEX(PRENOTAZIONI!$B:$B,SMALL(PRENOTAZIONI!$AF:$AF,41)),"")</f>
        <v/>
      </c>
      <c r="C44" s="32" t="str">
        <f t="shared" si="11"/>
        <v/>
      </c>
      <c r="D44" s="34" t="str">
        <f>IFERROR(INDEX(PRENOTAZIONI!$E:$E,SMALL(PRENOTAZIONI!$AF:$AF,41)),"")</f>
        <v/>
      </c>
      <c r="E44" s="34" t="str">
        <f>IFERROR(INDEX(PRENOTAZIONI!$F:$F,SMALL(PRENOTAZIONI!$AF:$AF,41)),"")</f>
        <v/>
      </c>
      <c r="F44" s="34" t="str">
        <f>IFERROR(INDEX(PRENOTAZIONI!$G:$G,SMALL(PRENOTAZIONI!$AF:$AF,41)),"")</f>
        <v/>
      </c>
      <c r="G44" s="35" t="str">
        <f>IFERROR(INDEX(PRENOTAZIONI!$H:$H,SMALL(PRENOTAZIONI!$AF:$AF,41)),"")</f>
        <v/>
      </c>
      <c r="H44" s="86" t="str">
        <f t="shared" si="12"/>
        <v/>
      </c>
      <c r="I44" s="35" t="str">
        <f t="shared" si="13"/>
        <v/>
      </c>
      <c r="J44" s="149" t="str">
        <f t="shared" si="17"/>
        <v/>
      </c>
      <c r="K44" s="34" t="str">
        <f>IFERROR(INDEX(PRENOTAZIONI!$K:$K,SMALL(PRENOTAZIONI!$AF:$AF,41)),"")</f>
        <v/>
      </c>
      <c r="L44" s="35" t="str">
        <f>IFERROR(INDEX(PRENOTAZIONI!$L:$L,SMALL(PRENOTAZIONI!$AF:$AF,41)),"")</f>
        <v/>
      </c>
      <c r="M44" s="150" t="str">
        <f t="shared" si="14"/>
        <v/>
      </c>
      <c r="N44" s="35" t="str">
        <f t="shared" si="15"/>
        <v/>
      </c>
      <c r="O44" s="35"/>
      <c r="P44" s="43"/>
      <c r="Q44" s="150" t="str">
        <f t="shared" si="16"/>
        <v/>
      </c>
      <c r="R44" s="34" t="str">
        <f>IFERROR(INDEX(PRENOTAZIONI!$R:$R,SMALL(PRENOTAZIONI!$AF:$AF,41)),"")</f>
        <v/>
      </c>
      <c r="T44" s="77"/>
    </row>
    <row r="45" spans="1:30" ht="22" customHeight="1" x14ac:dyDescent="0.25">
      <c r="A45" s="31" t="str">
        <f>IFERROR(INDEX(PRENOTAZIONI!$A:$A,SMALL(PRENOTAZIONI!$AF:$AF,42)),"")</f>
        <v/>
      </c>
      <c r="B45" s="31" t="str">
        <f>IFERROR(INDEX(PRENOTAZIONI!$B:$B,SMALL(PRENOTAZIONI!$AF:$AF,42)),"")</f>
        <v/>
      </c>
      <c r="C45" s="32" t="str">
        <f t="shared" si="11"/>
        <v/>
      </c>
      <c r="D45" s="34" t="str">
        <f>IFERROR(INDEX(PRENOTAZIONI!$E:$E,SMALL(PRENOTAZIONI!$AF:$AF,42)),"")</f>
        <v/>
      </c>
      <c r="E45" s="34" t="str">
        <f>IFERROR(INDEX(PRENOTAZIONI!$F:$F,SMALL(PRENOTAZIONI!$AF:$AF,42)),"")</f>
        <v/>
      </c>
      <c r="F45" s="34" t="str">
        <f>IFERROR(INDEX(PRENOTAZIONI!$G:$G,SMALL(PRENOTAZIONI!$AF:$AF,42)),"")</f>
        <v/>
      </c>
      <c r="G45" s="35" t="str">
        <f>IFERROR(INDEX(PRENOTAZIONI!$H:$H,SMALL(PRENOTAZIONI!$AF:$AF,42)),"")</f>
        <v/>
      </c>
      <c r="H45" s="86" t="str">
        <f t="shared" si="12"/>
        <v/>
      </c>
      <c r="I45" s="35" t="str">
        <f t="shared" si="13"/>
        <v/>
      </c>
      <c r="J45" s="149" t="str">
        <f t="shared" si="17"/>
        <v/>
      </c>
      <c r="K45" s="34" t="str">
        <f>IFERROR(INDEX(PRENOTAZIONI!$K:$K,SMALL(PRENOTAZIONI!$AF:$AF,42)),"")</f>
        <v/>
      </c>
      <c r="L45" s="35" t="str">
        <f>IFERROR(INDEX(PRENOTAZIONI!$L:$L,SMALL(PRENOTAZIONI!$AF:$AF,42)),"")</f>
        <v/>
      </c>
      <c r="M45" s="150" t="str">
        <f t="shared" si="14"/>
        <v/>
      </c>
      <c r="N45" s="35" t="str">
        <f t="shared" si="15"/>
        <v/>
      </c>
      <c r="O45" s="35"/>
      <c r="P45" s="43"/>
      <c r="Q45" s="150" t="str">
        <f t="shared" si="16"/>
        <v/>
      </c>
      <c r="R45" s="34" t="str">
        <f>IFERROR(INDEX(PRENOTAZIONI!$R:$R,SMALL(PRENOTAZIONI!$AF:$AF,42)),"")</f>
        <v/>
      </c>
      <c r="T45" s="77"/>
    </row>
    <row r="46" spans="1:30" ht="22" customHeight="1" x14ac:dyDescent="0.25">
      <c r="A46" s="31" t="str">
        <f>IFERROR(INDEX(PRENOTAZIONI!$A:$A,SMALL(PRENOTAZIONI!$AF:$AF,43)),"")</f>
        <v/>
      </c>
      <c r="B46" s="31" t="str">
        <f>IFERROR(INDEX(PRENOTAZIONI!$B:$B,SMALL(PRENOTAZIONI!$AF:$AF,43)),"")</f>
        <v/>
      </c>
      <c r="C46" s="32" t="str">
        <f t="shared" si="11"/>
        <v/>
      </c>
      <c r="D46" s="34" t="str">
        <f>IFERROR(INDEX(PRENOTAZIONI!$E:$E,SMALL(PRENOTAZIONI!$AF:$AF,43)),"")</f>
        <v/>
      </c>
      <c r="E46" s="34" t="str">
        <f>IFERROR(INDEX(PRENOTAZIONI!$F:$F,SMALL(PRENOTAZIONI!$AF:$AF,43)),"")</f>
        <v/>
      </c>
      <c r="F46" s="34" t="str">
        <f>IFERROR(INDEX(PRENOTAZIONI!$G:$G,SMALL(PRENOTAZIONI!$AF:$AF,43)),"")</f>
        <v/>
      </c>
      <c r="G46" s="35" t="str">
        <f>IFERROR(INDEX(PRENOTAZIONI!$H:$H,SMALL(PRENOTAZIONI!$AF:$AF,43)),"")</f>
        <v/>
      </c>
      <c r="H46" s="86" t="str">
        <f t="shared" si="12"/>
        <v/>
      </c>
      <c r="I46" s="35" t="str">
        <f t="shared" si="13"/>
        <v/>
      </c>
      <c r="J46" s="149" t="str">
        <f t="shared" si="17"/>
        <v/>
      </c>
      <c r="K46" s="34" t="str">
        <f>IFERROR(INDEX(PRENOTAZIONI!$K:$K,SMALL(PRENOTAZIONI!$AF:$AF,43)),"")</f>
        <v/>
      </c>
      <c r="L46" s="35" t="str">
        <f>IFERROR(INDEX(PRENOTAZIONI!$L:$L,SMALL(PRENOTAZIONI!$AF:$AF,43)),"")</f>
        <v/>
      </c>
      <c r="M46" s="150" t="str">
        <f t="shared" si="14"/>
        <v/>
      </c>
      <c r="N46" s="35" t="str">
        <f t="shared" si="15"/>
        <v/>
      </c>
      <c r="O46" s="35"/>
      <c r="P46" s="43"/>
      <c r="Q46" s="150" t="str">
        <f t="shared" si="16"/>
        <v/>
      </c>
      <c r="R46" s="34" t="str">
        <f>IFERROR(INDEX(PRENOTAZIONI!$R:$R,SMALL(PRENOTAZIONI!$AF:$AF,43)),"")</f>
        <v/>
      </c>
      <c r="T46" s="77"/>
    </row>
    <row r="47" spans="1:30" ht="22" customHeight="1" x14ac:dyDescent="0.25">
      <c r="A47" s="31" t="str">
        <f>IFERROR(INDEX(PRENOTAZIONI!$A:$A,SMALL(PRENOTAZIONI!$AF:$AF,44)),"")</f>
        <v/>
      </c>
      <c r="B47" s="31" t="str">
        <f>IFERROR(INDEX(PRENOTAZIONI!$B:$B,SMALL(PRENOTAZIONI!$AF:$AF,44)),"")</f>
        <v/>
      </c>
      <c r="C47" s="32" t="str">
        <f t="shared" si="11"/>
        <v/>
      </c>
      <c r="D47" s="34" t="str">
        <f>IFERROR(INDEX(PRENOTAZIONI!$E:$E,SMALL(PRENOTAZIONI!$AF:$AF,44)),"")</f>
        <v/>
      </c>
      <c r="E47" s="34" t="str">
        <f>IFERROR(INDEX(PRENOTAZIONI!$F:$F,SMALL(PRENOTAZIONI!$AF:$AF,44)),"")</f>
        <v/>
      </c>
      <c r="F47" s="34" t="str">
        <f>IFERROR(INDEX(PRENOTAZIONI!$G:$G,SMALL(PRENOTAZIONI!$AF:$AF,44)),"")</f>
        <v/>
      </c>
      <c r="G47" s="35" t="str">
        <f>IFERROR(INDEX(PRENOTAZIONI!$H:$H,SMALL(PRENOTAZIONI!$AF:$AF,44)),"")</f>
        <v/>
      </c>
      <c r="H47" s="86" t="str">
        <f t="shared" si="12"/>
        <v/>
      </c>
      <c r="I47" s="35" t="str">
        <f t="shared" si="13"/>
        <v/>
      </c>
      <c r="J47" s="149" t="str">
        <f t="shared" si="17"/>
        <v/>
      </c>
      <c r="K47" s="34" t="str">
        <f>IFERROR(INDEX(PRENOTAZIONI!$K:$K,SMALL(PRENOTAZIONI!$AF:$AF,44)),"")</f>
        <v/>
      </c>
      <c r="L47" s="35" t="str">
        <f>IFERROR(INDEX(PRENOTAZIONI!$L:$L,SMALL(PRENOTAZIONI!$AF:$AF,44)),"")</f>
        <v/>
      </c>
      <c r="M47" s="150" t="str">
        <f t="shared" si="14"/>
        <v/>
      </c>
      <c r="N47" s="35" t="str">
        <f t="shared" si="15"/>
        <v/>
      </c>
      <c r="O47" s="35"/>
      <c r="P47" s="43"/>
      <c r="Q47" s="150" t="str">
        <f t="shared" si="16"/>
        <v/>
      </c>
      <c r="R47" s="34" t="str">
        <f>IFERROR(INDEX(PRENOTAZIONI!$R:$R,SMALL(PRENOTAZIONI!$AF:$AF,44)),"")</f>
        <v/>
      </c>
      <c r="T47" s="77"/>
    </row>
    <row r="48" spans="1:30" ht="22" customHeight="1" x14ac:dyDescent="0.25">
      <c r="A48" s="31" t="str">
        <f>IFERROR(INDEX(PRENOTAZIONI!$A:$A,SMALL(PRENOTAZIONI!$AF:$AF,45)),"")</f>
        <v/>
      </c>
      <c r="B48" s="31" t="str">
        <f>IFERROR(INDEX(PRENOTAZIONI!$B:$B,SMALL(PRENOTAZIONI!$AF:$AF,45)),"")</f>
        <v/>
      </c>
      <c r="C48" s="32" t="str">
        <f t="shared" si="11"/>
        <v/>
      </c>
      <c r="D48" s="34" t="str">
        <f>IFERROR(INDEX(PRENOTAZIONI!$E:$E,SMALL(PRENOTAZIONI!$AF:$AF,45)),"")</f>
        <v/>
      </c>
      <c r="E48" s="34" t="str">
        <f>IFERROR(INDEX(PRENOTAZIONI!$F:$F,SMALL(PRENOTAZIONI!$AF:$AF,45)),"")</f>
        <v/>
      </c>
      <c r="F48" s="34" t="str">
        <f>IFERROR(INDEX(PRENOTAZIONI!$G:$G,SMALL(PRENOTAZIONI!$AF:$AF,45)),"")</f>
        <v/>
      </c>
      <c r="G48" s="35" t="str">
        <f>IFERROR(INDEX(PRENOTAZIONI!$H:$H,SMALL(PRENOTAZIONI!$AF:$AF,45)),"")</f>
        <v/>
      </c>
      <c r="H48" s="86" t="str">
        <f t="shared" si="12"/>
        <v/>
      </c>
      <c r="I48" s="35" t="str">
        <f t="shared" si="13"/>
        <v/>
      </c>
      <c r="J48" s="149" t="str">
        <f t="shared" si="17"/>
        <v/>
      </c>
      <c r="K48" s="34" t="str">
        <f>IFERROR(INDEX(PRENOTAZIONI!$K:$K,SMALL(PRENOTAZIONI!$AF:$AF,45)),"")</f>
        <v/>
      </c>
      <c r="L48" s="35" t="str">
        <f>IFERROR(INDEX(PRENOTAZIONI!$L:$L,SMALL(PRENOTAZIONI!$AF:$AF,45)),"")</f>
        <v/>
      </c>
      <c r="M48" s="150" t="str">
        <f t="shared" si="14"/>
        <v/>
      </c>
      <c r="N48" s="35" t="str">
        <f t="shared" si="15"/>
        <v/>
      </c>
      <c r="O48" s="35"/>
      <c r="P48" s="43"/>
      <c r="Q48" s="150" t="str">
        <f t="shared" si="16"/>
        <v/>
      </c>
      <c r="R48" s="34" t="str">
        <f>IFERROR(INDEX(PRENOTAZIONI!$R:$R,SMALL(PRENOTAZIONI!$AF:$AF,45)),"")</f>
        <v/>
      </c>
      <c r="T48" s="77"/>
    </row>
    <row r="49" spans="1:20" ht="22" customHeight="1" x14ac:dyDescent="0.25">
      <c r="A49" s="31" t="str">
        <f>IFERROR(INDEX(PRENOTAZIONI!$A:$A,SMALL(PRENOTAZIONI!$AF:$AF,46)),"")</f>
        <v/>
      </c>
      <c r="B49" s="31" t="str">
        <f>IFERROR(INDEX(PRENOTAZIONI!$B:$B,SMALL(PRENOTAZIONI!$AF:$AF,46)),"")</f>
        <v/>
      </c>
      <c r="C49" s="32" t="str">
        <f t="shared" si="11"/>
        <v/>
      </c>
      <c r="D49" s="34" t="str">
        <f>IFERROR(INDEX(PRENOTAZIONI!$E:$E,SMALL(PRENOTAZIONI!$AF:$AF,46)),"")</f>
        <v/>
      </c>
      <c r="E49" s="34" t="str">
        <f>IFERROR(INDEX(PRENOTAZIONI!$F:$F,SMALL(PRENOTAZIONI!$AF:$AF,46)),"")</f>
        <v/>
      </c>
      <c r="F49" s="34" t="str">
        <f>IFERROR(INDEX(PRENOTAZIONI!$G:$G,SMALL(PRENOTAZIONI!$AF:$AF,46)),"")</f>
        <v/>
      </c>
      <c r="G49" s="35" t="str">
        <f>IFERROR(INDEX(PRENOTAZIONI!$H:$H,SMALL(PRENOTAZIONI!$AF:$AF,46)),"")</f>
        <v/>
      </c>
      <c r="H49" s="86" t="str">
        <f t="shared" si="12"/>
        <v/>
      </c>
      <c r="I49" s="35" t="str">
        <f t="shared" si="13"/>
        <v/>
      </c>
      <c r="J49" s="149" t="str">
        <f t="shared" si="17"/>
        <v/>
      </c>
      <c r="K49" s="34" t="str">
        <f>IFERROR(INDEX(PRENOTAZIONI!$K:$K,SMALL(PRENOTAZIONI!$AF:$AF,46)),"")</f>
        <v/>
      </c>
      <c r="L49" s="35" t="str">
        <f>IFERROR(INDEX(PRENOTAZIONI!$L:$L,SMALL(PRENOTAZIONI!$AF:$AF,46)),"")</f>
        <v/>
      </c>
      <c r="M49" s="150" t="str">
        <f t="shared" si="14"/>
        <v/>
      </c>
      <c r="N49" s="35" t="str">
        <f t="shared" si="15"/>
        <v/>
      </c>
      <c r="O49" s="35"/>
      <c r="P49" s="43"/>
      <c r="Q49" s="150" t="str">
        <f t="shared" si="16"/>
        <v/>
      </c>
      <c r="R49" s="34" t="str">
        <f>IFERROR(INDEX(PRENOTAZIONI!$R:$R,SMALL(PRENOTAZIONI!$AF:$AF,46)),"")</f>
        <v/>
      </c>
      <c r="T49" s="77"/>
    </row>
    <row r="50" spans="1:20" ht="22" customHeight="1" x14ac:dyDescent="0.25">
      <c r="A50" s="31" t="str">
        <f>IFERROR(INDEX(PRENOTAZIONI!$A:$A,SMALL(PRENOTAZIONI!$AF:$AF,47)),"")</f>
        <v/>
      </c>
      <c r="B50" s="31" t="str">
        <f>IFERROR(INDEX(PRENOTAZIONI!$B:$B,SMALL(PRENOTAZIONI!$AF:$AF,47)),"")</f>
        <v/>
      </c>
      <c r="C50" s="32" t="str">
        <f t="shared" si="11"/>
        <v/>
      </c>
      <c r="D50" s="34" t="str">
        <f>IFERROR(INDEX(PRENOTAZIONI!$E:$E,SMALL(PRENOTAZIONI!$AF:$AF,47)),"")</f>
        <v/>
      </c>
      <c r="E50" s="34" t="str">
        <f>IFERROR(INDEX(PRENOTAZIONI!$F:$F,SMALL(PRENOTAZIONI!$AF:$AF,47)),"")</f>
        <v/>
      </c>
      <c r="F50" s="34" t="str">
        <f>IFERROR(INDEX(PRENOTAZIONI!$G:$G,SMALL(PRENOTAZIONI!$AF:$AF,47)),"")</f>
        <v/>
      </c>
      <c r="G50" s="35" t="str">
        <f>IFERROR(INDEX(PRENOTAZIONI!$H:$H,SMALL(PRENOTAZIONI!$AF:$AF,47)),"")</f>
        <v/>
      </c>
      <c r="H50" s="86" t="str">
        <f t="shared" si="12"/>
        <v/>
      </c>
      <c r="I50" s="35" t="str">
        <f t="shared" si="13"/>
        <v/>
      </c>
      <c r="J50" s="149" t="str">
        <f t="shared" si="17"/>
        <v/>
      </c>
      <c r="K50" s="34" t="str">
        <f>IFERROR(INDEX(PRENOTAZIONI!$K:$K,SMALL(PRENOTAZIONI!$AF:$AF,47)),"")</f>
        <v/>
      </c>
      <c r="L50" s="35" t="str">
        <f>IFERROR(INDEX(PRENOTAZIONI!$L:$L,SMALL(PRENOTAZIONI!$AF:$AF,47)),"")</f>
        <v/>
      </c>
      <c r="M50" s="150" t="str">
        <f t="shared" si="14"/>
        <v/>
      </c>
      <c r="N50" s="35" t="str">
        <f t="shared" si="15"/>
        <v/>
      </c>
      <c r="O50" s="35"/>
      <c r="P50" s="43"/>
      <c r="Q50" s="150" t="str">
        <f t="shared" si="16"/>
        <v/>
      </c>
      <c r="R50" s="34" t="str">
        <f>IFERROR(INDEX(PRENOTAZIONI!$R:$R,SMALL(PRENOTAZIONI!$AF:$AF,47)),"")</f>
        <v/>
      </c>
      <c r="T50" s="77"/>
    </row>
    <row r="51" spans="1:20" ht="22" customHeight="1" x14ac:dyDescent="0.25">
      <c r="A51" s="31" t="str">
        <f>IFERROR(INDEX(PRENOTAZIONI!$A:$A,SMALL(PRENOTAZIONI!$AF:$AF,48)),"")</f>
        <v/>
      </c>
      <c r="B51" s="31" t="str">
        <f>IFERROR(INDEX(PRENOTAZIONI!$B:$B,SMALL(PRENOTAZIONI!$AF:$AF,48)),"")</f>
        <v/>
      </c>
      <c r="C51" s="32" t="str">
        <f t="shared" si="11"/>
        <v/>
      </c>
      <c r="D51" s="34" t="str">
        <f>IFERROR(INDEX(PRENOTAZIONI!$E:$E,SMALL(PRENOTAZIONI!$AF:$AF,48)),"")</f>
        <v/>
      </c>
      <c r="E51" s="34" t="str">
        <f>IFERROR(INDEX(PRENOTAZIONI!$F:$F,SMALL(PRENOTAZIONI!$AF:$AF,48)),"")</f>
        <v/>
      </c>
      <c r="F51" s="34" t="str">
        <f>IFERROR(INDEX(PRENOTAZIONI!$G:$G,SMALL(PRENOTAZIONI!$AF:$AF,48)),"")</f>
        <v/>
      </c>
      <c r="G51" s="35" t="str">
        <f>IFERROR(INDEX(PRENOTAZIONI!$H:$H,SMALL(PRENOTAZIONI!$AF:$AF,48)),"")</f>
        <v/>
      </c>
      <c r="H51" s="86" t="str">
        <f t="shared" si="12"/>
        <v/>
      </c>
      <c r="I51" s="35" t="str">
        <f t="shared" si="13"/>
        <v/>
      </c>
      <c r="J51" s="149" t="str">
        <f t="shared" si="17"/>
        <v/>
      </c>
      <c r="K51" s="34" t="str">
        <f>IFERROR(INDEX(PRENOTAZIONI!$K:$K,SMALL(PRENOTAZIONI!$AF:$AF,48)),"")</f>
        <v/>
      </c>
      <c r="L51" s="35" t="str">
        <f>IFERROR(INDEX(PRENOTAZIONI!$L:$L,SMALL(PRENOTAZIONI!$AF:$AF,48)),"")</f>
        <v/>
      </c>
      <c r="M51" s="150" t="str">
        <f t="shared" si="14"/>
        <v/>
      </c>
      <c r="N51" s="35" t="str">
        <f t="shared" si="15"/>
        <v/>
      </c>
      <c r="O51" s="35"/>
      <c r="P51" s="43"/>
      <c r="Q51" s="150" t="str">
        <f t="shared" si="16"/>
        <v/>
      </c>
      <c r="R51" s="34" t="str">
        <f>IFERROR(INDEX(PRENOTAZIONI!$R:$R,SMALL(PRENOTAZIONI!$AF:$AF,48)),"")</f>
        <v/>
      </c>
      <c r="T51" s="77"/>
    </row>
    <row r="52" spans="1:20" ht="22" customHeight="1" x14ac:dyDescent="0.25">
      <c r="A52" s="31" t="str">
        <f>IFERROR(INDEX(PRENOTAZIONI!$A:$A,SMALL(PRENOTAZIONI!$AF:$AF,49)),"")</f>
        <v/>
      </c>
      <c r="B52" s="31" t="str">
        <f>IFERROR(INDEX(PRENOTAZIONI!$B:$B,SMALL(PRENOTAZIONI!$AF:$AF,49)),"")</f>
        <v/>
      </c>
      <c r="C52" s="32" t="str">
        <f t="shared" si="11"/>
        <v/>
      </c>
      <c r="D52" s="34" t="str">
        <f>IFERROR(INDEX(PRENOTAZIONI!$E:$E,SMALL(PRENOTAZIONI!$AF:$AF,49)),"")</f>
        <v/>
      </c>
      <c r="E52" s="34" t="str">
        <f>IFERROR(INDEX(PRENOTAZIONI!$F:$F,SMALL(PRENOTAZIONI!$AF:$AF,49)),"")</f>
        <v/>
      </c>
      <c r="F52" s="34" t="str">
        <f>IFERROR(INDEX(PRENOTAZIONI!$G:$G,SMALL(PRENOTAZIONI!$AF:$AF,49)),"")</f>
        <v/>
      </c>
      <c r="G52" s="35" t="str">
        <f>IFERROR(INDEX(PRENOTAZIONI!$H:$H,SMALL(PRENOTAZIONI!$AF:$AF,49)),"")</f>
        <v/>
      </c>
      <c r="H52" s="86" t="str">
        <f t="shared" si="12"/>
        <v/>
      </c>
      <c r="I52" s="35" t="str">
        <f t="shared" si="13"/>
        <v/>
      </c>
      <c r="J52" s="149" t="str">
        <f t="shared" si="17"/>
        <v/>
      </c>
      <c r="K52" s="34" t="str">
        <f>IFERROR(INDEX(PRENOTAZIONI!$K:$K,SMALL(PRENOTAZIONI!$AF:$AF,49)),"")</f>
        <v/>
      </c>
      <c r="L52" s="35" t="str">
        <f>IFERROR(INDEX(PRENOTAZIONI!$L:$L,SMALL(PRENOTAZIONI!$AF:$AF,49)),"")</f>
        <v/>
      </c>
      <c r="M52" s="150" t="str">
        <f t="shared" si="14"/>
        <v/>
      </c>
      <c r="N52" s="35" t="str">
        <f t="shared" si="15"/>
        <v/>
      </c>
      <c r="O52" s="35"/>
      <c r="P52" s="43"/>
      <c r="Q52" s="150" t="str">
        <f t="shared" si="16"/>
        <v/>
      </c>
      <c r="R52" s="34" t="str">
        <f>IFERROR(INDEX(PRENOTAZIONI!$R:$R,SMALL(PRENOTAZIONI!$AF:$AF,49)),"")</f>
        <v/>
      </c>
      <c r="T52" s="77"/>
    </row>
    <row r="53" spans="1:20" ht="22" customHeight="1" x14ac:dyDescent="0.25">
      <c r="A53" s="31" t="str">
        <f>IFERROR(INDEX(PRENOTAZIONI!$A:$A,SMALL(PRENOTAZIONI!$AF:$AF,50)),"")</f>
        <v/>
      </c>
      <c r="B53" s="31" t="str">
        <f>IFERROR(INDEX(PRENOTAZIONI!$B:$B,SMALL(PRENOTAZIONI!$AF:$AF,50)),"")</f>
        <v/>
      </c>
      <c r="C53" s="32" t="str">
        <f t="shared" si="11"/>
        <v/>
      </c>
      <c r="D53" s="34" t="str">
        <f>IFERROR(INDEX(PRENOTAZIONI!$E:$E,SMALL(PRENOTAZIONI!$AF:$AF,50)),"")</f>
        <v/>
      </c>
      <c r="E53" s="34" t="str">
        <f>IFERROR(INDEX(PRENOTAZIONI!$F:$F,SMALL(PRENOTAZIONI!$AF:$AF,50)),"")</f>
        <v/>
      </c>
      <c r="F53" s="34" t="str">
        <f>IFERROR(INDEX(PRENOTAZIONI!$G:$G,SMALL(PRENOTAZIONI!$AF:$AF,50)),"")</f>
        <v/>
      </c>
      <c r="G53" s="35" t="str">
        <f>IFERROR(INDEX(PRENOTAZIONI!$H:$H,SMALL(PRENOTAZIONI!$AF:$AF,50)),"")</f>
        <v/>
      </c>
      <c r="H53" s="86" t="str">
        <f t="shared" si="12"/>
        <v/>
      </c>
      <c r="I53" s="35" t="str">
        <f t="shared" si="13"/>
        <v/>
      </c>
      <c r="J53" s="149" t="str">
        <f t="shared" si="17"/>
        <v/>
      </c>
      <c r="K53" s="34" t="str">
        <f>IFERROR(INDEX(PRENOTAZIONI!$K:$K,SMALL(PRENOTAZIONI!$AF:$AF,50)),"")</f>
        <v/>
      </c>
      <c r="L53" s="35" t="str">
        <f>IFERROR(INDEX(PRENOTAZIONI!$L:$L,SMALL(PRENOTAZIONI!$AF:$AF,50)),"")</f>
        <v/>
      </c>
      <c r="M53" s="150" t="str">
        <f t="shared" si="14"/>
        <v/>
      </c>
      <c r="N53" s="35" t="str">
        <f t="shared" si="15"/>
        <v/>
      </c>
      <c r="O53" s="35"/>
      <c r="P53" s="43"/>
      <c r="Q53" s="150" t="str">
        <f t="shared" si="16"/>
        <v/>
      </c>
      <c r="R53" s="34" t="str">
        <f>IFERROR(INDEX(PRENOTAZIONI!$R:$R,SMALL(PRENOTAZIONI!$AF:$AF,50)),"")</f>
        <v/>
      </c>
      <c r="T53" s="77"/>
    </row>
    <row r="54" spans="1:20" ht="22" customHeight="1" x14ac:dyDescent="0.25">
      <c r="A54" s="31" t="str">
        <f>IFERROR(INDEX(PRENOTAZIONI!$A:$A,SMALL(PRENOTAZIONI!$AF:$AF,51)),"")</f>
        <v/>
      </c>
      <c r="B54" s="31" t="str">
        <f>IFERROR(INDEX(PRENOTAZIONI!$B:$B,SMALL(PRENOTAZIONI!$AF:$AF,51)),"")</f>
        <v/>
      </c>
      <c r="C54" s="32" t="str">
        <f t="shared" si="11"/>
        <v/>
      </c>
      <c r="D54" s="34" t="str">
        <f>IFERROR(INDEX(PRENOTAZIONI!$E:$E,SMALL(PRENOTAZIONI!$AF:$AF,51)),"")</f>
        <v/>
      </c>
      <c r="E54" s="34" t="str">
        <f>IFERROR(INDEX(PRENOTAZIONI!$F:$F,SMALL(PRENOTAZIONI!$AF:$AF,51)),"")</f>
        <v/>
      </c>
      <c r="F54" s="34" t="str">
        <f>IFERROR(INDEX(PRENOTAZIONI!$G:$G,SMALL(PRENOTAZIONI!$AF:$AF,51)),"")</f>
        <v/>
      </c>
      <c r="G54" s="35" t="str">
        <f>IFERROR(INDEX(PRENOTAZIONI!$H:$H,SMALL(PRENOTAZIONI!$AF:$AF,51)),"")</f>
        <v/>
      </c>
      <c r="H54" s="86" t="str">
        <f t="shared" si="12"/>
        <v/>
      </c>
      <c r="I54" s="35" t="str">
        <f t="shared" si="13"/>
        <v/>
      </c>
      <c r="J54" s="149" t="str">
        <f t="shared" si="17"/>
        <v/>
      </c>
      <c r="K54" s="34" t="str">
        <f>IFERROR(INDEX(PRENOTAZIONI!$K:$K,SMALL(PRENOTAZIONI!$AF:$AF,51)),"")</f>
        <v/>
      </c>
      <c r="L54" s="35" t="str">
        <f>IFERROR(INDEX(PRENOTAZIONI!$L:$L,SMALL(PRENOTAZIONI!$AF:$AF,51)),"")</f>
        <v/>
      </c>
      <c r="M54" s="150" t="str">
        <f t="shared" si="14"/>
        <v/>
      </c>
      <c r="N54" s="35" t="str">
        <f t="shared" si="15"/>
        <v/>
      </c>
      <c r="O54" s="35"/>
      <c r="P54" s="43"/>
      <c r="Q54" s="150" t="str">
        <f t="shared" si="16"/>
        <v/>
      </c>
      <c r="R54" s="34" t="str">
        <f>IFERROR(INDEX(PRENOTAZIONI!$R:$R,SMALL(PRENOTAZIONI!$AF:$AF,51)),"")</f>
        <v/>
      </c>
      <c r="T54" s="77"/>
    </row>
    <row r="55" spans="1:20" ht="22" customHeight="1" x14ac:dyDescent="0.25">
      <c r="A55" s="31" t="str">
        <f>IFERROR(INDEX(PRENOTAZIONI!$A:$A,SMALL(PRENOTAZIONI!$AF:$AF,52)),"")</f>
        <v/>
      </c>
      <c r="B55" s="31" t="str">
        <f>IFERROR(INDEX(PRENOTAZIONI!$B:$B,SMALL(PRENOTAZIONI!$AF:$AF,52)),"")</f>
        <v/>
      </c>
      <c r="C55" s="32" t="str">
        <f t="shared" si="11"/>
        <v/>
      </c>
      <c r="D55" s="34" t="str">
        <f>IFERROR(INDEX(PRENOTAZIONI!$E:$E,SMALL(PRENOTAZIONI!$AF:$AF,52)),"")</f>
        <v/>
      </c>
      <c r="E55" s="34" t="str">
        <f>IFERROR(INDEX(PRENOTAZIONI!$F:$F,SMALL(PRENOTAZIONI!$AF:$AF,52)),"")</f>
        <v/>
      </c>
      <c r="F55" s="34" t="str">
        <f>IFERROR(INDEX(PRENOTAZIONI!$G:$G,SMALL(PRENOTAZIONI!$AF:$AF,52)),"")</f>
        <v/>
      </c>
      <c r="G55" s="35" t="str">
        <f>IFERROR(INDEX(PRENOTAZIONI!$H:$H,SMALL(PRENOTAZIONI!$AF:$AF,52)),"")</f>
        <v/>
      </c>
      <c r="H55" s="86" t="str">
        <f t="shared" si="12"/>
        <v/>
      </c>
      <c r="I55" s="35" t="str">
        <f t="shared" si="13"/>
        <v/>
      </c>
      <c r="J55" s="149" t="str">
        <f t="shared" si="17"/>
        <v/>
      </c>
      <c r="K55" s="34" t="str">
        <f>IFERROR(INDEX(PRENOTAZIONI!$K:$K,SMALL(PRENOTAZIONI!$AF:$AF,52)),"")</f>
        <v/>
      </c>
      <c r="L55" s="35" t="str">
        <f>IFERROR(INDEX(PRENOTAZIONI!$L:$L,SMALL(PRENOTAZIONI!$AF:$AF,52)),"")</f>
        <v/>
      </c>
      <c r="M55" s="150" t="str">
        <f t="shared" si="14"/>
        <v/>
      </c>
      <c r="N55" s="35" t="str">
        <f t="shared" si="15"/>
        <v/>
      </c>
      <c r="O55" s="35"/>
      <c r="P55" s="43"/>
      <c r="Q55" s="150" t="str">
        <f t="shared" si="16"/>
        <v/>
      </c>
      <c r="R55" s="34" t="str">
        <f>IFERROR(INDEX(PRENOTAZIONI!$R:$R,SMALL(PRENOTAZIONI!$AF:$AF,52)),"")</f>
        <v/>
      </c>
      <c r="T55" s="77"/>
    </row>
    <row r="56" spans="1:20" ht="22" customHeight="1" x14ac:dyDescent="0.25">
      <c r="A56" s="31" t="str">
        <f>IFERROR(INDEX(PRENOTAZIONI!$A:$A,SMALL(PRENOTAZIONI!$AF:$AF,53)),"")</f>
        <v/>
      </c>
      <c r="B56" s="31" t="str">
        <f>IFERROR(INDEX(PRENOTAZIONI!$B:$B,SMALL(PRENOTAZIONI!$AF:$AF,53)),"")</f>
        <v/>
      </c>
      <c r="C56" s="32" t="str">
        <f t="shared" si="11"/>
        <v/>
      </c>
      <c r="D56" s="34" t="str">
        <f>IFERROR(INDEX(PRENOTAZIONI!$E:$E,SMALL(PRENOTAZIONI!$AF:$AF,53)),"")</f>
        <v/>
      </c>
      <c r="E56" s="34" t="str">
        <f>IFERROR(INDEX(PRENOTAZIONI!$F:$F,SMALL(PRENOTAZIONI!$AF:$AF,53)),"")</f>
        <v/>
      </c>
      <c r="F56" s="34" t="str">
        <f>IFERROR(INDEX(PRENOTAZIONI!$G:$G,SMALL(PRENOTAZIONI!$AF:$AF,53)),"")</f>
        <v/>
      </c>
      <c r="G56" s="35" t="str">
        <f>IFERROR(INDEX(PRENOTAZIONI!$H:$H,SMALL(PRENOTAZIONI!$AF:$AF,53)),"")</f>
        <v/>
      </c>
      <c r="H56" s="86" t="str">
        <f t="shared" si="12"/>
        <v/>
      </c>
      <c r="I56" s="35" t="str">
        <f t="shared" si="13"/>
        <v/>
      </c>
      <c r="J56" s="149" t="str">
        <f t="shared" si="17"/>
        <v/>
      </c>
      <c r="K56" s="34" t="str">
        <f>IFERROR(INDEX(PRENOTAZIONI!$K:$K,SMALL(PRENOTAZIONI!$AF:$AF,53)),"")</f>
        <v/>
      </c>
      <c r="L56" s="35" t="str">
        <f>IFERROR(INDEX(PRENOTAZIONI!$L:$L,SMALL(PRENOTAZIONI!$AF:$AF,53)),"")</f>
        <v/>
      </c>
      <c r="M56" s="150" t="str">
        <f t="shared" si="14"/>
        <v/>
      </c>
      <c r="N56" s="35" t="str">
        <f t="shared" si="15"/>
        <v/>
      </c>
      <c r="O56" s="35"/>
      <c r="P56" s="43"/>
      <c r="Q56" s="150" t="str">
        <f t="shared" si="16"/>
        <v/>
      </c>
      <c r="R56" s="34" t="str">
        <f>IFERROR(INDEX(PRENOTAZIONI!$R:$R,SMALL(PRENOTAZIONI!$AF:$AF,53)),"")</f>
        <v/>
      </c>
      <c r="T56" s="77"/>
    </row>
    <row r="57" spans="1:20" ht="22" customHeight="1" x14ac:dyDescent="0.25">
      <c r="A57" s="31" t="str">
        <f>IFERROR(INDEX(PRENOTAZIONI!$A:$A,SMALL(PRENOTAZIONI!$AF:$AF,54)),"")</f>
        <v/>
      </c>
      <c r="B57" s="31" t="str">
        <f>IFERROR(INDEX(PRENOTAZIONI!$B:$B,SMALL(PRENOTAZIONI!$AF:$AF,54)),"")</f>
        <v/>
      </c>
      <c r="C57" s="32" t="str">
        <f t="shared" si="11"/>
        <v/>
      </c>
      <c r="D57" s="34" t="str">
        <f>IFERROR(INDEX(PRENOTAZIONI!$E:$E,SMALL(PRENOTAZIONI!$AF:$AF,54)),"")</f>
        <v/>
      </c>
      <c r="E57" s="34" t="str">
        <f>IFERROR(INDEX(PRENOTAZIONI!$F:$F,SMALL(PRENOTAZIONI!$AF:$AF,54)),"")</f>
        <v/>
      </c>
      <c r="F57" s="34" t="str">
        <f>IFERROR(INDEX(PRENOTAZIONI!$G:$G,SMALL(PRENOTAZIONI!$AF:$AF,54)),"")</f>
        <v/>
      </c>
      <c r="G57" s="35" t="str">
        <f>IFERROR(INDEX(PRENOTAZIONI!$H:$H,SMALL(PRENOTAZIONI!$AF:$AF,54)),"")</f>
        <v/>
      </c>
      <c r="H57" s="86" t="str">
        <f t="shared" si="12"/>
        <v/>
      </c>
      <c r="I57" s="35" t="str">
        <f t="shared" si="13"/>
        <v/>
      </c>
      <c r="J57" s="149" t="str">
        <f t="shared" si="17"/>
        <v/>
      </c>
      <c r="K57" s="34" t="str">
        <f>IFERROR(INDEX(PRENOTAZIONI!$K:$K,SMALL(PRENOTAZIONI!$AF:$AF,54)),"")</f>
        <v/>
      </c>
      <c r="L57" s="35" t="str">
        <f>IFERROR(INDEX(PRENOTAZIONI!$L:$L,SMALL(PRENOTAZIONI!$AF:$AF,54)),"")</f>
        <v/>
      </c>
      <c r="M57" s="150" t="str">
        <f t="shared" si="14"/>
        <v/>
      </c>
      <c r="N57" s="35" t="str">
        <f t="shared" si="15"/>
        <v/>
      </c>
      <c r="O57" s="35"/>
      <c r="P57" s="43"/>
      <c r="Q57" s="150" t="str">
        <f t="shared" si="16"/>
        <v/>
      </c>
      <c r="R57" s="34" t="str">
        <f>IFERROR(INDEX(PRENOTAZIONI!$R:$R,SMALL(PRENOTAZIONI!$AF:$AF,54)),"")</f>
        <v/>
      </c>
      <c r="T57" s="77"/>
    </row>
    <row r="58" spans="1:20" ht="22" customHeight="1" x14ac:dyDescent="0.25">
      <c r="A58" s="31" t="str">
        <f>IFERROR(INDEX(PRENOTAZIONI!$A:$A,SMALL(PRENOTAZIONI!$AF:$AF,55)),"")</f>
        <v/>
      </c>
      <c r="B58" s="31" t="str">
        <f>IFERROR(INDEX(PRENOTAZIONI!$B:$B,SMALL(PRENOTAZIONI!$AF:$AF,55)),"")</f>
        <v/>
      </c>
      <c r="C58" s="32" t="str">
        <f t="shared" si="11"/>
        <v/>
      </c>
      <c r="D58" s="34" t="str">
        <f>IFERROR(INDEX(PRENOTAZIONI!$E:$E,SMALL(PRENOTAZIONI!$AF:$AF,55)),"")</f>
        <v/>
      </c>
      <c r="E58" s="34" t="str">
        <f>IFERROR(INDEX(PRENOTAZIONI!$F:$F,SMALL(PRENOTAZIONI!$AF:$AF,55)),"")</f>
        <v/>
      </c>
      <c r="F58" s="34" t="str">
        <f>IFERROR(INDEX(PRENOTAZIONI!$G:$G,SMALL(PRENOTAZIONI!$AF:$AF,55)),"")</f>
        <v/>
      </c>
      <c r="G58" s="35" t="str">
        <f>IFERROR(INDEX(PRENOTAZIONI!$H:$H,SMALL(PRENOTAZIONI!$AF:$AF,55)),"")</f>
        <v/>
      </c>
      <c r="H58" s="86" t="str">
        <f t="shared" si="12"/>
        <v/>
      </c>
      <c r="I58" s="35" t="str">
        <f t="shared" si="13"/>
        <v/>
      </c>
      <c r="J58" s="149" t="str">
        <f t="shared" si="17"/>
        <v/>
      </c>
      <c r="K58" s="34" t="str">
        <f>IFERROR(INDEX(PRENOTAZIONI!$K:$K,SMALL(PRENOTAZIONI!$AF:$AF,55)),"")</f>
        <v/>
      </c>
      <c r="L58" s="35" t="str">
        <f>IFERROR(INDEX(PRENOTAZIONI!$L:$L,SMALL(PRENOTAZIONI!$AF:$AF,55)),"")</f>
        <v/>
      </c>
      <c r="M58" s="150" t="str">
        <f t="shared" si="14"/>
        <v/>
      </c>
      <c r="N58" s="35" t="str">
        <f t="shared" si="15"/>
        <v/>
      </c>
      <c r="O58" s="35"/>
      <c r="P58" s="43"/>
      <c r="Q58" s="150" t="str">
        <f t="shared" si="16"/>
        <v/>
      </c>
      <c r="R58" s="34" t="str">
        <f>IFERROR(INDEX(PRENOTAZIONI!$R:$R,SMALL(PRENOTAZIONI!$AF:$AF,55)),"")</f>
        <v/>
      </c>
      <c r="T58" s="77"/>
    </row>
    <row r="59" spans="1:20" ht="22" customHeight="1" x14ac:dyDescent="0.25">
      <c r="A59" s="31" t="str">
        <f>IFERROR(INDEX(PRENOTAZIONI!$A:$A,SMALL(PRENOTAZIONI!$AF:$AF,56)),"")</f>
        <v/>
      </c>
      <c r="B59" s="31" t="str">
        <f>IFERROR(INDEX(PRENOTAZIONI!$B:$B,SMALL(PRENOTAZIONI!$AF:$AF,56)),"")</f>
        <v/>
      </c>
      <c r="C59" s="32" t="str">
        <f t="shared" si="11"/>
        <v/>
      </c>
      <c r="D59" s="34" t="str">
        <f>IFERROR(INDEX(PRENOTAZIONI!$E:$E,SMALL(PRENOTAZIONI!$AF:$AF,56)),"")</f>
        <v/>
      </c>
      <c r="E59" s="34" t="str">
        <f>IFERROR(INDEX(PRENOTAZIONI!$F:$F,SMALL(PRENOTAZIONI!$AF:$AF,56)),"")</f>
        <v/>
      </c>
      <c r="F59" s="34" t="str">
        <f>IFERROR(INDEX(PRENOTAZIONI!$G:$G,SMALL(PRENOTAZIONI!$AF:$AF,56)),"")</f>
        <v/>
      </c>
      <c r="G59" s="35" t="str">
        <f>IFERROR(INDEX(PRENOTAZIONI!$H:$H,SMALL(PRENOTAZIONI!$AF:$AF,56)),"")</f>
        <v/>
      </c>
      <c r="H59" s="86" t="str">
        <f t="shared" si="12"/>
        <v/>
      </c>
      <c r="I59" s="35" t="str">
        <f t="shared" si="13"/>
        <v/>
      </c>
      <c r="J59" s="149" t="str">
        <f t="shared" si="17"/>
        <v/>
      </c>
      <c r="K59" s="34" t="str">
        <f>IFERROR(INDEX(PRENOTAZIONI!$K:$K,SMALL(PRENOTAZIONI!$AF:$AF,56)),"")</f>
        <v/>
      </c>
      <c r="L59" s="35" t="str">
        <f>IFERROR(INDEX(PRENOTAZIONI!$L:$L,SMALL(PRENOTAZIONI!$AF:$AF,56)),"")</f>
        <v/>
      </c>
      <c r="M59" s="150" t="str">
        <f t="shared" si="14"/>
        <v/>
      </c>
      <c r="N59" s="35" t="str">
        <f t="shared" si="15"/>
        <v/>
      </c>
      <c r="O59" s="35"/>
      <c r="P59" s="35"/>
      <c r="Q59" s="150" t="str">
        <f t="shared" si="16"/>
        <v/>
      </c>
      <c r="R59" s="34" t="str">
        <f>IFERROR(INDEX(PRENOTAZIONI!$R:$R,SMALL(PRENOTAZIONI!$AF:$AF,56)),"")</f>
        <v/>
      </c>
      <c r="T59" s="77"/>
    </row>
    <row r="60" spans="1:20" ht="22" customHeight="1" x14ac:dyDescent="0.25">
      <c r="A60" s="31" t="str">
        <f>IFERROR(INDEX(PRENOTAZIONI!$A:$A,SMALL(PRENOTAZIONI!$AF:$AF,57)),"")</f>
        <v/>
      </c>
      <c r="B60" s="31" t="str">
        <f>IFERROR(INDEX(PRENOTAZIONI!$B:$B,SMALL(PRENOTAZIONI!$AF:$AF,57)),"")</f>
        <v/>
      </c>
      <c r="C60" s="32" t="str">
        <f t="shared" si="11"/>
        <v/>
      </c>
      <c r="D60" s="34" t="str">
        <f>IFERROR(INDEX(PRENOTAZIONI!$E:$E,SMALL(PRENOTAZIONI!$AF:$AF,57)),"")</f>
        <v/>
      </c>
      <c r="E60" s="34" t="str">
        <f>IFERROR(INDEX(PRENOTAZIONI!$F:$F,SMALL(PRENOTAZIONI!$AF:$AF,57)),"")</f>
        <v/>
      </c>
      <c r="F60" s="34" t="str">
        <f>IFERROR(INDEX(PRENOTAZIONI!$G:$G,SMALL(PRENOTAZIONI!$AF:$AF,57)),"")</f>
        <v/>
      </c>
      <c r="G60" s="35" t="str">
        <f>IFERROR(INDEX(PRENOTAZIONI!$H:$H,SMALL(PRENOTAZIONI!$AF:$AF,57)),"")</f>
        <v/>
      </c>
      <c r="H60" s="86" t="str">
        <f t="shared" si="12"/>
        <v/>
      </c>
      <c r="I60" s="35" t="str">
        <f t="shared" si="13"/>
        <v/>
      </c>
      <c r="J60" s="149" t="str">
        <f t="shared" si="17"/>
        <v/>
      </c>
      <c r="K60" s="34" t="str">
        <f>IFERROR(INDEX(PRENOTAZIONI!$K:$K,SMALL(PRENOTAZIONI!$AF:$AF,57)),"")</f>
        <v/>
      </c>
      <c r="L60" s="35" t="str">
        <f>IFERROR(INDEX(PRENOTAZIONI!$L:$L,SMALL(PRENOTAZIONI!$AF:$AF,57)),"")</f>
        <v/>
      </c>
      <c r="M60" s="150" t="str">
        <f t="shared" si="14"/>
        <v/>
      </c>
      <c r="N60" s="35" t="str">
        <f t="shared" si="15"/>
        <v/>
      </c>
      <c r="O60" s="35"/>
      <c r="P60" s="35"/>
      <c r="Q60" s="150" t="str">
        <f t="shared" si="16"/>
        <v/>
      </c>
      <c r="R60" s="34" t="str">
        <f>IFERROR(INDEX(PRENOTAZIONI!$R:$R,SMALL(PRENOTAZIONI!$AF:$AF,57)),"")</f>
        <v/>
      </c>
      <c r="T60" s="77"/>
    </row>
    <row r="61" spans="1:20" ht="22" customHeight="1" x14ac:dyDescent="0.25">
      <c r="A61" s="31" t="str">
        <f>IFERROR(INDEX(PRENOTAZIONI!$A:$A,SMALL(PRENOTAZIONI!$AF:$AF,58)),"")</f>
        <v/>
      </c>
      <c r="B61" s="31" t="str">
        <f>IFERROR(INDEX(PRENOTAZIONI!$B:$B,SMALL(PRENOTAZIONI!$AF:$AF,58)),"")</f>
        <v/>
      </c>
      <c r="C61" s="32" t="str">
        <f t="shared" si="11"/>
        <v/>
      </c>
      <c r="D61" s="34" t="str">
        <f>IFERROR(INDEX(PRENOTAZIONI!$E:$E,SMALL(PRENOTAZIONI!$AF:$AF,58)),"")</f>
        <v/>
      </c>
      <c r="E61" s="34" t="str">
        <f>IFERROR(INDEX(PRENOTAZIONI!$F:$F,SMALL(PRENOTAZIONI!$AF:$AF,58)),"")</f>
        <v/>
      </c>
      <c r="F61" s="34" t="str">
        <f>IFERROR(INDEX(PRENOTAZIONI!$G:$G,SMALL(PRENOTAZIONI!$AF:$AF,58)),"")</f>
        <v/>
      </c>
      <c r="G61" s="35" t="str">
        <f>IFERROR(INDEX(PRENOTAZIONI!$H:$H,SMALL(PRENOTAZIONI!$AF:$AF,58)),"")</f>
        <v/>
      </c>
      <c r="H61" s="86" t="str">
        <f t="shared" si="12"/>
        <v/>
      </c>
      <c r="I61" s="35" t="str">
        <f t="shared" si="13"/>
        <v/>
      </c>
      <c r="J61" s="149" t="str">
        <f t="shared" si="17"/>
        <v/>
      </c>
      <c r="K61" s="34" t="str">
        <f>IFERROR(INDEX(PRENOTAZIONI!$K:$K,SMALL(PRENOTAZIONI!$AF:$AF,58)),"")</f>
        <v/>
      </c>
      <c r="L61" s="35" t="str">
        <f>IFERROR(INDEX(PRENOTAZIONI!$L:$L,SMALL(PRENOTAZIONI!$AF:$AF,58)),"")</f>
        <v/>
      </c>
      <c r="M61" s="150" t="str">
        <f t="shared" si="14"/>
        <v/>
      </c>
      <c r="N61" s="35" t="str">
        <f t="shared" si="15"/>
        <v/>
      </c>
      <c r="O61" s="35"/>
      <c r="P61" s="35"/>
      <c r="Q61" s="150" t="str">
        <f t="shared" si="16"/>
        <v/>
      </c>
      <c r="R61" s="34" t="str">
        <f>IFERROR(INDEX(PRENOTAZIONI!$R:$R,SMALL(PRENOTAZIONI!$AF:$AF,58)),"")</f>
        <v/>
      </c>
      <c r="T61" s="77"/>
    </row>
    <row r="62" spans="1:20" ht="22" customHeight="1" x14ac:dyDescent="0.25">
      <c r="A62" s="31" t="str">
        <f>IFERROR(INDEX(PRENOTAZIONI!$A:$A,SMALL(PRENOTAZIONI!$AF:$AF,59)),"")</f>
        <v/>
      </c>
      <c r="B62" s="31" t="str">
        <f>IFERROR(INDEX(PRENOTAZIONI!$B:$B,SMALL(PRENOTAZIONI!$AF:$AF,59)),"")</f>
        <v/>
      </c>
      <c r="C62" s="32" t="str">
        <f t="shared" si="11"/>
        <v/>
      </c>
      <c r="D62" s="34" t="str">
        <f>IFERROR(INDEX(PRENOTAZIONI!$E:$E,SMALL(PRENOTAZIONI!$AF:$AF,59)),"")</f>
        <v/>
      </c>
      <c r="E62" s="34" t="str">
        <f>IFERROR(INDEX(PRENOTAZIONI!$F:$F,SMALL(PRENOTAZIONI!$AF:$AF,59)),"")</f>
        <v/>
      </c>
      <c r="F62" s="34" t="str">
        <f>IFERROR(INDEX(PRENOTAZIONI!$G:$G,SMALL(PRENOTAZIONI!$AF:$AF,59)),"")</f>
        <v/>
      </c>
      <c r="G62" s="35" t="str">
        <f>IFERROR(INDEX(PRENOTAZIONI!$H:$H,SMALL(PRENOTAZIONI!$AF:$AF,59)),"")</f>
        <v/>
      </c>
      <c r="H62" s="86" t="str">
        <f t="shared" si="12"/>
        <v/>
      </c>
      <c r="I62" s="35" t="str">
        <f t="shared" si="13"/>
        <v/>
      </c>
      <c r="J62" s="149" t="str">
        <f t="shared" si="17"/>
        <v/>
      </c>
      <c r="K62" s="34" t="str">
        <f>IFERROR(INDEX(PRENOTAZIONI!$K:$K,SMALL(PRENOTAZIONI!$AF:$AF,59)),"")</f>
        <v/>
      </c>
      <c r="L62" s="35" t="str">
        <f>IFERROR(INDEX(PRENOTAZIONI!$L:$L,SMALL(PRENOTAZIONI!$AF:$AF,59)),"")</f>
        <v/>
      </c>
      <c r="M62" s="150" t="str">
        <f t="shared" si="14"/>
        <v/>
      </c>
      <c r="N62" s="35" t="str">
        <f t="shared" si="15"/>
        <v/>
      </c>
      <c r="O62" s="35"/>
      <c r="P62" s="35"/>
      <c r="Q62" s="150" t="str">
        <f t="shared" si="16"/>
        <v/>
      </c>
      <c r="R62" s="34" t="str">
        <f>IFERROR(INDEX(PRENOTAZIONI!$R:$R,SMALL(PRENOTAZIONI!$AF:$AF,59)),"")</f>
        <v/>
      </c>
      <c r="T62" s="77"/>
    </row>
    <row r="63" spans="1:20" ht="22" customHeight="1" x14ac:dyDescent="0.25">
      <c r="A63" s="31" t="str">
        <f>IFERROR(INDEX(PRENOTAZIONI!$A:$A,SMALL(PRENOTAZIONI!$AF:$AF,60)),"")</f>
        <v/>
      </c>
      <c r="B63" s="31" t="str">
        <f>IFERROR(INDEX(PRENOTAZIONI!$B:$B,SMALL(PRENOTAZIONI!$AF:$AF,60)),"")</f>
        <v/>
      </c>
      <c r="C63" s="32" t="str">
        <f t="shared" si="11"/>
        <v/>
      </c>
      <c r="D63" s="34" t="str">
        <f>IFERROR(INDEX(PRENOTAZIONI!$E:$E,SMALL(PRENOTAZIONI!$AF:$AF,60)),"")</f>
        <v/>
      </c>
      <c r="E63" s="34" t="str">
        <f>IFERROR(INDEX(PRENOTAZIONI!$F:$F,SMALL(PRENOTAZIONI!$AF:$AF,60)),"")</f>
        <v/>
      </c>
      <c r="F63" s="34" t="str">
        <f>IFERROR(INDEX(PRENOTAZIONI!$G:$G,SMALL(PRENOTAZIONI!$AF:$AF,60)),"")</f>
        <v/>
      </c>
      <c r="G63" s="35" t="str">
        <f>IFERROR(INDEX(PRENOTAZIONI!$H:$H,SMALL(PRENOTAZIONI!$AF:$AF,60)),"")</f>
        <v/>
      </c>
      <c r="H63" s="86" t="str">
        <f t="shared" si="12"/>
        <v/>
      </c>
      <c r="I63" s="35" t="str">
        <f t="shared" si="13"/>
        <v/>
      </c>
      <c r="J63" s="149" t="str">
        <f t="shared" si="17"/>
        <v/>
      </c>
      <c r="K63" s="34" t="str">
        <f>IFERROR(INDEX(PRENOTAZIONI!$K:$K,SMALL(PRENOTAZIONI!$AF:$AF,60)),"")</f>
        <v/>
      </c>
      <c r="L63" s="35" t="str">
        <f>IFERROR(INDEX(PRENOTAZIONI!$L:$L,SMALL(PRENOTAZIONI!$AF:$AF,60)),"")</f>
        <v/>
      </c>
      <c r="M63" s="150" t="str">
        <f t="shared" si="14"/>
        <v/>
      </c>
      <c r="N63" s="35" t="str">
        <f t="shared" si="15"/>
        <v/>
      </c>
      <c r="O63" s="35"/>
      <c r="P63" s="35"/>
      <c r="Q63" s="150" t="str">
        <f t="shared" si="16"/>
        <v/>
      </c>
      <c r="R63" s="34" t="str">
        <f>IFERROR(INDEX(PRENOTAZIONI!$R:$R,SMALL(PRENOTAZIONI!$AF:$AF,60)),"")</f>
        <v/>
      </c>
      <c r="T63" s="77"/>
    </row>
    <row r="64" spans="1:20" ht="19" customHeight="1" x14ac:dyDescent="0.25">
      <c r="T64" s="77"/>
    </row>
    <row r="65" spans="20:20" ht="19" customHeight="1" x14ac:dyDescent="0.25">
      <c r="T65" s="77"/>
    </row>
  </sheetData>
  <autoFilter ref="A3:R63" xr:uid="{00000000-0009-0000-0000-000006000000}"/>
  <pageMargins left="0.25" right="0.25" top="0.75" bottom="0.75" header="0.3" footer="0.3"/>
  <pageSetup paperSize="9" scale="19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6000"/>
  </sheetPr>
  <dimension ref="A1:BH65"/>
  <sheetViews>
    <sheetView workbookViewId="0">
      <pane ySplit="3" topLeftCell="A4" activePane="bottomLeft" state="frozen"/>
      <selection pane="bottomLeft" activeCell="Q22" sqref="Q22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" customWidth="1"/>
    <col min="7" max="9" width="11" customWidth="1"/>
    <col min="10" max="10" width="13" customWidth="1"/>
    <col min="11" max="11" width="9.6640625" bestFit="1" customWidth="1"/>
    <col min="12" max="12" width="10" customWidth="1"/>
    <col min="13" max="13" width="13" customWidth="1"/>
    <col min="14" max="14" width="10" customWidth="1"/>
    <col min="15" max="15" width="20" customWidth="1"/>
    <col min="16" max="16" width="12.5" bestFit="1" customWidth="1"/>
    <col min="17" max="17" width="18" style="93" customWidth="1"/>
    <col min="18" max="18" width="28" style="93" customWidth="1"/>
    <col min="19" max="19" width="11" style="93" customWidth="1"/>
    <col min="20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4" width="8" customWidth="1"/>
    <col min="35" max="35" width="13" customWidth="1"/>
    <col min="36" max="36" width="11" customWidth="1"/>
    <col min="37" max="37" width="10" customWidth="1"/>
    <col min="38" max="38" width="12" customWidth="1"/>
    <col min="39" max="41" width="11" customWidth="1"/>
  </cols>
  <sheetData>
    <row r="1" spans="1:60" ht="28" customHeight="1" x14ac:dyDescent="0.25">
      <c r="A1" s="1" t="s">
        <v>278</v>
      </c>
      <c r="B1" s="2"/>
      <c r="C1" s="2"/>
      <c r="D1" s="2"/>
      <c r="E1" s="2"/>
      <c r="F1" s="2"/>
      <c r="G1" s="2"/>
      <c r="I1" s="2"/>
      <c r="J1" s="148"/>
      <c r="K1" s="2"/>
      <c r="L1" s="2"/>
      <c r="M1" s="2"/>
      <c r="N1" s="2"/>
      <c r="O1" s="2"/>
      <c r="P1" s="2"/>
      <c r="Q1" s="2"/>
      <c r="R1" s="92"/>
      <c r="T1" s="78"/>
      <c r="AF1" s="38"/>
      <c r="AG1" s="110" t="s">
        <v>279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x14ac:dyDescent="0.2">
      <c r="A3" s="27" t="s">
        <v>1</v>
      </c>
      <c r="B3" s="27" t="s">
        <v>2</v>
      </c>
      <c r="C3" s="27" t="s">
        <v>3</v>
      </c>
      <c r="D3" s="27" t="s">
        <v>5</v>
      </c>
      <c r="E3" s="27" t="s">
        <v>248</v>
      </c>
      <c r="F3" s="27" t="s">
        <v>7</v>
      </c>
      <c r="G3" s="27" t="s">
        <v>8</v>
      </c>
      <c r="H3" s="145" t="s">
        <v>9</v>
      </c>
      <c r="I3" s="27" t="s">
        <v>249</v>
      </c>
      <c r="J3" s="145" t="s">
        <v>250</v>
      </c>
      <c r="K3" s="27" t="s">
        <v>11</v>
      </c>
      <c r="L3" s="27" t="s">
        <v>12</v>
      </c>
      <c r="M3" s="27" t="s">
        <v>251</v>
      </c>
      <c r="N3" s="27" t="s">
        <v>252</v>
      </c>
      <c r="O3" s="27" t="s">
        <v>253</v>
      </c>
      <c r="P3" s="27" t="s">
        <v>254</v>
      </c>
      <c r="Q3" s="27" t="s">
        <v>255</v>
      </c>
      <c r="R3" s="50" t="s">
        <v>18</v>
      </c>
      <c r="S3" s="100"/>
      <c r="T3" s="98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x14ac:dyDescent="0.2">
      <c r="A4" s="31">
        <f>IFERROR(INDEX(PRENOTAZIONI!$A:$A,SMALL(PRENOTAZIONI!$AA:$AA,1)),"")</f>
        <v>46108</v>
      </c>
      <c r="B4" s="31">
        <f>IFERROR(INDEX(PRENOTAZIONI!$B:$B,SMALL(PRENOTAZIONI!$AA:$AA,1)),"")</f>
        <v>46111</v>
      </c>
      <c r="C4" s="32">
        <f t="shared" ref="C4:C35" si="0">IF(A4&lt;&gt;"",B4-A4,"")</f>
        <v>3</v>
      </c>
      <c r="D4" s="34" t="str">
        <f>IFERROR(INDEX(PRENOTAZIONI!$E:$E,SMALL(PRENOTAZIONI!$AA:$AA,1)),"")</f>
        <v>Domenico Martorella</v>
      </c>
      <c r="E4" s="34" t="str">
        <f>IFERROR(INDEX(PRENOTAZIONI!$F:$F,SMALL(PRENOTAZIONI!$AA:$AA,1)),"")</f>
        <v>2 ad 1 b</v>
      </c>
      <c r="F4" s="34" t="str">
        <f>IFERROR(INDEX(PRENOTAZIONI!$G:$G,SMALL(PRENOTAZIONI!$AA:$AA,1)),"")</f>
        <v>booking.com</v>
      </c>
      <c r="G4" s="35">
        <f>IFERROR(INDEX(PRENOTAZIONI!$H:$H,SMALL(PRENOTAZIONI!$AA:$AA,1)),"")</f>
        <v>202.65</v>
      </c>
      <c r="H4" s="146">
        <f t="shared" ref="H4:H35" si="1">IF(AND(G4&lt;&gt;"",C4&lt;&gt;"",C4&lt;&gt;0),G4/C4,"")</f>
        <v>67.55</v>
      </c>
      <c r="I4" s="35">
        <f t="shared" ref="I4:I35" si="2">IF(G4="","",IF(NOT(ISERROR(SEARCH("diretta",F4))),0,IF(NOT(ISERROR(SEARCH("booking",F4))),G4*0.15,IF(NOT(ISERROR(SEARCH("airbnb",F4))),G4*0.155,""))))</f>
        <v>30.397500000000001</v>
      </c>
      <c r="J4" s="149">
        <f>IF(I4&lt;&gt;"",I4*0.22,"")</f>
        <v>6.6874500000000001</v>
      </c>
      <c r="K4" s="34" t="str">
        <f>IFERROR(INDEX(PRENOTAZIONI!$K:$K,SMALL(PRENOTAZIONI!$AA:$AA,1)),"")</f>
        <v>MASTER</v>
      </c>
      <c r="L4" s="35">
        <f>IFERROR(INDEX(PRENOTAZIONI!$L:$L,SMALL(PRENOTAZIONI!$AA:$AA,1)),"")</f>
        <v>4</v>
      </c>
      <c r="M4" s="150">
        <f t="shared" ref="M4:M35" si="3">IF(G4&lt;&gt;"",G4*0.21,"")</f>
        <v>42.5565</v>
      </c>
      <c r="N4" s="35">
        <f t="shared" ref="N4:N15" si="4">IF(G4&lt;&gt;"",G4*0.25,"")</f>
        <v>50.662500000000001</v>
      </c>
      <c r="O4" s="35"/>
      <c r="P4" s="43"/>
      <c r="Q4" s="150">
        <f t="shared" ref="Q4:Q35" si="5">IF(G4&lt;&gt;"",G4-I4-J4-M4-N4-O4,"")</f>
        <v>72.346049999999991</v>
      </c>
      <c r="R4" s="47">
        <f>IFERROR(INDEX(PRENOTAZIONI!$R:$R,SMALL(PRENOTAZIONI!$AA:$AA,1)),"")</f>
        <v>0</v>
      </c>
      <c r="S4" s="101"/>
      <c r="T4" s="99" t="str">
        <f>IFERROR(INDEX(PRENOTAZIONI!$A:$A,SMALL(PRENOTAZIONI!$AO:$AO,1)),"")</f>
        <v/>
      </c>
      <c r="U4" s="31" t="str">
        <f>IFERROR(INDEX(PRENOTAZIONI!$B:$B,SMALL(PRENOTAZIONI!$AO:$AO,1)),"")</f>
        <v/>
      </c>
      <c r="V4" s="32" t="str">
        <f t="shared" ref="V4:V33" si="6">IF(T4&lt;&gt;"",U4-T4,"")</f>
        <v/>
      </c>
      <c r="W4" s="34" t="str">
        <f>IFERROR(INDEX(PRENOTAZIONI!$E:$E,SMALL(PRENOTAZIONI!$AO:$AO,1)),"")</f>
        <v/>
      </c>
      <c r="X4" s="34" t="str">
        <f>IFERROR(INDEX(PRENOTAZIONI!$F:$F,SMALL(PRENOTAZIONI!$AO:$AO,1)),"")</f>
        <v/>
      </c>
      <c r="Y4" s="35" t="str">
        <f>IFERROR(INDEX(PRENOTAZIONI!$H:$H,SMALL(PRENOTAZIONI!$AO:$AO,1)),"")</f>
        <v/>
      </c>
      <c r="Z4" s="34" t="str">
        <f>IFERROR(INDEX(PRENOTAZIONI!$K:$K,SMALL(PRENOTAZIONI!$AO:$AO,1)),"")</f>
        <v/>
      </c>
      <c r="AA4" s="34"/>
      <c r="AB4" s="34"/>
      <c r="AC4" s="40" t="str">
        <f t="shared" ref="AC4:AC33" si="7">IF(X4&lt;&gt;"",X4*0.25,"")</f>
        <v/>
      </c>
      <c r="AD4" s="41" t="str">
        <f t="shared" ref="AD4:AD33" si="8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SUMPRODUCT((MONTH(PRENOTAZIONI!$A$3:$A$262)=1)*(YEAR(PRENOTAZIONI!$A$3:$A$262)=2026)*(PRENOTAZIONI!$D$3:$D$262="Casa Bella Gialla"))</f>
        <v>0</v>
      </c>
      <c r="AI4" s="114">
        <f>SUMPRODUCT((PRENOTAZIONI!$A$3:$A$262&lt;DATE(2026,2,1))*(PRENOTAZIONI!$B$3:$B$262&gt;DATE(2026,1,1))*(YEAR(PRENOTAZIONI!$A$3:$A$262)=2026)*(PRENOTAZIONI!$D$3:$D$262="Casa Bella Gialla")*((PRENOTAZIONI!$B$3:$B$262*(PRENOTAZIONI!$B$3:$B$262&lt;DATE(2026,2,1))+DATE(2026,2,1)*(PRENOTAZIONI!$B$3:$B$262&gt;=DATE(2026,2,1)))-(PRENOTAZIONI!$A$3:$A$262*(PRENOTAZIONI!$A$3:$A$262&gt;DATE(2026,1,1))+DATE(2026,1,1)*(PRENOTAZIONI!$A$3:$A$262&lt;=DATE(2026,1,1)))))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x14ac:dyDescent="0.2">
      <c r="A5" s="31">
        <f>IFERROR(INDEX(PRENOTAZIONI!$A:$A,SMALL(PRENOTAZIONI!$AA:$AA,2)),"")</f>
        <v>46243</v>
      </c>
      <c r="B5" s="31">
        <f>IFERROR(INDEX(PRENOTAZIONI!$B:$B,SMALL(PRENOTAZIONI!$AA:$AA,2)),"")</f>
        <v>46256</v>
      </c>
      <c r="C5" s="32">
        <f t="shared" si="0"/>
        <v>13</v>
      </c>
      <c r="D5" s="34" t="str">
        <f>IFERROR(INDEX(PRENOTAZIONI!$E:$E,SMALL(PRENOTAZIONI!$AA:$AA,2)),"")</f>
        <v>Giovanna Di Matteo</v>
      </c>
      <c r="E5" s="34" t="str">
        <f>IFERROR(INDEX(PRENOTAZIONI!$F:$F,SMALL(PRENOTAZIONI!$AA:$AA,2)),"")</f>
        <v>2 ad 1 b</v>
      </c>
      <c r="F5" s="34" t="str">
        <f>IFERROR(INDEX(PRENOTAZIONI!$G:$G,SMALL(PRENOTAZIONI!$AA:$AA,2)),"")</f>
        <v>diretta</v>
      </c>
      <c r="G5" s="35">
        <f>IFERROR(INDEX(PRENOTAZIONI!$H:$H,SMALL(PRENOTAZIONI!$AA:$AA,2)),"")</f>
        <v>1365</v>
      </c>
      <c r="H5" s="146">
        <f t="shared" si="1"/>
        <v>105</v>
      </c>
      <c r="I5" s="35">
        <f t="shared" si="2"/>
        <v>0</v>
      </c>
      <c r="J5" s="149">
        <v>0</v>
      </c>
      <c r="K5" s="34" t="str">
        <f>IFERROR(INDEX(PRENOTAZIONI!$K:$K,SMALL(PRENOTAZIONI!$AA:$AA,2)),"")</f>
        <v>contanti</v>
      </c>
      <c r="L5" s="35">
        <f>IFERROR(INDEX(PRENOTAZIONI!$L:$L,SMALL(PRENOTAZIONI!$AA:$AA,2)),"")</f>
        <v>4</v>
      </c>
      <c r="M5" s="150">
        <f t="shared" si="3"/>
        <v>286.64999999999998</v>
      </c>
      <c r="N5" s="35">
        <f t="shared" si="4"/>
        <v>341.25</v>
      </c>
      <c r="O5" s="35"/>
      <c r="P5" s="43"/>
      <c r="Q5" s="150">
        <f t="shared" si="5"/>
        <v>737.09999999999991</v>
      </c>
      <c r="R5" s="47" t="str">
        <f>IFERROR(INDEX(PRENOTAZIONI!$R:$R,SMALL(PRENOTAZIONI!$AA:$AA,2)),"")</f>
        <v>per conto di amici</v>
      </c>
      <c r="S5" s="101"/>
      <c r="T5" s="99" t="str">
        <f>IFERROR(INDEX(PRENOTAZIONI!$A:$A,SMALL(PRENOTAZIONI!$AO:$AO,2)),"")</f>
        <v/>
      </c>
      <c r="U5" s="31" t="str">
        <f>IFERROR(INDEX(PRENOTAZIONI!$B:$B,SMALL(PRENOTAZIONI!$AO:$AO,2)),"")</f>
        <v/>
      </c>
      <c r="V5" s="32" t="str">
        <f t="shared" si="6"/>
        <v/>
      </c>
      <c r="W5" s="34" t="str">
        <f>IFERROR(INDEX(PRENOTAZIONI!$E:$E,SMALL(PRENOTAZIONI!$AO:$AO,2)),"")</f>
        <v/>
      </c>
      <c r="X5" s="34" t="str">
        <f>IFERROR(INDEX(PRENOTAZIONI!$F:$F,SMALL(PRENOTAZIONI!$AO:$AO,2)),"")</f>
        <v/>
      </c>
      <c r="Y5" s="35" t="str">
        <f>IFERROR(INDEX(PRENOTAZIONI!$H:$H,SMALL(PRENOTAZIONI!$AO:$AO,2)),"")</f>
        <v/>
      </c>
      <c r="Z5" s="34" t="str">
        <f>IFERROR(INDEX(PRENOTAZIONI!$K:$K,SMALL(PRENOTAZIONI!$AO:$AO,2)),"")</f>
        <v/>
      </c>
      <c r="AA5" s="34"/>
      <c r="AB5" s="34"/>
      <c r="AC5" s="40" t="str">
        <f t="shared" si="7"/>
        <v/>
      </c>
      <c r="AD5" s="41" t="str">
        <f t="shared" si="8"/>
        <v/>
      </c>
      <c r="AF5" s="38"/>
      <c r="AG5" s="113" t="s">
        <v>182</v>
      </c>
      <c r="AH5" s="114">
        <f>SUMPRODUCT((MONTH(PRENOTAZIONI!$A$3:$A$262)=2)*(YEAR(PRENOTAZIONI!$A$3:$A$262)=2026)*(PRENOTAZIONI!$D$3:$D$262="Casa Bella Gialla"))</f>
        <v>0</v>
      </c>
      <c r="AI5" s="114">
        <f>SUMPRODUCT((PRENOTAZIONI!$A$3:$A$262&lt;DATE(2026,3,1))*(PRENOTAZIONI!$B$3:$B$262&gt;DATE(2026,2,1))*(YEAR(PRENOTAZIONI!$A$3:$A$262)=2026)*(PRENOTAZIONI!$D$3:$D$262="Casa Bella Gialla")*((PRENOTAZIONI!$B$3:$B$262*(PRENOTAZIONI!$B$3:$B$262&lt;DATE(2026,3,1))+DATE(2026,3,1)*(PRENOTAZIONI!$B$3:$B$262&gt;=DATE(2026,3,1)))-(PRENOTAZIONI!$A$3:$A$262*(PRENOTAZIONI!$A$3:$A$262&gt;DATE(2026,2,1))+DATE(2026,2,1)*(PRENOTAZIONI!$A$3:$A$262&lt;=DATE(2026,2,1)))))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31" t="str">
        <f>IFERROR(INDEX(PRENOTAZIONI!$A:$A,SMALL(PRENOTAZIONI!$AA:$AA,3)),"")</f>
        <v/>
      </c>
      <c r="B6" s="31" t="str">
        <f>IFERROR(INDEX(PRENOTAZIONI!$B:$B,SMALL(PRENOTAZIONI!$AA:$AA,3)),"")</f>
        <v/>
      </c>
      <c r="C6" s="32" t="str">
        <f t="shared" si="0"/>
        <v/>
      </c>
      <c r="D6" s="34" t="str">
        <f>IFERROR(INDEX(PRENOTAZIONI!$E:$E,SMALL(PRENOTAZIONI!$AA:$AA,3)),"")</f>
        <v/>
      </c>
      <c r="E6" s="34" t="str">
        <f>IFERROR(INDEX(PRENOTAZIONI!$F:$F,SMALL(PRENOTAZIONI!$AA:$AA,3)),"")</f>
        <v/>
      </c>
      <c r="F6" s="34" t="str">
        <f>IFERROR(INDEX(PRENOTAZIONI!$G:$G,SMALL(PRENOTAZIONI!$AA:$AA,3)),"")</f>
        <v/>
      </c>
      <c r="G6" s="35" t="str">
        <f>IFERROR(INDEX(PRENOTAZIONI!$H:$H,SMALL(PRENOTAZIONI!$AA:$AA,3)),"")</f>
        <v/>
      </c>
      <c r="H6" s="146" t="str">
        <f t="shared" si="1"/>
        <v/>
      </c>
      <c r="I6" s="35" t="str">
        <f t="shared" si="2"/>
        <v/>
      </c>
      <c r="J6" s="149" t="str">
        <f>IF(I6&lt;&gt;"",I6*0.22,"")</f>
        <v/>
      </c>
      <c r="K6" s="34" t="str">
        <f>IFERROR(INDEX(PRENOTAZIONI!$K:$K,SMALL(PRENOTAZIONI!$AA:$AA,3)),"")</f>
        <v/>
      </c>
      <c r="L6" s="35" t="str">
        <f>IFERROR(INDEX(PRENOTAZIONI!$L:$L,SMALL(PRENOTAZIONI!$AA:$AA,3)),"")</f>
        <v/>
      </c>
      <c r="M6" s="150" t="str">
        <f t="shared" si="3"/>
        <v/>
      </c>
      <c r="N6" s="35" t="str">
        <f t="shared" si="4"/>
        <v/>
      </c>
      <c r="O6" s="35"/>
      <c r="P6" s="43"/>
      <c r="Q6" s="150" t="str">
        <f t="shared" si="5"/>
        <v/>
      </c>
      <c r="R6" s="47" t="str">
        <f>IFERROR(INDEX(PRENOTAZIONI!$R:$R,SMALL(PRENOTAZIONI!$AA:$AA,3)),"")</f>
        <v/>
      </c>
      <c r="S6" s="101"/>
      <c r="T6" s="99" t="str">
        <f>IFERROR(INDEX(PRENOTAZIONI!$A:$A,SMALL(PRENOTAZIONI!$AO:$AO,3)),"")</f>
        <v/>
      </c>
      <c r="U6" s="31" t="str">
        <f>IFERROR(INDEX(PRENOTAZIONI!$B:$B,SMALL(PRENOTAZIONI!$AO:$AO,3)),"")</f>
        <v/>
      </c>
      <c r="V6" s="32" t="str">
        <f t="shared" si="6"/>
        <v/>
      </c>
      <c r="W6" s="34" t="str">
        <f>IFERROR(INDEX(PRENOTAZIONI!$E:$E,SMALL(PRENOTAZIONI!$AO:$AO,3)),"")</f>
        <v/>
      </c>
      <c r="X6" s="34" t="str">
        <f>IFERROR(INDEX(PRENOTAZIONI!$F:$F,SMALL(PRENOTAZIONI!$AO:$AO,3)),"")</f>
        <v/>
      </c>
      <c r="Y6" s="35" t="str">
        <f>IFERROR(INDEX(PRENOTAZIONI!$H:$H,SMALL(PRENOTAZIONI!$AO:$AO,3)),"")</f>
        <v/>
      </c>
      <c r="Z6" s="34" t="str">
        <f>IFERROR(INDEX(PRENOTAZIONI!$K:$K,SMALL(PRENOTAZIONI!$AO:$AO,3)),"")</f>
        <v/>
      </c>
      <c r="AA6" s="34"/>
      <c r="AB6" s="34"/>
      <c r="AC6" s="40" t="str">
        <f t="shared" si="7"/>
        <v/>
      </c>
      <c r="AD6" s="41" t="str">
        <f t="shared" si="8"/>
        <v/>
      </c>
      <c r="AF6" s="38"/>
      <c r="AG6" s="113" t="s">
        <v>183</v>
      </c>
      <c r="AH6" s="114">
        <f>SUMPRODUCT((MONTH(PRENOTAZIONI!$A$3:$A$262)=3)*(YEAR(PRENOTAZIONI!$A$3:$A$262)=2026)*(PRENOTAZIONI!$D$3:$D$262="Casa Bella Gialla"))</f>
        <v>1</v>
      </c>
      <c r="AI6" s="114">
        <f>SUMPRODUCT((PRENOTAZIONI!$A$3:$A$262&lt;DATE(2026,4,1))*(PRENOTAZIONI!$B$3:$B$262&gt;DATE(2026,3,1))*(YEAR(PRENOTAZIONI!$A$3:$A$262)=2026)*(PRENOTAZIONI!$D$3:$D$262="Casa Bella Gialla")*((PRENOTAZIONI!$B$3:$B$262*(PRENOTAZIONI!$B$3:$B$262&lt;DATE(2026,4,1))+DATE(2026,4,1)*(PRENOTAZIONI!$B$3:$B$262&gt;=DATE(2026,4,1)))-(PRENOTAZIONI!$A$3:$A$262*(PRENOTAZIONI!$A$3:$A$262&gt;DATE(2026,3,1))+DATE(2026,3,1)*(PRENOTAZIONI!$A$3:$A$262&lt;=DATE(2026,3,1)))))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3</v>
      </c>
      <c r="AJ6" s="151">
        <f>SUMIF(A4:A33,"&gt;="&amp;DATE(2026,3,1),G4:G33)-SUMIF(A4:A33,"&gt;="&amp;DATE(2026,4,1),G4:G33)</f>
        <v>202.65000000000009</v>
      </c>
      <c r="AK6" s="151">
        <f>SUMIF(A4:A33,"&gt;="&amp;DATE(2026,3,1),I4:I33)-SUMIF(A4:A33,"&gt;="&amp;DATE(2026,4,1),I4:I33)</f>
        <v>30.397500000000001</v>
      </c>
      <c r="AL6" s="151">
        <f>SUMIF(A4:A33,"&gt;="&amp;DATE(2026,3,1),L4:L33)-SUMIF(A4:A33,"&gt;="&amp;DATE(2026,4,1),L4:L33)</f>
        <v>4</v>
      </c>
      <c r="AM6" s="151">
        <f>SUMIF(A4:A33,"&gt;="&amp;DATE(2026,3,1),N4:N33)-SUMIF(A4:A33,"&gt;="&amp;DATE(2026,4,1),N4:N33)</f>
        <v>50.662500000000023</v>
      </c>
      <c r="AN6" s="152">
        <f>SUMIF(A4:A33,"&gt;="&amp;DATE(2026,3,1),M4:M33)-SUMIF(A4:A33,"&gt;="&amp;DATE(2026,4,1),M4:M33)</f>
        <v>42.556500000000028</v>
      </c>
      <c r="AO6" s="152">
        <f>SUMIF(A4:A33,"&gt;="&amp;DATE(2026,3,1),J4:J33)-SUMIF(A4:A33,"&gt;="&amp;DATE(2026,4,1),J4:J33)</f>
        <v>6.6874500000000001</v>
      </c>
      <c r="AP6" s="153">
        <f>SUMIF(A4:A33,"&gt;="&amp;DATE(2026,3,1),Q4:Q33)-SUMIF(A4:A33,"&gt;="&amp;DATE(2026,4,1),Q4:Q33)</f>
        <v>72.346049999999991</v>
      </c>
    </row>
    <row r="7" spans="1:60" ht="20" customHeight="1" x14ac:dyDescent="0.2">
      <c r="A7" s="31" t="str">
        <f>IFERROR(INDEX(PRENOTAZIONI!$A:$A,SMALL(PRENOTAZIONI!$AA:$AA,4)),"")</f>
        <v/>
      </c>
      <c r="B7" s="31" t="str">
        <f>IFERROR(INDEX(PRENOTAZIONI!$B:$B,SMALL(PRENOTAZIONI!$AA:$AA,4)),"")</f>
        <v/>
      </c>
      <c r="C7" s="32" t="str">
        <f t="shared" si="0"/>
        <v/>
      </c>
      <c r="D7" s="34" t="str">
        <f>IFERROR(INDEX(PRENOTAZIONI!$E:$E,SMALL(PRENOTAZIONI!$AA:$AA,4)),"")</f>
        <v/>
      </c>
      <c r="E7" s="34" t="str">
        <f>IFERROR(INDEX(PRENOTAZIONI!$F:$F,SMALL(PRENOTAZIONI!$AA:$AA,4)),"")</f>
        <v/>
      </c>
      <c r="F7" s="34" t="str">
        <f>IFERROR(INDEX(PRENOTAZIONI!$G:$G,SMALL(PRENOTAZIONI!$AA:$AA,4)),"")</f>
        <v/>
      </c>
      <c r="G7" s="35" t="str">
        <f>IFERROR(INDEX(PRENOTAZIONI!$H:$H,SMALL(PRENOTAZIONI!$AA:$AA,4)),"")</f>
        <v/>
      </c>
      <c r="H7" s="146" t="str">
        <f t="shared" si="1"/>
        <v/>
      </c>
      <c r="I7" s="35" t="str">
        <f t="shared" si="2"/>
        <v/>
      </c>
      <c r="J7" s="149" t="str">
        <f t="shared" ref="J7:J35" si="9">IF(H7&lt;&gt;"",H7*0.22,"")</f>
        <v/>
      </c>
      <c r="K7" s="34" t="str">
        <f>IFERROR(INDEX(PRENOTAZIONI!$K:$K,SMALL(PRENOTAZIONI!$AA:$AA,4)),"")</f>
        <v/>
      </c>
      <c r="L7" s="35" t="str">
        <f>IFERROR(INDEX(PRENOTAZIONI!$L:$L,SMALL(PRENOTAZIONI!$AA:$AA,4)),"")</f>
        <v/>
      </c>
      <c r="M7" s="150" t="str">
        <f t="shared" si="3"/>
        <v/>
      </c>
      <c r="N7" s="35" t="str">
        <f t="shared" si="4"/>
        <v/>
      </c>
      <c r="O7" s="35"/>
      <c r="P7" s="43"/>
      <c r="Q7" s="150" t="str">
        <f t="shared" si="5"/>
        <v/>
      </c>
      <c r="R7" s="47" t="str">
        <f>IFERROR(INDEX(PRENOTAZIONI!$R:$R,SMALL(PRENOTAZIONI!$AA:$AA,4)),"")</f>
        <v/>
      </c>
      <c r="S7" s="101"/>
      <c r="T7" s="99" t="str">
        <f>IFERROR(INDEX(PRENOTAZIONI!$A:$A,SMALL(PRENOTAZIONI!$AO:$AO,4)),"")</f>
        <v/>
      </c>
      <c r="U7" s="31" t="str">
        <f>IFERROR(INDEX(PRENOTAZIONI!$B:$B,SMALL(PRENOTAZIONI!$AO:$AO,4)),"")</f>
        <v/>
      </c>
      <c r="V7" s="32" t="str">
        <f t="shared" si="6"/>
        <v/>
      </c>
      <c r="W7" s="34" t="str">
        <f>IFERROR(INDEX(PRENOTAZIONI!$E:$E,SMALL(PRENOTAZIONI!$AO:$AO,4)),"")</f>
        <v/>
      </c>
      <c r="X7" s="34" t="str">
        <f>IFERROR(INDEX(PRENOTAZIONI!$F:$F,SMALL(PRENOTAZIONI!$AO:$AO,4)),"")</f>
        <v/>
      </c>
      <c r="Y7" s="35" t="str">
        <f>IFERROR(INDEX(PRENOTAZIONI!$H:$H,SMALL(PRENOTAZIONI!$AO:$AO,4)),"")</f>
        <v/>
      </c>
      <c r="Z7" s="34" t="str">
        <f>IFERROR(INDEX(PRENOTAZIONI!$K:$K,SMALL(PRENOTAZIONI!$AO:$AO,4)),"")</f>
        <v/>
      </c>
      <c r="AA7" s="34"/>
      <c r="AB7" s="34"/>
      <c r="AC7" s="40" t="str">
        <f t="shared" si="7"/>
        <v/>
      </c>
      <c r="AD7" s="41" t="str">
        <f t="shared" si="8"/>
        <v/>
      </c>
      <c r="AF7" s="38"/>
      <c r="AG7" s="113" t="s">
        <v>184</v>
      </c>
      <c r="AH7" s="114">
        <f>SUMPRODUCT((MONTH(PRENOTAZIONI!$A$3:$A$262)=4)*(YEAR(PRENOTAZIONI!$A$3:$A$262)=2026)*(PRENOTAZIONI!$D$3:$D$262="Casa Bella Gialla"))</f>
        <v>0</v>
      </c>
      <c r="AI7" s="114">
        <f>SUMPRODUCT((PRENOTAZIONI!$A$3:$A$262&lt;DATE(2026,5,1))*(PRENOTAZIONI!$B$3:$B$262&gt;DATE(2026,4,1))*(YEAR(PRENOTAZIONI!$A$3:$A$262)=2026)*(PRENOTAZIONI!$D$3:$D$262="Casa Bella Gialla")*((PRENOTAZIONI!$B$3:$B$262*(PRENOTAZIONI!$B$3:$B$262&lt;DATE(2026,5,1))+DATE(2026,5,1)*(PRENOTAZIONI!$B$3:$B$262&gt;=DATE(2026,5,1)))-(PRENOTAZIONI!$A$3:$A$262*(PRENOTAZIONI!$A$3:$A$262&gt;DATE(2026,4,1))+DATE(2026,4,1)*(PRENOTAZIONI!$A$3:$A$262&lt;=DATE(2026,4,1)))))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 t="str">
        <f>IFERROR(INDEX(PRENOTAZIONI!$A:$A,SMALL(PRENOTAZIONI!$AA:$AA,5)),"")</f>
        <v/>
      </c>
      <c r="B8" s="31" t="str">
        <f>IFERROR(INDEX(PRENOTAZIONI!$B:$B,SMALL(PRENOTAZIONI!$AA:$AA,5)),"")</f>
        <v/>
      </c>
      <c r="C8" s="32" t="str">
        <f t="shared" si="0"/>
        <v/>
      </c>
      <c r="D8" s="34" t="str">
        <f>IFERROR(INDEX(PRENOTAZIONI!$E:$E,SMALL(PRENOTAZIONI!$AA:$AA,5)),"")</f>
        <v/>
      </c>
      <c r="E8" s="34" t="str">
        <f>IFERROR(INDEX(PRENOTAZIONI!$F:$F,SMALL(PRENOTAZIONI!$AA:$AA,5)),"")</f>
        <v/>
      </c>
      <c r="F8" s="34" t="str">
        <f>IFERROR(INDEX(PRENOTAZIONI!$G:$G,SMALL(PRENOTAZIONI!$AA:$AA,5)),"")</f>
        <v/>
      </c>
      <c r="G8" s="35" t="str">
        <f>IFERROR(INDEX(PRENOTAZIONI!$H:$H,SMALL(PRENOTAZIONI!$AA:$AA,5)),"")</f>
        <v/>
      </c>
      <c r="H8" s="146" t="str">
        <f t="shared" si="1"/>
        <v/>
      </c>
      <c r="I8" s="35" t="str">
        <f t="shared" si="2"/>
        <v/>
      </c>
      <c r="J8" s="149" t="str">
        <f t="shared" si="9"/>
        <v/>
      </c>
      <c r="K8" s="34" t="str">
        <f>IFERROR(INDEX(PRENOTAZIONI!$K:$K,SMALL(PRENOTAZIONI!$AA:$AA,5)),"")</f>
        <v/>
      </c>
      <c r="L8" s="35" t="str">
        <f>IFERROR(INDEX(PRENOTAZIONI!$L:$L,SMALL(PRENOTAZIONI!$AA:$AA,5)),"")</f>
        <v/>
      </c>
      <c r="M8" s="150" t="str">
        <f t="shared" si="3"/>
        <v/>
      </c>
      <c r="N8" s="35" t="str">
        <f t="shared" si="4"/>
        <v/>
      </c>
      <c r="O8" s="35"/>
      <c r="P8" s="43"/>
      <c r="Q8" s="150" t="str">
        <f t="shared" si="5"/>
        <v/>
      </c>
      <c r="R8" s="47" t="str">
        <f>IFERROR(INDEX(PRENOTAZIONI!$R:$R,SMALL(PRENOTAZIONI!$AA:$AA,5)),"")</f>
        <v/>
      </c>
      <c r="S8" s="101"/>
      <c r="T8" s="99" t="str">
        <f>IFERROR(INDEX(PRENOTAZIONI!$A:$A,SMALL(PRENOTAZIONI!$AO:$AO,5)),"")</f>
        <v/>
      </c>
      <c r="U8" s="31" t="str">
        <f>IFERROR(INDEX(PRENOTAZIONI!$B:$B,SMALL(PRENOTAZIONI!$AO:$AO,5)),"")</f>
        <v/>
      </c>
      <c r="V8" s="32" t="str">
        <f t="shared" si="6"/>
        <v/>
      </c>
      <c r="W8" s="34" t="str">
        <f>IFERROR(INDEX(PRENOTAZIONI!$E:$E,SMALL(PRENOTAZIONI!$AO:$AO,5)),"")</f>
        <v/>
      </c>
      <c r="X8" s="34" t="str">
        <f>IFERROR(INDEX(PRENOTAZIONI!$F:$F,SMALL(PRENOTAZIONI!$AO:$AO,5)),"")</f>
        <v/>
      </c>
      <c r="Y8" s="35" t="str">
        <f>IFERROR(INDEX(PRENOTAZIONI!$H:$H,SMALL(PRENOTAZIONI!$AO:$AO,5)),"")</f>
        <v/>
      </c>
      <c r="Z8" s="34" t="str">
        <f>IFERROR(INDEX(PRENOTAZIONI!$K:$K,SMALL(PRENOTAZIONI!$AO:$AO,5)),"")</f>
        <v/>
      </c>
      <c r="AA8" s="34"/>
      <c r="AB8" s="34"/>
      <c r="AC8" s="40" t="str">
        <f t="shared" si="7"/>
        <v/>
      </c>
      <c r="AD8" s="41" t="str">
        <f t="shared" si="8"/>
        <v/>
      </c>
      <c r="AF8" s="38"/>
      <c r="AG8" s="113" t="s">
        <v>185</v>
      </c>
      <c r="AH8" s="114">
        <f>SUMPRODUCT((MONTH(PRENOTAZIONI!$A$3:$A$262)=5)*(YEAR(PRENOTAZIONI!$A$3:$A$262)=2026)*(PRENOTAZIONI!$D$3:$D$262="Casa Bella Gialla"))</f>
        <v>0</v>
      </c>
      <c r="AI8" s="114">
        <f>SUMPRODUCT((PRENOTAZIONI!$A$3:$A$262&lt;DATE(2026,6,1))*(PRENOTAZIONI!$B$3:$B$262&gt;DATE(2026,5,1))*(YEAR(PRENOTAZIONI!$A$3:$A$262)=2026)*(PRENOTAZIONI!$D$3:$D$262="Casa Bella Gialla")*((PRENOTAZIONI!$B$3:$B$262*(PRENOTAZIONI!$B$3:$B$262&lt;DATE(2026,6,1))+DATE(2026,6,1)*(PRENOTAZIONI!$B$3:$B$262&gt;=DATE(2026,6,1)))-(PRENOTAZIONI!$A$3:$A$262*(PRENOTAZIONI!$A$3:$A$262&gt;DATE(2026,5,1))+DATE(2026,5,1)*(PRENOTAZIONI!$A$3:$A$262&lt;=DATE(2026,5,1)))))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IFERROR(INDEX(PRENOTAZIONI!$A:$A,SMALL(PRENOTAZIONI!$AA:$AA,6)),"")</f>
        <v/>
      </c>
      <c r="B9" s="31" t="str">
        <f>IFERROR(INDEX(PRENOTAZIONI!$B:$B,SMALL(PRENOTAZIONI!$AA:$AA,6)),"")</f>
        <v/>
      </c>
      <c r="C9" s="32" t="str">
        <f t="shared" si="0"/>
        <v/>
      </c>
      <c r="D9" s="34" t="str">
        <f>IFERROR(INDEX(PRENOTAZIONI!$E:$E,SMALL(PRENOTAZIONI!$AA:$AA,6)),"")</f>
        <v/>
      </c>
      <c r="E9" s="34" t="str">
        <f>IFERROR(INDEX(PRENOTAZIONI!$F:$F,SMALL(PRENOTAZIONI!$AA:$AA,6)),"")</f>
        <v/>
      </c>
      <c r="F9" s="34" t="str">
        <f>IFERROR(INDEX(PRENOTAZIONI!$G:$G,SMALL(PRENOTAZIONI!$AA:$AA,6)),"")</f>
        <v/>
      </c>
      <c r="G9" s="35" t="str">
        <f>IFERROR(INDEX(PRENOTAZIONI!$H:$H,SMALL(PRENOTAZIONI!$AA:$AA,6)),"")</f>
        <v/>
      </c>
      <c r="H9" s="146" t="str">
        <f t="shared" si="1"/>
        <v/>
      </c>
      <c r="I9" s="35" t="str">
        <f t="shared" si="2"/>
        <v/>
      </c>
      <c r="J9" s="149" t="str">
        <f t="shared" si="9"/>
        <v/>
      </c>
      <c r="K9" s="34" t="str">
        <f>IFERROR(INDEX(PRENOTAZIONI!$K:$K,SMALL(PRENOTAZIONI!$AA:$AA,6)),"")</f>
        <v/>
      </c>
      <c r="L9" s="35" t="str">
        <f>IFERROR(INDEX(PRENOTAZIONI!$L:$L,SMALL(PRENOTAZIONI!$AA:$AA,6)),"")</f>
        <v/>
      </c>
      <c r="M9" s="150" t="str">
        <f t="shared" si="3"/>
        <v/>
      </c>
      <c r="N9" s="35" t="str">
        <f t="shared" si="4"/>
        <v/>
      </c>
      <c r="O9" s="35"/>
      <c r="P9" s="43"/>
      <c r="Q9" s="150" t="str">
        <f t="shared" si="5"/>
        <v/>
      </c>
      <c r="R9" s="47" t="str">
        <f>IFERROR(INDEX(PRENOTAZIONI!$R:$R,SMALL(PRENOTAZIONI!$AA:$AA,6)),"")</f>
        <v/>
      </c>
      <c r="S9" s="101"/>
      <c r="T9" s="99" t="str">
        <f>IFERROR(INDEX(PRENOTAZIONI!$A:$A,SMALL(PRENOTAZIONI!$AO:$AO,6)),"")</f>
        <v/>
      </c>
      <c r="U9" s="31" t="str">
        <f>IFERROR(INDEX(PRENOTAZIONI!$B:$B,SMALL(PRENOTAZIONI!$AO:$AO,6)),"")</f>
        <v/>
      </c>
      <c r="V9" s="32" t="str">
        <f t="shared" si="6"/>
        <v/>
      </c>
      <c r="W9" s="34" t="str">
        <f>IFERROR(INDEX(PRENOTAZIONI!$E:$E,SMALL(PRENOTAZIONI!$AO:$AO,6)),"")</f>
        <v/>
      </c>
      <c r="X9" s="34" t="str">
        <f>IFERROR(INDEX(PRENOTAZIONI!$F:$F,SMALL(PRENOTAZIONI!$AO:$AO,6)),"")</f>
        <v/>
      </c>
      <c r="Y9" s="35" t="str">
        <f>IFERROR(INDEX(PRENOTAZIONI!$H:$H,SMALL(PRENOTAZIONI!$AO:$AO,6)),"")</f>
        <v/>
      </c>
      <c r="Z9" s="34" t="str">
        <f>IFERROR(INDEX(PRENOTAZIONI!$K:$K,SMALL(PRENOTAZIONI!$AO:$AO,6)),"")</f>
        <v/>
      </c>
      <c r="AA9" s="34"/>
      <c r="AB9" s="34"/>
      <c r="AC9" s="40" t="str">
        <f t="shared" si="7"/>
        <v/>
      </c>
      <c r="AD9" s="41" t="str">
        <f t="shared" si="8"/>
        <v/>
      </c>
      <c r="AF9" s="38"/>
      <c r="AG9" s="113" t="s">
        <v>186</v>
      </c>
      <c r="AH9" s="114">
        <f>SUMPRODUCT((MONTH(PRENOTAZIONI!$A$3:$A$262)=6)*(YEAR(PRENOTAZIONI!$A$3:$A$262)=2026)*(PRENOTAZIONI!$D$3:$D$262="Casa Bella Gialla"))</f>
        <v>0</v>
      </c>
      <c r="AI9" s="114">
        <f>SUMPRODUCT((PRENOTAZIONI!$A$3:$A$262&lt;DATE(2026,7,1))*(PRENOTAZIONI!$B$3:$B$262&gt;DATE(2026,6,1))*(YEAR(PRENOTAZIONI!$A$3:$A$262)=2026)*(PRENOTAZIONI!$D$3:$D$262="Casa Bella Gialla")*((PRENOTAZIONI!$B$3:$B$262*(PRENOTAZIONI!$B$3:$B$262&lt;DATE(2026,7,1))+DATE(2026,7,1)*(PRENOTAZIONI!$B$3:$B$262&gt;=DATE(2026,7,1)))-(PRENOTAZIONI!$A$3:$A$262*(PRENOTAZIONI!$A$3:$A$262&gt;DATE(2026,6,1))+DATE(2026,6,1)*(PRENOTAZIONI!$A$3:$A$262&lt;=DATE(2026,6,1)))))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60" ht="20" customHeight="1" x14ac:dyDescent="0.2">
      <c r="A10" s="31" t="str">
        <f>IFERROR(INDEX(PRENOTAZIONI!$A:$A,SMALL(PRENOTAZIONI!$AA:$AA,7)),"")</f>
        <v/>
      </c>
      <c r="B10" s="31" t="str">
        <f>IFERROR(INDEX(PRENOTAZIONI!$B:$B,SMALL(PRENOTAZIONI!$AA:$AA,7)),"")</f>
        <v/>
      </c>
      <c r="C10" s="32" t="str">
        <f t="shared" si="0"/>
        <v/>
      </c>
      <c r="D10" s="34" t="str">
        <f>IFERROR(INDEX(PRENOTAZIONI!$E:$E,SMALL(PRENOTAZIONI!$AA:$AA,7)),"")</f>
        <v/>
      </c>
      <c r="E10" s="34" t="str">
        <f>IFERROR(INDEX(PRENOTAZIONI!$F:$F,SMALL(PRENOTAZIONI!$AA:$AA,7)),"")</f>
        <v/>
      </c>
      <c r="F10" s="34" t="str">
        <f>IFERROR(INDEX(PRENOTAZIONI!$G:$G,SMALL(PRENOTAZIONI!$AA:$AA,7)),"")</f>
        <v/>
      </c>
      <c r="G10" s="35" t="str">
        <f>IFERROR(INDEX(PRENOTAZIONI!$H:$H,SMALL(PRENOTAZIONI!$AA:$AA,7)),"")</f>
        <v/>
      </c>
      <c r="H10" s="146" t="str">
        <f t="shared" si="1"/>
        <v/>
      </c>
      <c r="I10" s="35" t="str">
        <f t="shared" si="2"/>
        <v/>
      </c>
      <c r="J10" s="149" t="str">
        <f t="shared" si="9"/>
        <v/>
      </c>
      <c r="K10" s="34" t="str">
        <f>IFERROR(INDEX(PRENOTAZIONI!$K:$K,SMALL(PRENOTAZIONI!$AA:$AA,7)),"")</f>
        <v/>
      </c>
      <c r="L10" s="35" t="str">
        <f>IFERROR(INDEX(PRENOTAZIONI!$L:$L,SMALL(PRENOTAZIONI!$AA:$AA,7)),"")</f>
        <v/>
      </c>
      <c r="M10" s="150" t="str">
        <f t="shared" si="3"/>
        <v/>
      </c>
      <c r="N10" s="35" t="str">
        <f t="shared" si="4"/>
        <v/>
      </c>
      <c r="O10" s="35"/>
      <c r="P10" s="43"/>
      <c r="Q10" s="150" t="str">
        <f t="shared" si="5"/>
        <v/>
      </c>
      <c r="R10" s="47" t="str">
        <f>IFERROR(INDEX(PRENOTAZIONI!$R:$R,SMALL(PRENOTAZIONI!$AA:$AA,7)),"")</f>
        <v/>
      </c>
      <c r="S10" s="101"/>
      <c r="T10" s="99" t="str">
        <f>IFERROR(INDEX(PRENOTAZIONI!$A:$A,SMALL(PRENOTAZIONI!$AO:$AO,7)),"")</f>
        <v/>
      </c>
      <c r="U10" s="31" t="str">
        <f>IFERROR(INDEX(PRENOTAZIONI!$B:$B,SMALL(PRENOTAZIONI!$AO:$AO,7)),"")</f>
        <v/>
      </c>
      <c r="V10" s="32" t="str">
        <f t="shared" si="6"/>
        <v/>
      </c>
      <c r="W10" s="34" t="str">
        <f>IFERROR(INDEX(PRENOTAZIONI!$E:$E,SMALL(PRENOTAZIONI!$AO:$AO,7)),"")</f>
        <v/>
      </c>
      <c r="X10" s="34" t="str">
        <f>IFERROR(INDEX(PRENOTAZIONI!$F:$F,SMALL(PRENOTAZIONI!$AO:$AO,7)),"")</f>
        <v/>
      </c>
      <c r="Y10" s="35" t="str">
        <f>IFERROR(INDEX(PRENOTAZIONI!$H:$H,SMALL(PRENOTAZIONI!$AO:$AO,7)),"")</f>
        <v/>
      </c>
      <c r="Z10" s="34" t="str">
        <f>IFERROR(INDEX(PRENOTAZIONI!$K:$K,SMALL(PRENOTAZIONI!$AO:$AO,7)),"")</f>
        <v/>
      </c>
      <c r="AA10" s="34"/>
      <c r="AB10" s="34"/>
      <c r="AC10" s="40" t="str">
        <f t="shared" si="7"/>
        <v/>
      </c>
      <c r="AD10" s="41" t="str">
        <f t="shared" si="8"/>
        <v/>
      </c>
      <c r="AF10" s="38"/>
      <c r="AG10" s="113" t="s">
        <v>187</v>
      </c>
      <c r="AH10" s="114">
        <f>SUMPRODUCT((MONTH(PRENOTAZIONI!$A$3:$A$262)=7)*(YEAR(PRENOTAZIONI!$A$3:$A$262)=2026)*(PRENOTAZIONI!$D$3:$D$262="Casa Bella Gialla"))</f>
        <v>0</v>
      </c>
      <c r="AI10" s="114">
        <f>SUMPRODUCT((PRENOTAZIONI!$A$3:$A$262&lt;DATE(2026,8,1))*(PRENOTAZIONI!$B$3:$B$262&gt;DATE(2026,7,1))*(YEAR(PRENOTAZIONI!$A$3:$A$262)=2026)*(PRENOTAZIONI!$D$3:$D$262="Casa Bella Gialla")*((PRENOTAZIONI!$B$3:$B$262*(PRENOTAZIONI!$B$3:$B$262&lt;DATE(2026,8,1))+DATE(2026,8,1)*(PRENOTAZIONI!$B$3:$B$262&gt;=DATE(2026,8,1)))-(PRENOTAZIONI!$A$3:$A$262*(PRENOTAZIONI!$A$3:$A$262&gt;DATE(2026,7,1))+DATE(2026,7,1)*(PRENOTAZIONI!$A$3:$A$262&lt;=DATE(2026,7,1)))))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0</v>
      </c>
      <c r="AJ10" s="151">
        <f>SUMIF(A4:A33,"&gt;="&amp;DATE(2026,7,1),G4:G33)-SUMIF(A4:A33,"&gt;="&amp;DATE(2026,8,1),G4:G33)</f>
        <v>0</v>
      </c>
      <c r="AK10" s="151">
        <f>SUMIF(A4:A33,"&gt;="&amp;DATE(2026,7,1),I4:I33)-SUMIF(A4:A33,"&gt;="&amp;DATE(2026,8,1),I4:I33)</f>
        <v>0</v>
      </c>
      <c r="AL10" s="151">
        <f>SUMIF(A4:A33,"&gt;="&amp;DATE(2026,7,1),L4:L33)-SUMIF(A4:A33,"&gt;="&amp;DATE(2026,8,1),L4:L33)</f>
        <v>0</v>
      </c>
      <c r="AM10" s="151">
        <f>SUMIF(A4:A33,"&gt;="&amp;DATE(2026,7,1),N4:N33)-SUMIF(A4:A33,"&gt;="&amp;DATE(2026,8,1),N4:N33)</f>
        <v>0</v>
      </c>
      <c r="AN10" s="152">
        <f>SUMIF(A4:A33,"&gt;="&amp;DATE(2026,7,1),M4:M33)-SUMIF(A4:A33,"&gt;="&amp;DATE(2026,8,1),M4:M33)</f>
        <v>0</v>
      </c>
      <c r="AO10" s="152">
        <f>SUMIF(A4:A33,"&gt;="&amp;DATE(2026,7,1),J4:J33)-SUMIF(A4:A33,"&gt;="&amp;DATE(2026,8,1),J4:J33)</f>
        <v>0</v>
      </c>
      <c r="AP10" s="153">
        <f>SUMIF(A4:A33,"&gt;="&amp;DATE(2026,7,1),Q4:Q33)-SUMIF(A4:A33,"&gt;="&amp;DATE(2026,8,1),Q4:Q33)</f>
        <v>0</v>
      </c>
    </row>
    <row r="11" spans="1:60" ht="20" customHeight="1" x14ac:dyDescent="0.2">
      <c r="A11" s="31" t="str">
        <f>IFERROR(INDEX(PRENOTAZIONI!$A:$A,SMALL(PRENOTAZIONI!$AA:$AA,8)),"")</f>
        <v/>
      </c>
      <c r="B11" s="31" t="str">
        <f>IFERROR(INDEX(PRENOTAZIONI!$B:$B,SMALL(PRENOTAZIONI!$AA:$AA,8)),"")</f>
        <v/>
      </c>
      <c r="C11" s="32" t="str">
        <f t="shared" si="0"/>
        <v/>
      </c>
      <c r="D11" s="34" t="str">
        <f>IFERROR(INDEX(PRENOTAZIONI!$E:$E,SMALL(PRENOTAZIONI!$AA:$AA,8)),"")</f>
        <v/>
      </c>
      <c r="E11" s="34" t="str">
        <f>IFERROR(INDEX(PRENOTAZIONI!$F:$F,SMALL(PRENOTAZIONI!$AA:$AA,8)),"")</f>
        <v/>
      </c>
      <c r="F11" s="34" t="str">
        <f>IFERROR(INDEX(PRENOTAZIONI!$G:$G,SMALL(PRENOTAZIONI!$AA:$AA,8)),"")</f>
        <v/>
      </c>
      <c r="G11" s="35" t="str">
        <f>IFERROR(INDEX(PRENOTAZIONI!$H:$H,SMALL(PRENOTAZIONI!$AA:$AA,8)),"")</f>
        <v/>
      </c>
      <c r="H11" s="146" t="str">
        <f t="shared" si="1"/>
        <v/>
      </c>
      <c r="I11" s="35" t="str">
        <f t="shared" si="2"/>
        <v/>
      </c>
      <c r="J11" s="149" t="str">
        <f t="shared" si="9"/>
        <v/>
      </c>
      <c r="K11" s="34" t="str">
        <f>IFERROR(INDEX(PRENOTAZIONI!$K:$K,SMALL(PRENOTAZIONI!$AA:$AA,8)),"")</f>
        <v/>
      </c>
      <c r="L11" s="35" t="str">
        <f>IFERROR(INDEX(PRENOTAZIONI!$L:$L,SMALL(PRENOTAZIONI!$AA:$AA,8)),"")</f>
        <v/>
      </c>
      <c r="M11" s="150" t="str">
        <f t="shared" si="3"/>
        <v/>
      </c>
      <c r="N11" s="35" t="str">
        <f t="shared" si="4"/>
        <v/>
      </c>
      <c r="O11" s="35"/>
      <c r="P11" s="43"/>
      <c r="Q11" s="150" t="str">
        <f t="shared" si="5"/>
        <v/>
      </c>
      <c r="R11" s="47" t="str">
        <f>IFERROR(INDEX(PRENOTAZIONI!$R:$R,SMALL(PRENOTAZIONI!$AA:$AA,8)),"")</f>
        <v/>
      </c>
      <c r="S11" s="101"/>
      <c r="T11" s="99" t="str">
        <f>IFERROR(INDEX(PRENOTAZIONI!$A:$A,SMALL(PRENOTAZIONI!$AO:$AO,8)),"")</f>
        <v/>
      </c>
      <c r="U11" s="31" t="str">
        <f>IFERROR(INDEX(PRENOTAZIONI!$B:$B,SMALL(PRENOTAZIONI!$AO:$AO,8)),"")</f>
        <v/>
      </c>
      <c r="V11" s="32" t="str">
        <f t="shared" si="6"/>
        <v/>
      </c>
      <c r="W11" s="34" t="str">
        <f>IFERROR(INDEX(PRENOTAZIONI!$E:$E,SMALL(PRENOTAZIONI!$AO:$AO,8)),"")</f>
        <v/>
      </c>
      <c r="X11" s="34" t="str">
        <f>IFERROR(INDEX(PRENOTAZIONI!$F:$F,SMALL(PRENOTAZIONI!$AO:$AO,8)),"")</f>
        <v/>
      </c>
      <c r="Y11" s="35" t="str">
        <f>IFERROR(INDEX(PRENOTAZIONI!$H:$H,SMALL(PRENOTAZIONI!$AO:$AO,8)),"")</f>
        <v/>
      </c>
      <c r="Z11" s="34" t="str">
        <f>IFERROR(INDEX(PRENOTAZIONI!$K:$K,SMALL(PRENOTAZIONI!$AO:$AO,8)),"")</f>
        <v/>
      </c>
      <c r="AA11" s="34"/>
      <c r="AB11" s="34"/>
      <c r="AC11" s="40" t="str">
        <f t="shared" si="7"/>
        <v/>
      </c>
      <c r="AD11" s="41" t="str">
        <f t="shared" si="8"/>
        <v/>
      </c>
      <c r="AF11" s="38"/>
      <c r="AG11" s="113" t="s">
        <v>188</v>
      </c>
      <c r="AH11" s="114">
        <f>SUMPRODUCT((MONTH(PRENOTAZIONI!$A$3:$A$262)=8)*(YEAR(PRENOTAZIONI!$A$3:$A$262)=2026)*(PRENOTAZIONI!$D$3:$D$262="Casa Bella Gialla"))</f>
        <v>1</v>
      </c>
      <c r="AI11" s="114">
        <f>SUMPRODUCT((PRENOTAZIONI!$A$3:$A$262&lt;DATE(2026,9,1))*(PRENOTAZIONI!$B$3:$B$262&gt;DATE(2026,8,1))*(YEAR(PRENOTAZIONI!$A$3:$A$262)=2026)*(PRENOTAZIONI!$D$3:$D$262="Casa Bella Gialla")*((PRENOTAZIONI!$B$3:$B$262*(PRENOTAZIONI!$B$3:$B$262&lt;DATE(2026,9,1))+DATE(2026,9,1)*(PRENOTAZIONI!$B$3:$B$262&gt;=DATE(2026,9,1)))-(PRENOTAZIONI!$A$3:$A$262*(PRENOTAZIONI!$A$3:$A$262&gt;DATE(2026,8,1))+DATE(2026,8,1)*(PRENOTAZIONI!$A$3:$A$262&lt;=DATE(2026,8,1)))))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13</v>
      </c>
      <c r="AJ11" s="151">
        <f>SUMIF(A4:A33,"&gt;="&amp;DATE(2026,8,1),G4:G33)-SUMIF(A4:A33,"&gt;="&amp;DATE(2026,9,1),G4:G33)</f>
        <v>1365</v>
      </c>
      <c r="AK11" s="151">
        <f>SUMIF(A4:A33,"&gt;="&amp;DATE(2026,8,1),I4:I33)-SUMIF(A4:A33,"&gt;="&amp;DATE(2026,9,1),I4:I33)</f>
        <v>0</v>
      </c>
      <c r="AL11" s="151">
        <f>SUMIF(A4:A33,"&gt;="&amp;DATE(2026,8,1),L4:L33)-SUMIF(A4:A33,"&gt;="&amp;DATE(2026,9,1),L4:L33)</f>
        <v>4</v>
      </c>
      <c r="AM11" s="151">
        <f>SUMIF(A4:A33,"&gt;="&amp;DATE(2026,8,1),N4:N33)-SUMIF(A4:A33,"&gt;="&amp;DATE(2026,9,1),N4:N33)</f>
        <v>341.25</v>
      </c>
      <c r="AN11" s="152">
        <f>SUMIF(A4:A33,"&gt;="&amp;DATE(2026,8,1),M4:M33)-SUMIF(A4:A33,"&gt;="&amp;DATE(2026,9,1),M4:M33)</f>
        <v>286.64999999999998</v>
      </c>
      <c r="AO11" s="152">
        <f>SUMIF(A4:A33,"&gt;="&amp;DATE(2026,8,1),J4:J33)-SUMIF(A4:A33,"&gt;="&amp;DATE(2026,9,1),J4:J33)</f>
        <v>0</v>
      </c>
      <c r="AP11" s="153">
        <f>SUMIF(A4:A33,"&gt;="&amp;DATE(2026,8,1),Q4:Q33)-SUMIF(A4:A33,"&gt;="&amp;DATE(2026,9,1),Q4:Q33)</f>
        <v>737.09999999999991</v>
      </c>
    </row>
    <row r="12" spans="1:60" ht="20" customHeight="1" x14ac:dyDescent="0.2">
      <c r="A12" s="31" t="str">
        <f>IFERROR(INDEX(PRENOTAZIONI!$A:$A,SMALL(PRENOTAZIONI!$AA:$AA,9)),"")</f>
        <v/>
      </c>
      <c r="B12" s="31" t="str">
        <f>IFERROR(INDEX(PRENOTAZIONI!$B:$B,SMALL(PRENOTAZIONI!$AA:$AA,9)),"")</f>
        <v/>
      </c>
      <c r="C12" s="32" t="str">
        <f t="shared" si="0"/>
        <v/>
      </c>
      <c r="D12" s="34" t="str">
        <f>IFERROR(INDEX(PRENOTAZIONI!$E:$E,SMALL(PRENOTAZIONI!$AA:$AA,9)),"")</f>
        <v/>
      </c>
      <c r="E12" s="34" t="str">
        <f>IFERROR(INDEX(PRENOTAZIONI!$F:$F,SMALL(PRENOTAZIONI!$AA:$AA,9)),"")</f>
        <v/>
      </c>
      <c r="F12" s="34" t="str">
        <f>IFERROR(INDEX(PRENOTAZIONI!$G:$G,SMALL(PRENOTAZIONI!$AA:$AA,9)),"")</f>
        <v/>
      </c>
      <c r="G12" s="35" t="str">
        <f>IFERROR(INDEX(PRENOTAZIONI!$H:$H,SMALL(PRENOTAZIONI!$AA:$AA,9)),"")</f>
        <v/>
      </c>
      <c r="H12" s="146" t="str">
        <f t="shared" si="1"/>
        <v/>
      </c>
      <c r="I12" s="35" t="str">
        <f t="shared" si="2"/>
        <v/>
      </c>
      <c r="J12" s="149" t="str">
        <f t="shared" si="9"/>
        <v/>
      </c>
      <c r="K12" s="34" t="str">
        <f>IFERROR(INDEX(PRENOTAZIONI!$K:$K,SMALL(PRENOTAZIONI!$AA:$AA,9)),"")</f>
        <v/>
      </c>
      <c r="L12" s="35" t="str">
        <f>IFERROR(INDEX(PRENOTAZIONI!$L:$L,SMALL(PRENOTAZIONI!$AA:$AA,9)),"")</f>
        <v/>
      </c>
      <c r="M12" s="150" t="str">
        <f t="shared" si="3"/>
        <v/>
      </c>
      <c r="N12" s="35" t="str">
        <f t="shared" si="4"/>
        <v/>
      </c>
      <c r="O12" s="35"/>
      <c r="P12" s="43"/>
      <c r="Q12" s="150" t="str">
        <f t="shared" si="5"/>
        <v/>
      </c>
      <c r="R12" s="47" t="str">
        <f>IFERROR(INDEX(PRENOTAZIONI!$R:$R,SMALL(PRENOTAZIONI!$AA:$AA,9)),"")</f>
        <v/>
      </c>
      <c r="S12" s="101"/>
      <c r="T12" s="99" t="str">
        <f>IFERROR(INDEX(PRENOTAZIONI!$A:$A,SMALL(PRENOTAZIONI!$AO:$AO,9)),"")</f>
        <v/>
      </c>
      <c r="U12" s="31" t="str">
        <f>IFERROR(INDEX(PRENOTAZIONI!$B:$B,SMALL(PRENOTAZIONI!$AO:$AO,9)),"")</f>
        <v/>
      </c>
      <c r="V12" s="32" t="str">
        <f t="shared" si="6"/>
        <v/>
      </c>
      <c r="W12" s="34" t="str">
        <f>IFERROR(INDEX(PRENOTAZIONI!$E:$E,SMALL(PRENOTAZIONI!$AO:$AO,9)),"")</f>
        <v/>
      </c>
      <c r="X12" s="34" t="str">
        <f>IFERROR(INDEX(PRENOTAZIONI!$F:$F,SMALL(PRENOTAZIONI!$AO:$AO,9)),"")</f>
        <v/>
      </c>
      <c r="Y12" s="35" t="str">
        <f>IFERROR(INDEX(PRENOTAZIONI!$H:$H,SMALL(PRENOTAZIONI!$AO:$AO,9)),"")</f>
        <v/>
      </c>
      <c r="Z12" s="34" t="str">
        <f>IFERROR(INDEX(PRENOTAZIONI!$K:$K,SMALL(PRENOTAZIONI!$AO:$AO,9)),"")</f>
        <v/>
      </c>
      <c r="AA12" s="34"/>
      <c r="AB12" s="34"/>
      <c r="AC12" s="40" t="str">
        <f t="shared" si="7"/>
        <v/>
      </c>
      <c r="AD12" s="41" t="str">
        <f t="shared" si="8"/>
        <v/>
      </c>
      <c r="AF12" s="38"/>
      <c r="AG12" s="113" t="s">
        <v>189</v>
      </c>
      <c r="AH12" s="114">
        <f>SUMPRODUCT((MONTH(PRENOTAZIONI!$A$3:$A$262)=9)*(YEAR(PRENOTAZIONI!$A$3:$A$262)=2026)*(PRENOTAZIONI!$D$3:$D$262="Casa Bella Gialla"))</f>
        <v>0</v>
      </c>
      <c r="AI12" s="114">
        <f>SUMPRODUCT((PRENOTAZIONI!$A$3:$A$262&lt;DATE(2026,10,1))*(PRENOTAZIONI!$B$3:$B$262&gt;DATE(2026,9,1))*(YEAR(PRENOTAZIONI!$A$3:$A$262)=2026)*(PRENOTAZIONI!$D$3:$D$262="Casa Bella Gialla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IFERROR(INDEX(PRENOTAZIONI!$A:$A,SMALL(PRENOTAZIONI!$AA:$AA,10)),"")</f>
        <v/>
      </c>
      <c r="B13" s="31" t="str">
        <f>IFERROR(INDEX(PRENOTAZIONI!$B:$B,SMALL(PRENOTAZIONI!$AA:$AA,10)),"")</f>
        <v/>
      </c>
      <c r="C13" s="32" t="str">
        <f t="shared" si="0"/>
        <v/>
      </c>
      <c r="D13" s="34" t="str">
        <f>IFERROR(INDEX(PRENOTAZIONI!$E:$E,SMALL(PRENOTAZIONI!$AA:$AA,10)),"")</f>
        <v/>
      </c>
      <c r="E13" s="34" t="str">
        <f>IFERROR(INDEX(PRENOTAZIONI!$F:$F,SMALL(PRENOTAZIONI!$AA:$AA,10)),"")</f>
        <v/>
      </c>
      <c r="F13" s="34" t="str">
        <f>IFERROR(INDEX(PRENOTAZIONI!$G:$G,SMALL(PRENOTAZIONI!$AA:$AA,10)),"")</f>
        <v/>
      </c>
      <c r="G13" s="35" t="str">
        <f>IFERROR(INDEX(PRENOTAZIONI!$H:$H,SMALL(PRENOTAZIONI!$AA:$AA,10)),"")</f>
        <v/>
      </c>
      <c r="H13" s="146" t="str">
        <f t="shared" si="1"/>
        <v/>
      </c>
      <c r="I13" s="35" t="str">
        <f t="shared" si="2"/>
        <v/>
      </c>
      <c r="J13" s="149" t="str">
        <f t="shared" si="9"/>
        <v/>
      </c>
      <c r="K13" s="34" t="str">
        <f>IFERROR(INDEX(PRENOTAZIONI!$K:$K,SMALL(PRENOTAZIONI!$AA:$AA,10)),"")</f>
        <v/>
      </c>
      <c r="L13" s="35" t="str">
        <f>IFERROR(INDEX(PRENOTAZIONI!$L:$L,SMALL(PRENOTAZIONI!$AA:$AA,10)),"")</f>
        <v/>
      </c>
      <c r="M13" s="150" t="str">
        <f t="shared" si="3"/>
        <v/>
      </c>
      <c r="N13" s="35" t="str">
        <f t="shared" si="4"/>
        <v/>
      </c>
      <c r="O13" s="35"/>
      <c r="P13" s="43"/>
      <c r="Q13" s="150" t="str">
        <f t="shared" si="5"/>
        <v/>
      </c>
      <c r="R13" s="47" t="str">
        <f>IFERROR(INDEX(PRENOTAZIONI!$R:$R,SMALL(PRENOTAZIONI!$AA:$AA,10)),"")</f>
        <v/>
      </c>
      <c r="S13" s="101"/>
      <c r="T13" s="99" t="str">
        <f>IFERROR(INDEX(PRENOTAZIONI!$A:$A,SMALL(PRENOTAZIONI!$AO:$AO,10)),"")</f>
        <v/>
      </c>
      <c r="U13" s="31" t="str">
        <f>IFERROR(INDEX(PRENOTAZIONI!$B:$B,SMALL(PRENOTAZIONI!$AO:$AO,10)),"")</f>
        <v/>
      </c>
      <c r="V13" s="32" t="str">
        <f t="shared" si="6"/>
        <v/>
      </c>
      <c r="W13" s="34" t="str">
        <f>IFERROR(INDEX(PRENOTAZIONI!$E:$E,SMALL(PRENOTAZIONI!$AO:$AO,10)),"")</f>
        <v/>
      </c>
      <c r="X13" s="34" t="str">
        <f>IFERROR(INDEX(PRENOTAZIONI!$F:$F,SMALL(PRENOTAZIONI!$AO:$AO,10)),"")</f>
        <v/>
      </c>
      <c r="Y13" s="35" t="str">
        <f>IFERROR(INDEX(PRENOTAZIONI!$H:$H,SMALL(PRENOTAZIONI!$AO:$AO,10)),"")</f>
        <v/>
      </c>
      <c r="Z13" s="34" t="str">
        <f>IFERROR(INDEX(PRENOTAZIONI!$K:$K,SMALL(PRENOTAZIONI!$AO:$AO,10)),"")</f>
        <v/>
      </c>
      <c r="AA13" s="34"/>
      <c r="AB13" s="34"/>
      <c r="AC13" s="40" t="str">
        <f t="shared" si="7"/>
        <v/>
      </c>
      <c r="AD13" s="41" t="str">
        <f t="shared" si="8"/>
        <v/>
      </c>
      <c r="AF13" s="38"/>
      <c r="AG13" s="113" t="s">
        <v>190</v>
      </c>
      <c r="AH13" s="114">
        <f>SUMPRODUCT((MONTH(PRENOTAZIONI!$A$3:$A$262)=10)*(YEAR(PRENOTAZIONI!$A$3:$A$262)=2026)*(PRENOTAZIONI!$D$3:$D$262="Casa Bella Gialla"))</f>
        <v>0</v>
      </c>
      <c r="AI13" s="114">
        <f>SUMPRODUCT((PRENOTAZIONI!$A$3:$A$262&lt;DATE(2026,11,1))*(PRENOTAZIONI!$B$3:$B$262&gt;DATE(2026,10,1))*(YEAR(PRENOTAZIONI!$A$3:$A$262)=2026)*(PRENOTAZIONI!$D$3:$D$262="Casa Bella Gialla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IFERROR(INDEX(PRENOTAZIONI!$A:$A,SMALL(PRENOTAZIONI!$AA:$AA,11)),"")</f>
        <v/>
      </c>
      <c r="B14" s="31" t="str">
        <f>IFERROR(INDEX(PRENOTAZIONI!$B:$B,SMALL(PRENOTAZIONI!$AA:$AA,11)),"")</f>
        <v/>
      </c>
      <c r="C14" s="32" t="str">
        <f t="shared" si="0"/>
        <v/>
      </c>
      <c r="D14" s="34" t="str">
        <f>IFERROR(INDEX(PRENOTAZIONI!$E:$E,SMALL(PRENOTAZIONI!$AA:$AA,11)),"")</f>
        <v/>
      </c>
      <c r="E14" s="34" t="str">
        <f>IFERROR(INDEX(PRENOTAZIONI!$F:$F,SMALL(PRENOTAZIONI!$AA:$AA,11)),"")</f>
        <v/>
      </c>
      <c r="F14" s="34" t="str">
        <f>IFERROR(INDEX(PRENOTAZIONI!$G:$G,SMALL(PRENOTAZIONI!$AA:$AA,11)),"")</f>
        <v/>
      </c>
      <c r="G14" s="35" t="str">
        <f>IFERROR(INDEX(PRENOTAZIONI!$H:$H,SMALL(PRENOTAZIONI!$AA:$AA,11)),"")</f>
        <v/>
      </c>
      <c r="H14" s="146" t="str">
        <f t="shared" si="1"/>
        <v/>
      </c>
      <c r="I14" s="35" t="str">
        <f t="shared" si="2"/>
        <v/>
      </c>
      <c r="J14" s="149" t="str">
        <f t="shared" si="9"/>
        <v/>
      </c>
      <c r="K14" s="34" t="str">
        <f>IFERROR(INDEX(PRENOTAZIONI!$K:$K,SMALL(PRENOTAZIONI!$AA:$AA,11)),"")</f>
        <v/>
      </c>
      <c r="L14" s="35" t="str">
        <f>IFERROR(INDEX(PRENOTAZIONI!$L:$L,SMALL(PRENOTAZIONI!$AA:$AA,11)),"")</f>
        <v/>
      </c>
      <c r="M14" s="150" t="str">
        <f t="shared" si="3"/>
        <v/>
      </c>
      <c r="N14" s="35" t="str">
        <f t="shared" si="4"/>
        <v/>
      </c>
      <c r="O14" s="35"/>
      <c r="P14" s="43"/>
      <c r="Q14" s="150" t="str">
        <f t="shared" si="5"/>
        <v/>
      </c>
      <c r="R14" s="47" t="str">
        <f>IFERROR(INDEX(PRENOTAZIONI!$R:$R,SMALL(PRENOTAZIONI!$AA:$AA,11)),"")</f>
        <v/>
      </c>
      <c r="S14" s="101"/>
      <c r="T14" s="99" t="str">
        <f>IFERROR(INDEX(PRENOTAZIONI!$A:$A,SMALL(PRENOTAZIONI!$AO:$AO,11)),"")</f>
        <v/>
      </c>
      <c r="U14" s="31" t="str">
        <f>IFERROR(INDEX(PRENOTAZIONI!$B:$B,SMALL(PRENOTAZIONI!$AO:$AO,11)),"")</f>
        <v/>
      </c>
      <c r="V14" s="32" t="str">
        <f t="shared" si="6"/>
        <v/>
      </c>
      <c r="W14" s="34" t="str">
        <f>IFERROR(INDEX(PRENOTAZIONI!$E:$E,SMALL(PRENOTAZIONI!$AO:$AO,11)),"")</f>
        <v/>
      </c>
      <c r="X14" s="34" t="str">
        <f>IFERROR(INDEX(PRENOTAZIONI!$F:$F,SMALL(PRENOTAZIONI!$AO:$AO,11)),"")</f>
        <v/>
      </c>
      <c r="Y14" s="35" t="str">
        <f>IFERROR(INDEX(PRENOTAZIONI!$H:$H,SMALL(PRENOTAZIONI!$AO:$AO,11)),"")</f>
        <v/>
      </c>
      <c r="Z14" s="34" t="str">
        <f>IFERROR(INDEX(PRENOTAZIONI!$K:$K,SMALL(PRENOTAZIONI!$AO:$AO,11)),"")</f>
        <v/>
      </c>
      <c r="AA14" s="34"/>
      <c r="AB14" s="34"/>
      <c r="AC14" s="40" t="str">
        <f t="shared" si="7"/>
        <v/>
      </c>
      <c r="AD14" s="41" t="str">
        <f t="shared" si="8"/>
        <v/>
      </c>
      <c r="AF14" s="38"/>
      <c r="AG14" s="113" t="s">
        <v>191</v>
      </c>
      <c r="AH14" s="114">
        <f>SUMPRODUCT((MONTH(PRENOTAZIONI!$A$3:$A$262)=11)*(YEAR(PRENOTAZIONI!$A$3:$A$262)=2026)*(PRENOTAZIONI!$D$3:$D$262="Casa Bella Gialla"))</f>
        <v>0</v>
      </c>
      <c r="AI14" s="114">
        <f>SUMPRODUCT((PRENOTAZIONI!$A$3:$A$262&lt;DATE(2026,12,1))*(PRENOTAZIONI!$B$3:$B$262&gt;DATE(2026,11,1))*(YEAR(PRENOTAZIONI!$A$3:$A$262)=2026)*(PRENOTAZIONI!$D$3:$D$262="Casa Bella Gialla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IFERROR(INDEX(PRENOTAZIONI!$A:$A,SMALL(PRENOTAZIONI!$AA:$AA,12)),"")</f>
        <v/>
      </c>
      <c r="B15" s="31" t="str">
        <f>IFERROR(INDEX(PRENOTAZIONI!$B:$B,SMALL(PRENOTAZIONI!$AA:$AA,12)),"")</f>
        <v/>
      </c>
      <c r="C15" s="32" t="str">
        <f t="shared" si="0"/>
        <v/>
      </c>
      <c r="D15" s="34" t="str">
        <f>IFERROR(INDEX(PRENOTAZIONI!$E:$E,SMALL(PRENOTAZIONI!$AA:$AA,12)),"")</f>
        <v/>
      </c>
      <c r="E15" s="34" t="str">
        <f>IFERROR(INDEX(PRENOTAZIONI!$F:$F,SMALL(PRENOTAZIONI!$AA:$AA,12)),"")</f>
        <v/>
      </c>
      <c r="F15" s="34" t="str">
        <f>IFERROR(INDEX(PRENOTAZIONI!$G:$G,SMALL(PRENOTAZIONI!$AA:$AA,12)),"")</f>
        <v/>
      </c>
      <c r="G15" s="35" t="str">
        <f>IFERROR(INDEX(PRENOTAZIONI!$H:$H,SMALL(PRENOTAZIONI!$AA:$AA,12)),"")</f>
        <v/>
      </c>
      <c r="H15" s="146" t="str">
        <f t="shared" si="1"/>
        <v/>
      </c>
      <c r="I15" s="35" t="str">
        <f t="shared" si="2"/>
        <v/>
      </c>
      <c r="J15" s="149" t="str">
        <f t="shared" si="9"/>
        <v/>
      </c>
      <c r="K15" s="34" t="str">
        <f>IFERROR(INDEX(PRENOTAZIONI!$K:$K,SMALL(PRENOTAZIONI!$AA:$AA,12)),"")</f>
        <v/>
      </c>
      <c r="L15" s="35" t="str">
        <f>IFERROR(INDEX(PRENOTAZIONI!$L:$L,SMALL(PRENOTAZIONI!$AA:$AA,12)),"")</f>
        <v/>
      </c>
      <c r="M15" s="150" t="str">
        <f t="shared" si="3"/>
        <v/>
      </c>
      <c r="N15" s="35" t="str">
        <f t="shared" si="4"/>
        <v/>
      </c>
      <c r="O15" s="35"/>
      <c r="P15" s="43"/>
      <c r="Q15" s="150" t="str">
        <f t="shared" si="5"/>
        <v/>
      </c>
      <c r="R15" s="47" t="str">
        <f>IFERROR(INDEX(PRENOTAZIONI!$R:$R,SMALL(PRENOTAZIONI!$AA:$AA,12)),"")</f>
        <v/>
      </c>
      <c r="S15" s="101"/>
      <c r="T15" s="99" t="str">
        <f>IFERROR(INDEX(PRENOTAZIONI!$A:$A,SMALL(PRENOTAZIONI!$AO:$AO,12)),"")</f>
        <v/>
      </c>
      <c r="U15" s="31" t="str">
        <f>IFERROR(INDEX(PRENOTAZIONI!$B:$B,SMALL(PRENOTAZIONI!$AO:$AO,12)),"")</f>
        <v/>
      </c>
      <c r="V15" s="32" t="str">
        <f t="shared" si="6"/>
        <v/>
      </c>
      <c r="W15" s="34" t="str">
        <f>IFERROR(INDEX(PRENOTAZIONI!$E:$E,SMALL(PRENOTAZIONI!$AO:$AO,12)),"")</f>
        <v/>
      </c>
      <c r="X15" s="34" t="str">
        <f>IFERROR(INDEX(PRENOTAZIONI!$F:$F,SMALL(PRENOTAZIONI!$AO:$AO,12)),"")</f>
        <v/>
      </c>
      <c r="Y15" s="35" t="str">
        <f>IFERROR(INDEX(PRENOTAZIONI!$H:$H,SMALL(PRENOTAZIONI!$AO:$AO,12)),"")</f>
        <v/>
      </c>
      <c r="Z15" s="34" t="str">
        <f>IFERROR(INDEX(PRENOTAZIONI!$K:$K,SMALL(PRENOTAZIONI!$AO:$AO,12)),"")</f>
        <v/>
      </c>
      <c r="AA15" s="34"/>
      <c r="AB15" s="34"/>
      <c r="AC15" s="40" t="str">
        <f t="shared" si="7"/>
        <v/>
      </c>
      <c r="AD15" s="41" t="str">
        <f t="shared" si="8"/>
        <v/>
      </c>
      <c r="AF15" s="38"/>
      <c r="AG15" s="113" t="s">
        <v>192</v>
      </c>
      <c r="AH15" s="114">
        <f>SUMPRODUCT((MONTH(PRENOTAZIONI!$A$3:$A$262)=12)*(YEAR(PRENOTAZIONI!$A$3:$A$262)=2026)*(PRENOTAZIONI!$D$3:$D$262="Casa Bella Gialla"))</f>
        <v>0</v>
      </c>
      <c r="AI15" s="114">
        <f>SUMPRODUCT((PRENOTAZIONI!$A$3:$A$262&lt;DATE(2027,1,1))*(PRENOTAZIONI!$B$3:$B$262&gt;DATE(2026,12,1))*(YEAR(PRENOTAZIONI!$A$3:$A$262)=2026)*(PRENOTAZIONI!$D$3:$D$262="Casa Bella Gialla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IFERROR(INDEX(PRENOTAZIONI!$A:$A,SMALL(PRENOTAZIONI!$AA:$AA,13)),"")</f>
        <v/>
      </c>
      <c r="B16" s="31" t="str">
        <f>IFERROR(INDEX(PRENOTAZIONI!$B:$B,SMALL(PRENOTAZIONI!$AA:$AA,13)),"")</f>
        <v/>
      </c>
      <c r="C16" s="32" t="str">
        <f t="shared" si="0"/>
        <v/>
      </c>
      <c r="D16" s="34" t="str">
        <f>IFERROR(INDEX(PRENOTAZIONI!$E:$E,SMALL(PRENOTAZIONI!$AA:$AA,13)),"")</f>
        <v/>
      </c>
      <c r="E16" s="34" t="str">
        <f>IFERROR(INDEX(PRENOTAZIONI!$F:$F,SMALL(PRENOTAZIONI!$AA:$AA,13)),"")</f>
        <v/>
      </c>
      <c r="F16" s="34" t="str">
        <f>IFERROR(INDEX(PRENOTAZIONI!$G:$G,SMALL(PRENOTAZIONI!$AA:$AA,13)),"")</f>
        <v/>
      </c>
      <c r="G16" s="35" t="str">
        <f>IFERROR(INDEX(PRENOTAZIONI!$H:$H,SMALL(PRENOTAZIONI!$AA:$AA,13)),"")</f>
        <v/>
      </c>
      <c r="H16" s="146" t="str">
        <f t="shared" si="1"/>
        <v/>
      </c>
      <c r="I16" s="35" t="str">
        <f t="shared" si="2"/>
        <v/>
      </c>
      <c r="J16" s="149" t="str">
        <f t="shared" si="9"/>
        <v/>
      </c>
      <c r="K16" s="34" t="str">
        <f>IFERROR(INDEX(PRENOTAZIONI!$K:$K,SMALL(PRENOTAZIONI!$AA:$AA,13)),"")</f>
        <v/>
      </c>
      <c r="L16" s="35" t="str">
        <f>IFERROR(INDEX(PRENOTAZIONI!$L:$L,SMALL(PRENOTAZIONI!$AA:$AA,13)),"")</f>
        <v/>
      </c>
      <c r="M16" s="150" t="str">
        <f t="shared" si="3"/>
        <v/>
      </c>
      <c r="N16" s="35" t="s">
        <v>280</v>
      </c>
      <c r="O16" s="35"/>
      <c r="P16" s="43"/>
      <c r="Q16" s="150" t="str">
        <f t="shared" si="5"/>
        <v/>
      </c>
      <c r="R16" s="47" t="str">
        <f>IFERROR(INDEX(PRENOTAZIONI!$R:$R,SMALL(PRENOTAZIONI!$AA:$AA,13)),"")</f>
        <v/>
      </c>
      <c r="S16" s="101"/>
      <c r="T16" s="99" t="str">
        <f>IFERROR(INDEX(PRENOTAZIONI!$A:$A,SMALL(PRENOTAZIONI!$AO:$AO,13)),"")</f>
        <v/>
      </c>
      <c r="U16" s="31" t="str">
        <f>IFERROR(INDEX(PRENOTAZIONI!$B:$B,SMALL(PRENOTAZIONI!$AO:$AO,13)),"")</f>
        <v/>
      </c>
      <c r="V16" s="32" t="str">
        <f t="shared" si="6"/>
        <v/>
      </c>
      <c r="W16" s="34" t="str">
        <f>IFERROR(INDEX(PRENOTAZIONI!$E:$E,SMALL(PRENOTAZIONI!$AO:$AO,13)),"")</f>
        <v/>
      </c>
      <c r="X16" s="34" t="str">
        <f>IFERROR(INDEX(PRENOTAZIONI!$F:$F,SMALL(PRENOTAZIONI!$AO:$AO,13)),"")</f>
        <v/>
      </c>
      <c r="Y16" s="35" t="str">
        <f>IFERROR(INDEX(PRENOTAZIONI!$H:$H,SMALL(PRENOTAZIONI!$AO:$AO,13)),"")</f>
        <v/>
      </c>
      <c r="Z16" s="34" t="str">
        <f>IFERROR(INDEX(PRENOTAZIONI!$K:$K,SMALL(PRENOTAZIONI!$AO:$AO,13)),"")</f>
        <v/>
      </c>
      <c r="AA16" s="34"/>
      <c r="AB16" s="34"/>
      <c r="AC16" s="40" t="str">
        <f t="shared" si="7"/>
        <v/>
      </c>
      <c r="AD16" s="41" t="str">
        <f t="shared" si="8"/>
        <v/>
      </c>
      <c r="AF16" s="38"/>
      <c r="AG16" s="115" t="s">
        <v>196</v>
      </c>
      <c r="AH16" s="116">
        <f t="shared" ref="AH16:AP16" si="10">SUM(AH4:AH15)</f>
        <v>2</v>
      </c>
      <c r="AI16" s="116">
        <f t="shared" si="10"/>
        <v>16</v>
      </c>
      <c r="AJ16" s="116">
        <f t="shared" si="10"/>
        <v>1567.65</v>
      </c>
      <c r="AK16" s="116">
        <f t="shared" si="10"/>
        <v>30.397500000000001</v>
      </c>
      <c r="AL16" s="116">
        <f t="shared" si="10"/>
        <v>8</v>
      </c>
      <c r="AM16" s="116">
        <f t="shared" si="10"/>
        <v>391.91250000000002</v>
      </c>
      <c r="AN16" s="116">
        <f t="shared" si="10"/>
        <v>329.20650000000001</v>
      </c>
      <c r="AO16" s="117">
        <f t="shared" si="10"/>
        <v>6.6874500000000001</v>
      </c>
      <c r="AP16" s="117">
        <f t="shared" si="10"/>
        <v>809.4460499999999</v>
      </c>
    </row>
    <row r="17" spans="1:42" ht="22" customHeight="1" x14ac:dyDescent="0.2">
      <c r="A17" s="31" t="str">
        <f>IFERROR(INDEX(PRENOTAZIONI!$A:$A,SMALL(PRENOTAZIONI!$AA:$AA,14)),"")</f>
        <v/>
      </c>
      <c r="B17" s="31" t="str">
        <f>IFERROR(INDEX(PRENOTAZIONI!$B:$B,SMALL(PRENOTAZIONI!$AA:$AA,14)),"")</f>
        <v/>
      </c>
      <c r="C17" s="32" t="str">
        <f t="shared" si="0"/>
        <v/>
      </c>
      <c r="D17" s="34" t="str">
        <f>IFERROR(INDEX(PRENOTAZIONI!$E:$E,SMALL(PRENOTAZIONI!$AA:$AA,14)),"")</f>
        <v/>
      </c>
      <c r="E17" s="34" t="str">
        <f>IFERROR(INDEX(PRENOTAZIONI!$F:$F,SMALL(PRENOTAZIONI!$AA:$AA,14)),"")</f>
        <v/>
      </c>
      <c r="F17" s="34" t="str">
        <f>IFERROR(INDEX(PRENOTAZIONI!$G:$G,SMALL(PRENOTAZIONI!$AA:$AA,14)),"")</f>
        <v/>
      </c>
      <c r="G17" s="35" t="str">
        <f>IFERROR(INDEX(PRENOTAZIONI!$H:$H,SMALL(PRENOTAZIONI!$AA:$AA,14)),"")</f>
        <v/>
      </c>
      <c r="H17" s="146" t="str">
        <f t="shared" si="1"/>
        <v/>
      </c>
      <c r="I17" s="35" t="str">
        <f t="shared" si="2"/>
        <v/>
      </c>
      <c r="J17" s="149" t="str">
        <f t="shared" si="9"/>
        <v/>
      </c>
      <c r="K17" s="34" t="str">
        <f>IFERROR(INDEX(PRENOTAZIONI!$K:$K,SMALL(PRENOTAZIONI!$AA:$AA,14)),"")</f>
        <v/>
      </c>
      <c r="L17" s="35" t="str">
        <f>IFERROR(INDEX(PRENOTAZIONI!$L:$L,SMALL(PRENOTAZIONI!$AA:$AA,14)),"")</f>
        <v/>
      </c>
      <c r="M17" s="150" t="str">
        <f t="shared" si="3"/>
        <v/>
      </c>
      <c r="N17" s="35" t="str">
        <f t="shared" ref="N17:N63" si="11">IF(G17&lt;&gt;"",G17*0.25,"")</f>
        <v/>
      </c>
      <c r="O17" s="35"/>
      <c r="P17" s="43"/>
      <c r="Q17" s="150" t="str">
        <f t="shared" si="5"/>
        <v/>
      </c>
      <c r="R17" s="47" t="str">
        <f>IFERROR(INDEX(PRENOTAZIONI!$R:$R,SMALL(PRENOTAZIONI!$AA:$AA,14)),"")</f>
        <v/>
      </c>
      <c r="S17" s="101"/>
      <c r="T17" s="99" t="str">
        <f>IFERROR(INDEX(PRENOTAZIONI!$A:$A,SMALL(PRENOTAZIONI!$AO:$AO,14)),"")</f>
        <v/>
      </c>
      <c r="U17" s="31" t="str">
        <f>IFERROR(INDEX(PRENOTAZIONI!$B:$B,SMALL(PRENOTAZIONI!$AO:$AO,14)),"")</f>
        <v/>
      </c>
      <c r="V17" s="32" t="str">
        <f t="shared" si="6"/>
        <v/>
      </c>
      <c r="W17" s="34" t="str">
        <f>IFERROR(INDEX(PRENOTAZIONI!$E:$E,SMALL(PRENOTAZIONI!$AO:$AO,14)),"")</f>
        <v/>
      </c>
      <c r="X17" s="34" t="str">
        <f>IFERROR(INDEX(PRENOTAZIONI!$F:$F,SMALL(PRENOTAZIONI!$AO:$AO,14)),"")</f>
        <v/>
      </c>
      <c r="Y17" s="35" t="str">
        <f>IFERROR(INDEX(PRENOTAZIONI!$H:$H,SMALL(PRENOTAZIONI!$AO:$AO,14)),"")</f>
        <v/>
      </c>
      <c r="Z17" s="34" t="str">
        <f>IFERROR(INDEX(PRENOTAZIONI!$K:$K,SMALL(PRENOTAZIONI!$AO:$AO,14)),"")</f>
        <v/>
      </c>
      <c r="AA17" s="34"/>
      <c r="AB17" s="34"/>
      <c r="AC17" s="40" t="str">
        <f t="shared" si="7"/>
        <v/>
      </c>
      <c r="AD17" s="41" t="str">
        <f t="shared" si="8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IFERROR(INDEX(PRENOTAZIONI!$A:$A,SMALL(PRENOTAZIONI!$AA:$AA,15)),"")</f>
        <v/>
      </c>
      <c r="B18" s="31" t="str">
        <f>IFERROR(INDEX(PRENOTAZIONI!$B:$B,SMALL(PRENOTAZIONI!$AA:$AA,15)),"")</f>
        <v/>
      </c>
      <c r="C18" s="32" t="str">
        <f t="shared" si="0"/>
        <v/>
      </c>
      <c r="D18" s="34" t="str">
        <f>IFERROR(INDEX(PRENOTAZIONI!$E:$E,SMALL(PRENOTAZIONI!$AA:$AA,15)),"")</f>
        <v/>
      </c>
      <c r="E18" s="34" t="str">
        <f>IFERROR(INDEX(PRENOTAZIONI!$F:$F,SMALL(PRENOTAZIONI!$AA:$AA,15)),"")</f>
        <v/>
      </c>
      <c r="F18" s="34" t="str">
        <f>IFERROR(INDEX(PRENOTAZIONI!$G:$G,SMALL(PRENOTAZIONI!$AA:$AA,15)),"")</f>
        <v/>
      </c>
      <c r="G18" s="35" t="str">
        <f>IFERROR(INDEX(PRENOTAZIONI!$H:$H,SMALL(PRENOTAZIONI!$AA:$AA,15)),"")</f>
        <v/>
      </c>
      <c r="H18" s="146" t="str">
        <f t="shared" si="1"/>
        <v/>
      </c>
      <c r="I18" s="35" t="str">
        <f t="shared" si="2"/>
        <v/>
      </c>
      <c r="J18" s="149" t="str">
        <f t="shared" si="9"/>
        <v/>
      </c>
      <c r="K18" s="34" t="str">
        <f>IFERROR(INDEX(PRENOTAZIONI!$K:$K,SMALL(PRENOTAZIONI!$AA:$AA,15)),"")</f>
        <v/>
      </c>
      <c r="L18" s="35" t="str">
        <f>IFERROR(INDEX(PRENOTAZIONI!$L:$L,SMALL(PRENOTAZIONI!$AA:$AA,15)),"")</f>
        <v/>
      </c>
      <c r="M18" s="150" t="str">
        <f t="shared" si="3"/>
        <v/>
      </c>
      <c r="N18" s="35" t="str">
        <f t="shared" si="11"/>
        <v/>
      </c>
      <c r="O18" s="35"/>
      <c r="P18" s="43"/>
      <c r="Q18" s="150" t="str">
        <f t="shared" si="5"/>
        <v/>
      </c>
      <c r="R18" s="47" t="str">
        <f>IFERROR(INDEX(PRENOTAZIONI!$R:$R,SMALL(PRENOTAZIONI!$AA:$AA,15)),"")</f>
        <v/>
      </c>
      <c r="S18" s="101"/>
      <c r="T18" s="99" t="str">
        <f>IFERROR(INDEX(PRENOTAZIONI!$A:$A,SMALL(PRENOTAZIONI!$AO:$AO,15)),"")</f>
        <v/>
      </c>
      <c r="U18" s="31" t="str">
        <f>IFERROR(INDEX(PRENOTAZIONI!$B:$B,SMALL(PRENOTAZIONI!$AO:$AO,15)),"")</f>
        <v/>
      </c>
      <c r="V18" s="32" t="str">
        <f t="shared" si="6"/>
        <v/>
      </c>
      <c r="W18" s="34" t="str">
        <f>IFERROR(INDEX(PRENOTAZIONI!$E:$E,SMALL(PRENOTAZIONI!$AO:$AO,15)),"")</f>
        <v/>
      </c>
      <c r="X18" s="34" t="str">
        <f>IFERROR(INDEX(PRENOTAZIONI!$F:$F,SMALL(PRENOTAZIONI!$AO:$AO,15)),"")</f>
        <v/>
      </c>
      <c r="Y18" s="35" t="str">
        <f>IFERROR(INDEX(PRENOTAZIONI!$H:$H,SMALL(PRENOTAZIONI!$AO:$AO,15)),"")</f>
        <v/>
      </c>
      <c r="Z18" s="34" t="str">
        <f>IFERROR(INDEX(PRENOTAZIONI!$K:$K,SMALL(PRENOTAZIONI!$AO:$AO,15)),"")</f>
        <v/>
      </c>
      <c r="AA18" s="34"/>
      <c r="AB18" s="34"/>
      <c r="AC18" s="40" t="str">
        <f t="shared" si="7"/>
        <v/>
      </c>
      <c r="AD18" s="41" t="str">
        <f t="shared" si="8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IFERROR(INDEX(PRENOTAZIONI!$A:$A,SMALL(PRENOTAZIONI!$AA:$AA,16)),"")</f>
        <v/>
      </c>
      <c r="B19" s="31" t="str">
        <f>IFERROR(INDEX(PRENOTAZIONI!$B:$B,SMALL(PRENOTAZIONI!$AA:$AA,16)),"")</f>
        <v/>
      </c>
      <c r="C19" s="32" t="str">
        <f t="shared" si="0"/>
        <v/>
      </c>
      <c r="D19" s="34" t="str">
        <f>IFERROR(INDEX(PRENOTAZIONI!$E:$E,SMALL(PRENOTAZIONI!$AA:$AA,16)),"")</f>
        <v/>
      </c>
      <c r="E19" s="34" t="str">
        <f>IFERROR(INDEX(PRENOTAZIONI!$F:$F,SMALL(PRENOTAZIONI!$AA:$AA,16)),"")</f>
        <v/>
      </c>
      <c r="F19" s="34" t="str">
        <f>IFERROR(INDEX(PRENOTAZIONI!$G:$G,SMALL(PRENOTAZIONI!$AA:$AA,16)),"")</f>
        <v/>
      </c>
      <c r="G19" s="35" t="str">
        <f>IFERROR(INDEX(PRENOTAZIONI!$H:$H,SMALL(PRENOTAZIONI!$AA:$AA,16)),"")</f>
        <v/>
      </c>
      <c r="H19" s="146" t="str">
        <f t="shared" si="1"/>
        <v/>
      </c>
      <c r="I19" s="35" t="str">
        <f t="shared" si="2"/>
        <v/>
      </c>
      <c r="J19" s="149" t="str">
        <f t="shared" si="9"/>
        <v/>
      </c>
      <c r="K19" s="34" t="str">
        <f>IFERROR(INDEX(PRENOTAZIONI!$K:$K,SMALL(PRENOTAZIONI!$AA:$AA,16)),"")</f>
        <v/>
      </c>
      <c r="L19" s="35" t="str">
        <f>IFERROR(INDEX(PRENOTAZIONI!$L:$L,SMALL(PRENOTAZIONI!$AA:$AA,16)),"")</f>
        <v/>
      </c>
      <c r="M19" s="150" t="str">
        <f t="shared" si="3"/>
        <v/>
      </c>
      <c r="N19" s="35" t="str">
        <f t="shared" si="11"/>
        <v/>
      </c>
      <c r="O19" s="35"/>
      <c r="P19" s="43"/>
      <c r="Q19" s="150" t="str">
        <f t="shared" si="5"/>
        <v/>
      </c>
      <c r="R19" s="47" t="str">
        <f>IFERROR(INDEX(PRENOTAZIONI!$R:$R,SMALL(PRENOTAZIONI!$AA:$AA,16)),"")</f>
        <v/>
      </c>
      <c r="S19" s="101"/>
      <c r="T19" s="99" t="str">
        <f>IFERROR(INDEX(PRENOTAZIONI!$A:$A,SMALL(PRENOTAZIONI!$AO:$AO,16)),"")</f>
        <v/>
      </c>
      <c r="U19" s="31" t="str">
        <f>IFERROR(INDEX(PRENOTAZIONI!$B:$B,SMALL(PRENOTAZIONI!$AO:$AO,16)),"")</f>
        <v/>
      </c>
      <c r="V19" s="32" t="str">
        <f t="shared" si="6"/>
        <v/>
      </c>
      <c r="W19" s="34" t="str">
        <f>IFERROR(INDEX(PRENOTAZIONI!$E:$E,SMALL(PRENOTAZIONI!$AO:$AO,16)),"")</f>
        <v/>
      </c>
      <c r="X19" s="34" t="str">
        <f>IFERROR(INDEX(PRENOTAZIONI!$F:$F,SMALL(PRENOTAZIONI!$AO:$AO,16)),"")</f>
        <v/>
      </c>
      <c r="Y19" s="35" t="str">
        <f>IFERROR(INDEX(PRENOTAZIONI!$H:$H,SMALL(PRENOTAZIONI!$AO:$AO,16)),"")</f>
        <v/>
      </c>
      <c r="Z19" s="34" t="str">
        <f>IFERROR(INDEX(PRENOTAZIONI!$K:$K,SMALL(PRENOTAZIONI!$AO:$AO,16)),"")</f>
        <v/>
      </c>
      <c r="AA19" s="34"/>
      <c r="AB19" s="34"/>
      <c r="AC19" s="40" t="str">
        <f t="shared" si="7"/>
        <v/>
      </c>
      <c r="AD19" s="41" t="str">
        <f t="shared" si="8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IFERROR(INDEX(PRENOTAZIONI!$A:$A,SMALL(PRENOTAZIONI!$AA:$AA,17)),"")</f>
        <v/>
      </c>
      <c r="B20" s="31" t="str">
        <f>IFERROR(INDEX(PRENOTAZIONI!$B:$B,SMALL(PRENOTAZIONI!$AA:$AA,17)),"")</f>
        <v/>
      </c>
      <c r="C20" s="32" t="str">
        <f t="shared" si="0"/>
        <v/>
      </c>
      <c r="D20" s="34" t="str">
        <f>IFERROR(INDEX(PRENOTAZIONI!$E:$E,SMALL(PRENOTAZIONI!$AA:$AA,17)),"")</f>
        <v/>
      </c>
      <c r="E20" s="34" t="str">
        <f>IFERROR(INDEX(PRENOTAZIONI!$F:$F,SMALL(PRENOTAZIONI!$AA:$AA,17)),"")</f>
        <v/>
      </c>
      <c r="F20" s="34" t="str">
        <f>IFERROR(INDEX(PRENOTAZIONI!$G:$G,SMALL(PRENOTAZIONI!$AA:$AA,17)),"")</f>
        <v/>
      </c>
      <c r="G20" s="35" t="str">
        <f>IFERROR(INDEX(PRENOTAZIONI!$H:$H,SMALL(PRENOTAZIONI!$AA:$AA,17)),"")</f>
        <v/>
      </c>
      <c r="H20" s="146" t="str">
        <f t="shared" si="1"/>
        <v/>
      </c>
      <c r="I20" s="35" t="str">
        <f t="shared" si="2"/>
        <v/>
      </c>
      <c r="J20" s="149" t="str">
        <f t="shared" si="9"/>
        <v/>
      </c>
      <c r="K20" s="34" t="str">
        <f>IFERROR(INDEX(PRENOTAZIONI!$K:$K,SMALL(PRENOTAZIONI!$AA:$AA,17)),"")</f>
        <v/>
      </c>
      <c r="L20" s="35" t="str">
        <f>IFERROR(INDEX(PRENOTAZIONI!$L:$L,SMALL(PRENOTAZIONI!$AA:$AA,17)),"")</f>
        <v/>
      </c>
      <c r="M20" s="150" t="str">
        <f t="shared" si="3"/>
        <v/>
      </c>
      <c r="N20" s="35" t="str">
        <f t="shared" si="11"/>
        <v/>
      </c>
      <c r="O20" s="35"/>
      <c r="P20" s="43"/>
      <c r="Q20" s="150" t="str">
        <f t="shared" si="5"/>
        <v/>
      </c>
      <c r="R20" s="47" t="str">
        <f>IFERROR(INDEX(PRENOTAZIONI!$R:$R,SMALL(PRENOTAZIONI!$AA:$AA,17)),"")</f>
        <v/>
      </c>
      <c r="S20" s="101"/>
      <c r="T20" s="99" t="str">
        <f>IFERROR(INDEX(PRENOTAZIONI!$A:$A,SMALL(PRENOTAZIONI!$AO:$AO,17)),"")</f>
        <v/>
      </c>
      <c r="U20" s="31" t="str">
        <f>IFERROR(INDEX(PRENOTAZIONI!$B:$B,SMALL(PRENOTAZIONI!$AO:$AO,17)),"")</f>
        <v/>
      </c>
      <c r="V20" s="32" t="str">
        <f t="shared" si="6"/>
        <v/>
      </c>
      <c r="W20" s="34" t="str">
        <f>IFERROR(INDEX(PRENOTAZIONI!$E:$E,SMALL(PRENOTAZIONI!$AO:$AO,17)),"")</f>
        <v/>
      </c>
      <c r="X20" s="34" t="str">
        <f>IFERROR(INDEX(PRENOTAZIONI!$F:$F,SMALL(PRENOTAZIONI!$AO:$AO,17)),"")</f>
        <v/>
      </c>
      <c r="Y20" s="35" t="str">
        <f>IFERROR(INDEX(PRENOTAZIONI!$H:$H,SMALL(PRENOTAZIONI!$AO:$AO,17)),"")</f>
        <v/>
      </c>
      <c r="Z20" s="34" t="str">
        <f>IFERROR(INDEX(PRENOTAZIONI!$K:$K,SMALL(PRENOTAZIONI!$AO:$AO,17)),"")</f>
        <v/>
      </c>
      <c r="AA20" s="34"/>
      <c r="AB20" s="34"/>
      <c r="AC20" s="40" t="str">
        <f t="shared" si="7"/>
        <v/>
      </c>
      <c r="AD20" s="41" t="str">
        <f t="shared" si="8"/>
        <v/>
      </c>
    </row>
    <row r="21" spans="1:42" ht="22" customHeight="1" x14ac:dyDescent="0.2">
      <c r="A21" s="31" t="str">
        <f>IFERROR(INDEX(PRENOTAZIONI!$A:$A,SMALL(PRENOTAZIONI!$AA:$AA,18)),"")</f>
        <v/>
      </c>
      <c r="B21" s="31" t="str">
        <f>IFERROR(INDEX(PRENOTAZIONI!$B:$B,SMALL(PRENOTAZIONI!$AA:$AA,18)),"")</f>
        <v/>
      </c>
      <c r="C21" s="32" t="str">
        <f t="shared" si="0"/>
        <v/>
      </c>
      <c r="D21" s="34" t="str">
        <f>IFERROR(INDEX(PRENOTAZIONI!$E:$E,SMALL(PRENOTAZIONI!$AA:$AA,18)),"")</f>
        <v/>
      </c>
      <c r="E21" s="34" t="str">
        <f>IFERROR(INDEX(PRENOTAZIONI!$F:$F,SMALL(PRENOTAZIONI!$AA:$AA,18)),"")</f>
        <v/>
      </c>
      <c r="F21" s="34" t="str">
        <f>IFERROR(INDEX(PRENOTAZIONI!$G:$G,SMALL(PRENOTAZIONI!$AA:$AA,18)),"")</f>
        <v/>
      </c>
      <c r="G21" s="35" t="str">
        <f>IFERROR(INDEX(PRENOTAZIONI!$H:$H,SMALL(PRENOTAZIONI!$AA:$AA,18)),"")</f>
        <v/>
      </c>
      <c r="H21" s="146" t="str">
        <f t="shared" si="1"/>
        <v/>
      </c>
      <c r="I21" s="35" t="str">
        <f t="shared" si="2"/>
        <v/>
      </c>
      <c r="J21" s="149" t="str">
        <f t="shared" si="9"/>
        <v/>
      </c>
      <c r="K21" s="34" t="str">
        <f>IFERROR(INDEX(PRENOTAZIONI!$K:$K,SMALL(PRENOTAZIONI!$AA:$AA,18)),"")</f>
        <v/>
      </c>
      <c r="L21" s="35" t="str">
        <f>IFERROR(INDEX(PRENOTAZIONI!$L:$L,SMALL(PRENOTAZIONI!$AA:$AA,18)),"")</f>
        <v/>
      </c>
      <c r="M21" s="150" t="str">
        <f t="shared" si="3"/>
        <v/>
      </c>
      <c r="N21" s="35" t="str">
        <f t="shared" si="11"/>
        <v/>
      </c>
      <c r="O21" s="35"/>
      <c r="P21" s="43"/>
      <c r="Q21" s="150" t="str">
        <f t="shared" si="5"/>
        <v/>
      </c>
      <c r="R21" s="47" t="str">
        <f>IFERROR(INDEX(PRENOTAZIONI!$R:$R,SMALL(PRENOTAZIONI!$AA:$AA,18)),"")</f>
        <v/>
      </c>
      <c r="S21" s="101"/>
      <c r="T21" s="99" t="str">
        <f>IFERROR(INDEX(PRENOTAZIONI!$A:$A,SMALL(PRENOTAZIONI!$AO:$AO,18)),"")</f>
        <v/>
      </c>
      <c r="U21" s="31" t="str">
        <f>IFERROR(INDEX(PRENOTAZIONI!$B:$B,SMALL(PRENOTAZIONI!$AO:$AO,18)),"")</f>
        <v/>
      </c>
      <c r="V21" s="32" t="str">
        <f t="shared" si="6"/>
        <v/>
      </c>
      <c r="W21" s="34" t="str">
        <f>IFERROR(INDEX(PRENOTAZIONI!$E:$E,SMALL(PRENOTAZIONI!$AO:$AO,18)),"")</f>
        <v/>
      </c>
      <c r="X21" s="34" t="str">
        <f>IFERROR(INDEX(PRENOTAZIONI!$F:$F,SMALL(PRENOTAZIONI!$AO:$AO,18)),"")</f>
        <v/>
      </c>
      <c r="Y21" s="35" t="str">
        <f>IFERROR(INDEX(PRENOTAZIONI!$H:$H,SMALL(PRENOTAZIONI!$AO:$AO,18)),"")</f>
        <v/>
      </c>
      <c r="Z21" s="34" t="str">
        <f>IFERROR(INDEX(PRENOTAZIONI!$K:$K,SMALL(PRENOTAZIONI!$AO:$AO,18)),"")</f>
        <v/>
      </c>
      <c r="AA21" s="34"/>
      <c r="AB21" s="34"/>
      <c r="AC21" s="40" t="str">
        <f t="shared" si="7"/>
        <v/>
      </c>
      <c r="AD21" s="41" t="str">
        <f t="shared" si="8"/>
        <v/>
      </c>
    </row>
    <row r="22" spans="1:42" ht="22" customHeight="1" x14ac:dyDescent="0.2">
      <c r="A22" s="31" t="str">
        <f>IFERROR(INDEX(PRENOTAZIONI!$A:$A,SMALL(PRENOTAZIONI!$AA:$AA,19)),"")</f>
        <v/>
      </c>
      <c r="B22" s="31" t="str">
        <f>IFERROR(INDEX(PRENOTAZIONI!$B:$B,SMALL(PRENOTAZIONI!$AA:$AA,19)),"")</f>
        <v/>
      </c>
      <c r="C22" s="32" t="str">
        <f t="shared" si="0"/>
        <v/>
      </c>
      <c r="D22" s="34" t="str">
        <f>IFERROR(INDEX(PRENOTAZIONI!$E:$E,SMALL(PRENOTAZIONI!$AA:$AA,19)),"")</f>
        <v/>
      </c>
      <c r="E22" s="34" t="str">
        <f>IFERROR(INDEX(PRENOTAZIONI!$F:$F,SMALL(PRENOTAZIONI!$AA:$AA,19)),"")</f>
        <v/>
      </c>
      <c r="F22" s="34" t="str">
        <f>IFERROR(INDEX(PRENOTAZIONI!$G:$G,SMALL(PRENOTAZIONI!$AA:$AA,19)),"")</f>
        <v/>
      </c>
      <c r="G22" s="35" t="str">
        <f>IFERROR(INDEX(PRENOTAZIONI!$H:$H,SMALL(PRENOTAZIONI!$AA:$AA,19)),"")</f>
        <v/>
      </c>
      <c r="H22" s="146" t="str">
        <f t="shared" si="1"/>
        <v/>
      </c>
      <c r="I22" s="35" t="str">
        <f t="shared" si="2"/>
        <v/>
      </c>
      <c r="J22" s="149" t="str">
        <f t="shared" si="9"/>
        <v/>
      </c>
      <c r="K22" s="34" t="str">
        <f>IFERROR(INDEX(PRENOTAZIONI!$K:$K,SMALL(PRENOTAZIONI!$AA:$AA,19)),"")</f>
        <v/>
      </c>
      <c r="L22" s="35" t="str">
        <f>IFERROR(INDEX(PRENOTAZIONI!$L:$L,SMALL(PRENOTAZIONI!$AA:$AA,19)),"")</f>
        <v/>
      </c>
      <c r="M22" s="150" t="str">
        <f t="shared" si="3"/>
        <v/>
      </c>
      <c r="N22" s="35" t="str">
        <f t="shared" si="11"/>
        <v/>
      </c>
      <c r="O22" s="35"/>
      <c r="P22" s="43"/>
      <c r="Q22" s="150" t="str">
        <f t="shared" si="5"/>
        <v/>
      </c>
      <c r="R22" s="47" t="str">
        <f>IFERROR(INDEX(PRENOTAZIONI!$R:$R,SMALL(PRENOTAZIONI!$AA:$AA,19)),"")</f>
        <v/>
      </c>
      <c r="S22" s="101"/>
      <c r="T22" s="99" t="str">
        <f>IFERROR(INDEX(PRENOTAZIONI!$A:$A,SMALL(PRENOTAZIONI!$AO:$AO,19)),"")</f>
        <v/>
      </c>
      <c r="U22" s="31" t="str">
        <f>IFERROR(INDEX(PRENOTAZIONI!$B:$B,SMALL(PRENOTAZIONI!$AO:$AO,19)),"")</f>
        <v/>
      </c>
      <c r="V22" s="32" t="str">
        <f t="shared" si="6"/>
        <v/>
      </c>
      <c r="W22" s="34" t="str">
        <f>IFERROR(INDEX(PRENOTAZIONI!$E:$E,SMALL(PRENOTAZIONI!$AO:$AO,19)),"")</f>
        <v/>
      </c>
      <c r="X22" s="34" t="str">
        <f>IFERROR(INDEX(PRENOTAZIONI!$F:$F,SMALL(PRENOTAZIONI!$AO:$AO,19)),"")</f>
        <v/>
      </c>
      <c r="Y22" s="35" t="str">
        <f>IFERROR(INDEX(PRENOTAZIONI!$H:$H,SMALL(PRENOTAZIONI!$AO:$AO,19)),"")</f>
        <v/>
      </c>
      <c r="Z22" s="34" t="str">
        <f>IFERROR(INDEX(PRENOTAZIONI!$K:$K,SMALL(PRENOTAZIONI!$AO:$AO,19)),"")</f>
        <v/>
      </c>
      <c r="AA22" s="34"/>
      <c r="AB22" s="34"/>
      <c r="AC22" s="40" t="str">
        <f t="shared" si="7"/>
        <v/>
      </c>
      <c r="AD22" s="41" t="str">
        <f t="shared" si="8"/>
        <v/>
      </c>
    </row>
    <row r="23" spans="1:42" ht="22" customHeight="1" x14ac:dyDescent="0.2">
      <c r="A23" s="31" t="str">
        <f>IFERROR(INDEX(PRENOTAZIONI!$A:$A,SMALL(PRENOTAZIONI!$AA:$AA,20)),"")</f>
        <v/>
      </c>
      <c r="B23" s="31" t="str">
        <f>IFERROR(INDEX(PRENOTAZIONI!$B:$B,SMALL(PRENOTAZIONI!$AA:$AA,20)),"")</f>
        <v/>
      </c>
      <c r="C23" s="32" t="str">
        <f t="shared" si="0"/>
        <v/>
      </c>
      <c r="D23" s="34" t="str">
        <f>IFERROR(INDEX(PRENOTAZIONI!$E:$E,SMALL(PRENOTAZIONI!$AA:$AA,20)),"")</f>
        <v/>
      </c>
      <c r="E23" s="34" t="str">
        <f>IFERROR(INDEX(PRENOTAZIONI!$F:$F,SMALL(PRENOTAZIONI!$AA:$AA,20)),"")</f>
        <v/>
      </c>
      <c r="F23" s="34" t="str">
        <f>IFERROR(INDEX(PRENOTAZIONI!$G:$G,SMALL(PRENOTAZIONI!$AA:$AA,20)),"")</f>
        <v/>
      </c>
      <c r="G23" s="35" t="str">
        <f>IFERROR(INDEX(PRENOTAZIONI!$H:$H,SMALL(PRENOTAZIONI!$AA:$AA,20)),"")</f>
        <v/>
      </c>
      <c r="H23" s="146" t="str">
        <f t="shared" si="1"/>
        <v/>
      </c>
      <c r="I23" s="35" t="str">
        <f t="shared" si="2"/>
        <v/>
      </c>
      <c r="J23" s="149" t="str">
        <f t="shared" si="9"/>
        <v/>
      </c>
      <c r="K23" s="34" t="str">
        <f>IFERROR(INDEX(PRENOTAZIONI!$K:$K,SMALL(PRENOTAZIONI!$AA:$AA,20)),"")</f>
        <v/>
      </c>
      <c r="L23" s="35" t="str">
        <f>IFERROR(INDEX(PRENOTAZIONI!$L:$L,SMALL(PRENOTAZIONI!$AA:$AA,20)),"")</f>
        <v/>
      </c>
      <c r="M23" s="150" t="str">
        <f t="shared" si="3"/>
        <v/>
      </c>
      <c r="N23" s="35" t="str">
        <f t="shared" si="11"/>
        <v/>
      </c>
      <c r="O23" s="35"/>
      <c r="P23" s="43"/>
      <c r="Q23" s="150" t="str">
        <f t="shared" si="5"/>
        <v/>
      </c>
      <c r="R23" s="47" t="str">
        <f>IFERROR(INDEX(PRENOTAZIONI!$R:$R,SMALL(PRENOTAZIONI!$AA:$AA,20)),"")</f>
        <v/>
      </c>
      <c r="S23" s="101"/>
      <c r="T23" s="99" t="str">
        <f>IFERROR(INDEX(PRENOTAZIONI!$A:$A,SMALL(PRENOTAZIONI!$AO:$AO,20)),"")</f>
        <v/>
      </c>
      <c r="U23" s="31" t="str">
        <f>IFERROR(INDEX(PRENOTAZIONI!$B:$B,SMALL(PRENOTAZIONI!$AO:$AO,20)),"")</f>
        <v/>
      </c>
      <c r="V23" s="32" t="str">
        <f t="shared" si="6"/>
        <v/>
      </c>
      <c r="W23" s="34" t="str">
        <f>IFERROR(INDEX(PRENOTAZIONI!$E:$E,SMALL(PRENOTAZIONI!$AO:$AO,20)),"")</f>
        <v/>
      </c>
      <c r="X23" s="34" t="str">
        <f>IFERROR(INDEX(PRENOTAZIONI!$F:$F,SMALL(PRENOTAZIONI!$AO:$AO,20)),"")</f>
        <v/>
      </c>
      <c r="Y23" s="35" t="str">
        <f>IFERROR(INDEX(PRENOTAZIONI!$H:$H,SMALL(PRENOTAZIONI!$AO:$AO,20)),"")</f>
        <v/>
      </c>
      <c r="Z23" s="34" t="str">
        <f>IFERROR(INDEX(PRENOTAZIONI!$K:$K,SMALL(PRENOTAZIONI!$AO:$AO,20)),"")</f>
        <v/>
      </c>
      <c r="AA23" s="34"/>
      <c r="AB23" s="34"/>
      <c r="AC23" s="40" t="str">
        <f t="shared" si="7"/>
        <v/>
      </c>
      <c r="AD23" s="41" t="str">
        <f t="shared" si="8"/>
        <v/>
      </c>
    </row>
    <row r="24" spans="1:42" ht="22" customHeight="1" x14ac:dyDescent="0.2">
      <c r="A24" s="31" t="str">
        <f>IFERROR(INDEX(PRENOTAZIONI!$A:$A,SMALL(PRENOTAZIONI!$AA:$AA,21)),"")</f>
        <v/>
      </c>
      <c r="B24" s="31" t="str">
        <f>IFERROR(INDEX(PRENOTAZIONI!$B:$B,SMALL(PRENOTAZIONI!$AA:$AA,21)),"")</f>
        <v/>
      </c>
      <c r="C24" s="32" t="str">
        <f t="shared" si="0"/>
        <v/>
      </c>
      <c r="D24" s="34" t="str">
        <f>IFERROR(INDEX(PRENOTAZIONI!$E:$E,SMALL(PRENOTAZIONI!$AA:$AA,21)),"")</f>
        <v/>
      </c>
      <c r="E24" s="34" t="str">
        <f>IFERROR(INDEX(PRENOTAZIONI!$F:$F,SMALL(PRENOTAZIONI!$AA:$AA,21)),"")</f>
        <v/>
      </c>
      <c r="F24" s="34" t="str">
        <f>IFERROR(INDEX(PRENOTAZIONI!$G:$G,SMALL(PRENOTAZIONI!$AA:$AA,21)),"")</f>
        <v/>
      </c>
      <c r="G24" s="35" t="str">
        <f>IFERROR(INDEX(PRENOTAZIONI!$H:$H,SMALL(PRENOTAZIONI!$AA:$AA,21)),"")</f>
        <v/>
      </c>
      <c r="H24" s="146" t="str">
        <f t="shared" si="1"/>
        <v/>
      </c>
      <c r="I24" s="35" t="str">
        <f t="shared" si="2"/>
        <v/>
      </c>
      <c r="J24" s="149" t="str">
        <f t="shared" si="9"/>
        <v/>
      </c>
      <c r="K24" s="34" t="str">
        <f>IFERROR(INDEX(PRENOTAZIONI!$K:$K,SMALL(PRENOTAZIONI!$AA:$AA,21)),"")</f>
        <v/>
      </c>
      <c r="L24" s="35" t="str">
        <f>IFERROR(INDEX(PRENOTAZIONI!$L:$L,SMALL(PRENOTAZIONI!$AA:$AA,21)),"")</f>
        <v/>
      </c>
      <c r="M24" s="150" t="str">
        <f t="shared" si="3"/>
        <v/>
      </c>
      <c r="N24" s="35" t="str">
        <f t="shared" si="11"/>
        <v/>
      </c>
      <c r="O24" s="35"/>
      <c r="P24" s="43"/>
      <c r="Q24" s="150" t="str">
        <f t="shared" si="5"/>
        <v/>
      </c>
      <c r="R24" s="47" t="str">
        <f>IFERROR(INDEX(PRENOTAZIONI!$R:$R,SMALL(PRENOTAZIONI!$AA:$AA,21)),"")</f>
        <v/>
      </c>
      <c r="S24" s="101"/>
      <c r="T24" s="99" t="str">
        <f>IFERROR(INDEX(PRENOTAZIONI!$A:$A,SMALL(PRENOTAZIONI!$AO:$AO,21)),"")</f>
        <v/>
      </c>
      <c r="U24" s="31" t="str">
        <f>IFERROR(INDEX(PRENOTAZIONI!$B:$B,SMALL(PRENOTAZIONI!$AO:$AO,21)),"")</f>
        <v/>
      </c>
      <c r="V24" s="32" t="str">
        <f t="shared" si="6"/>
        <v/>
      </c>
      <c r="W24" s="34" t="str">
        <f>IFERROR(INDEX(PRENOTAZIONI!$E:$E,SMALL(PRENOTAZIONI!$AO:$AO,21)),"")</f>
        <v/>
      </c>
      <c r="X24" s="34" t="str">
        <f>IFERROR(INDEX(PRENOTAZIONI!$F:$F,SMALL(PRENOTAZIONI!$AO:$AO,21)),"")</f>
        <v/>
      </c>
      <c r="Y24" s="35" t="str">
        <f>IFERROR(INDEX(PRENOTAZIONI!$H:$H,SMALL(PRENOTAZIONI!$AO:$AO,21)),"")</f>
        <v/>
      </c>
      <c r="Z24" s="34" t="str">
        <f>IFERROR(INDEX(PRENOTAZIONI!$K:$K,SMALL(PRENOTAZIONI!$AO:$AO,21)),"")</f>
        <v/>
      </c>
      <c r="AA24" s="34"/>
      <c r="AB24" s="34"/>
      <c r="AC24" s="40" t="str">
        <f t="shared" si="7"/>
        <v/>
      </c>
      <c r="AD24" s="41" t="str">
        <f t="shared" si="8"/>
        <v/>
      </c>
    </row>
    <row r="25" spans="1:42" ht="22" customHeight="1" x14ac:dyDescent="0.2">
      <c r="A25" s="31" t="str">
        <f>IFERROR(INDEX(PRENOTAZIONI!$A:$A,SMALL(PRENOTAZIONI!$AA:$AA,22)),"")</f>
        <v/>
      </c>
      <c r="B25" s="31" t="str">
        <f>IFERROR(INDEX(PRENOTAZIONI!$B:$B,SMALL(PRENOTAZIONI!$AA:$AA,22)),"")</f>
        <v/>
      </c>
      <c r="C25" s="32" t="str">
        <f t="shared" si="0"/>
        <v/>
      </c>
      <c r="D25" s="34" t="str">
        <f>IFERROR(INDEX(PRENOTAZIONI!$E:$E,SMALL(PRENOTAZIONI!$AA:$AA,22)),"")</f>
        <v/>
      </c>
      <c r="E25" s="34" t="str">
        <f>IFERROR(INDEX(PRENOTAZIONI!$F:$F,SMALL(PRENOTAZIONI!$AA:$AA,22)),"")</f>
        <v/>
      </c>
      <c r="F25" s="34" t="str">
        <f>IFERROR(INDEX(PRENOTAZIONI!$G:$G,SMALL(PRENOTAZIONI!$AA:$AA,22)),"")</f>
        <v/>
      </c>
      <c r="G25" s="35" t="str">
        <f>IFERROR(INDEX(PRENOTAZIONI!$H:$H,SMALL(PRENOTAZIONI!$AA:$AA,22)),"")</f>
        <v/>
      </c>
      <c r="H25" s="146" t="str">
        <f t="shared" si="1"/>
        <v/>
      </c>
      <c r="I25" s="35" t="str">
        <f t="shared" si="2"/>
        <v/>
      </c>
      <c r="J25" s="149" t="str">
        <f t="shared" si="9"/>
        <v/>
      </c>
      <c r="K25" s="34" t="str">
        <f>IFERROR(INDEX(PRENOTAZIONI!$K:$K,SMALL(PRENOTAZIONI!$AA:$AA,22)),"")</f>
        <v/>
      </c>
      <c r="L25" s="35" t="str">
        <f>IFERROR(INDEX(PRENOTAZIONI!$L:$L,SMALL(PRENOTAZIONI!$AA:$AA,22)),"")</f>
        <v/>
      </c>
      <c r="M25" s="150" t="str">
        <f t="shared" si="3"/>
        <v/>
      </c>
      <c r="N25" s="35" t="str">
        <f t="shared" si="11"/>
        <v/>
      </c>
      <c r="O25" s="35"/>
      <c r="P25" s="43"/>
      <c r="Q25" s="150" t="str">
        <f t="shared" si="5"/>
        <v/>
      </c>
      <c r="R25" s="47" t="str">
        <f>IFERROR(INDEX(PRENOTAZIONI!$R:$R,SMALL(PRENOTAZIONI!$AA:$AA,22)),"")</f>
        <v/>
      </c>
      <c r="S25" s="101"/>
      <c r="T25" s="99" t="str">
        <f>IFERROR(INDEX(PRENOTAZIONI!$A:$A,SMALL(PRENOTAZIONI!$AO:$AO,22)),"")</f>
        <v/>
      </c>
      <c r="U25" s="31" t="str">
        <f>IFERROR(INDEX(PRENOTAZIONI!$B:$B,SMALL(PRENOTAZIONI!$AO:$AO,22)),"")</f>
        <v/>
      </c>
      <c r="V25" s="32" t="str">
        <f t="shared" si="6"/>
        <v/>
      </c>
      <c r="W25" s="34" t="str">
        <f>IFERROR(INDEX(PRENOTAZIONI!$E:$E,SMALL(PRENOTAZIONI!$AO:$AO,22)),"")</f>
        <v/>
      </c>
      <c r="X25" s="34" t="str">
        <f>IFERROR(INDEX(PRENOTAZIONI!$F:$F,SMALL(PRENOTAZIONI!$AO:$AO,22)),"")</f>
        <v/>
      </c>
      <c r="Y25" s="35" t="str">
        <f>IFERROR(INDEX(PRENOTAZIONI!$H:$H,SMALL(PRENOTAZIONI!$AO:$AO,22)),"")</f>
        <v/>
      </c>
      <c r="Z25" s="34" t="str">
        <f>IFERROR(INDEX(PRENOTAZIONI!$K:$K,SMALL(PRENOTAZIONI!$AO:$AO,22)),"")</f>
        <v/>
      </c>
      <c r="AA25" s="34"/>
      <c r="AB25" s="34"/>
      <c r="AC25" s="40" t="str">
        <f t="shared" si="7"/>
        <v/>
      </c>
      <c r="AD25" s="41" t="str">
        <f t="shared" si="8"/>
        <v/>
      </c>
    </row>
    <row r="26" spans="1:42" ht="22" customHeight="1" x14ac:dyDescent="0.2">
      <c r="A26" s="31" t="str">
        <f>IFERROR(INDEX(PRENOTAZIONI!$A:$A,SMALL(PRENOTAZIONI!$AA:$AA,23)),"")</f>
        <v/>
      </c>
      <c r="B26" s="31" t="str">
        <f>IFERROR(INDEX(PRENOTAZIONI!$B:$B,SMALL(PRENOTAZIONI!$AA:$AA,23)),"")</f>
        <v/>
      </c>
      <c r="C26" s="32" t="str">
        <f t="shared" si="0"/>
        <v/>
      </c>
      <c r="D26" s="34" t="str">
        <f>IFERROR(INDEX(PRENOTAZIONI!$E:$E,SMALL(PRENOTAZIONI!$AA:$AA,23)),"")</f>
        <v/>
      </c>
      <c r="E26" s="34" t="str">
        <f>IFERROR(INDEX(PRENOTAZIONI!$F:$F,SMALL(PRENOTAZIONI!$AA:$AA,23)),"")</f>
        <v/>
      </c>
      <c r="F26" s="34" t="str">
        <f>IFERROR(INDEX(PRENOTAZIONI!$G:$G,SMALL(PRENOTAZIONI!$AA:$AA,23)),"")</f>
        <v/>
      </c>
      <c r="G26" s="35" t="str">
        <f>IFERROR(INDEX(PRENOTAZIONI!$H:$H,SMALL(PRENOTAZIONI!$AA:$AA,23)),"")</f>
        <v/>
      </c>
      <c r="H26" s="146" t="str">
        <f t="shared" si="1"/>
        <v/>
      </c>
      <c r="I26" s="35" t="str">
        <f t="shared" si="2"/>
        <v/>
      </c>
      <c r="J26" s="149" t="str">
        <f t="shared" si="9"/>
        <v/>
      </c>
      <c r="K26" s="34" t="str">
        <f>IFERROR(INDEX(PRENOTAZIONI!$K:$K,SMALL(PRENOTAZIONI!$AA:$AA,23)),"")</f>
        <v/>
      </c>
      <c r="L26" s="35" t="str">
        <f>IFERROR(INDEX(PRENOTAZIONI!$L:$L,SMALL(PRENOTAZIONI!$AA:$AA,23)),"")</f>
        <v/>
      </c>
      <c r="M26" s="150" t="str">
        <f t="shared" si="3"/>
        <v/>
      </c>
      <c r="N26" s="35" t="str">
        <f t="shared" si="11"/>
        <v/>
      </c>
      <c r="O26" s="35"/>
      <c r="P26" s="43"/>
      <c r="Q26" s="150" t="str">
        <f t="shared" si="5"/>
        <v/>
      </c>
      <c r="R26" s="47" t="str">
        <f>IFERROR(INDEX(PRENOTAZIONI!$R:$R,SMALL(PRENOTAZIONI!$AA:$AA,23)),"")</f>
        <v/>
      </c>
      <c r="S26" s="101"/>
      <c r="T26" s="99" t="str">
        <f>IFERROR(INDEX(PRENOTAZIONI!$A:$A,SMALL(PRENOTAZIONI!$AO:$AO,23)),"")</f>
        <v/>
      </c>
      <c r="U26" s="31" t="str">
        <f>IFERROR(INDEX(PRENOTAZIONI!$B:$B,SMALL(PRENOTAZIONI!$AO:$AO,23)),"")</f>
        <v/>
      </c>
      <c r="V26" s="32" t="str">
        <f t="shared" si="6"/>
        <v/>
      </c>
      <c r="W26" s="34" t="str">
        <f>IFERROR(INDEX(PRENOTAZIONI!$E:$E,SMALL(PRENOTAZIONI!$AO:$AO,23)),"")</f>
        <v/>
      </c>
      <c r="X26" s="34" t="str">
        <f>IFERROR(INDEX(PRENOTAZIONI!$F:$F,SMALL(PRENOTAZIONI!$AO:$AO,23)),"")</f>
        <v/>
      </c>
      <c r="Y26" s="35" t="str">
        <f>IFERROR(INDEX(PRENOTAZIONI!$H:$H,SMALL(PRENOTAZIONI!$AO:$AO,23)),"")</f>
        <v/>
      </c>
      <c r="Z26" s="34" t="str">
        <f>IFERROR(INDEX(PRENOTAZIONI!$K:$K,SMALL(PRENOTAZIONI!$AO:$AO,23)),"")</f>
        <v/>
      </c>
      <c r="AA26" s="34"/>
      <c r="AB26" s="34"/>
      <c r="AC26" s="40" t="str">
        <f t="shared" si="7"/>
        <v/>
      </c>
      <c r="AD26" s="41" t="str">
        <f t="shared" si="8"/>
        <v/>
      </c>
    </row>
    <row r="27" spans="1:42" ht="22" customHeight="1" x14ac:dyDescent="0.2">
      <c r="A27" s="31" t="str">
        <f>IFERROR(INDEX(PRENOTAZIONI!$A:$A,SMALL(PRENOTAZIONI!$AA:$AA,24)),"")</f>
        <v/>
      </c>
      <c r="B27" s="31" t="str">
        <f>IFERROR(INDEX(PRENOTAZIONI!$B:$B,SMALL(PRENOTAZIONI!$AA:$AA,24)),"")</f>
        <v/>
      </c>
      <c r="C27" s="32" t="str">
        <f t="shared" si="0"/>
        <v/>
      </c>
      <c r="D27" s="34" t="str">
        <f>IFERROR(INDEX(PRENOTAZIONI!$E:$E,SMALL(PRENOTAZIONI!$AA:$AA,24)),"")</f>
        <v/>
      </c>
      <c r="E27" s="34" t="str">
        <f>IFERROR(INDEX(PRENOTAZIONI!$F:$F,SMALL(PRENOTAZIONI!$AA:$AA,24)),"")</f>
        <v/>
      </c>
      <c r="F27" s="34" t="str">
        <f>IFERROR(INDEX(PRENOTAZIONI!$G:$G,SMALL(PRENOTAZIONI!$AA:$AA,24)),"")</f>
        <v/>
      </c>
      <c r="G27" s="35" t="str">
        <f>IFERROR(INDEX(PRENOTAZIONI!$H:$H,SMALL(PRENOTAZIONI!$AA:$AA,24)),"")</f>
        <v/>
      </c>
      <c r="H27" s="146" t="str">
        <f t="shared" si="1"/>
        <v/>
      </c>
      <c r="I27" s="35" t="str">
        <f t="shared" si="2"/>
        <v/>
      </c>
      <c r="J27" s="149" t="str">
        <f t="shared" si="9"/>
        <v/>
      </c>
      <c r="K27" s="34" t="str">
        <f>IFERROR(INDEX(PRENOTAZIONI!$K:$K,SMALL(PRENOTAZIONI!$AA:$AA,24)),"")</f>
        <v/>
      </c>
      <c r="L27" s="35" t="str">
        <f>IFERROR(INDEX(PRENOTAZIONI!$L:$L,SMALL(PRENOTAZIONI!$AA:$AA,24)),"")</f>
        <v/>
      </c>
      <c r="M27" s="150" t="str">
        <f t="shared" si="3"/>
        <v/>
      </c>
      <c r="N27" s="35" t="str">
        <f t="shared" si="11"/>
        <v/>
      </c>
      <c r="O27" s="35"/>
      <c r="P27" s="43"/>
      <c r="Q27" s="150" t="str">
        <f t="shared" si="5"/>
        <v/>
      </c>
      <c r="R27" s="47" t="str">
        <f>IFERROR(INDEX(PRENOTAZIONI!$R:$R,SMALL(PRENOTAZIONI!$AA:$AA,24)),"")</f>
        <v/>
      </c>
      <c r="S27" s="101"/>
      <c r="T27" s="99" t="str">
        <f>IFERROR(INDEX(PRENOTAZIONI!$A:$A,SMALL(PRENOTAZIONI!$AO:$AO,24)),"")</f>
        <v/>
      </c>
      <c r="U27" s="31" t="str">
        <f>IFERROR(INDEX(PRENOTAZIONI!$B:$B,SMALL(PRENOTAZIONI!$AO:$AO,24)),"")</f>
        <v/>
      </c>
      <c r="V27" s="32" t="str">
        <f t="shared" si="6"/>
        <v/>
      </c>
      <c r="W27" s="34" t="str">
        <f>IFERROR(INDEX(PRENOTAZIONI!$E:$E,SMALL(PRENOTAZIONI!$AO:$AO,24)),"")</f>
        <v/>
      </c>
      <c r="X27" s="34" t="str">
        <f>IFERROR(INDEX(PRENOTAZIONI!$F:$F,SMALL(PRENOTAZIONI!$AO:$AO,24)),"")</f>
        <v/>
      </c>
      <c r="Y27" s="35" t="str">
        <f>IFERROR(INDEX(PRENOTAZIONI!$H:$H,SMALL(PRENOTAZIONI!$AO:$AO,24)),"")</f>
        <v/>
      </c>
      <c r="Z27" s="34" t="str">
        <f>IFERROR(INDEX(PRENOTAZIONI!$K:$K,SMALL(PRENOTAZIONI!$AO:$AO,24)),"")</f>
        <v/>
      </c>
      <c r="AA27" s="34"/>
      <c r="AB27" s="34"/>
      <c r="AC27" s="40" t="str">
        <f t="shared" si="7"/>
        <v/>
      </c>
      <c r="AD27" s="41" t="str">
        <f t="shared" si="8"/>
        <v/>
      </c>
    </row>
    <row r="28" spans="1:42" ht="22" customHeight="1" x14ac:dyDescent="0.2">
      <c r="A28" s="31" t="str">
        <f>IFERROR(INDEX(PRENOTAZIONI!$A:$A,SMALL(PRENOTAZIONI!$AA:$AA,25)),"")</f>
        <v/>
      </c>
      <c r="B28" s="31" t="str">
        <f>IFERROR(INDEX(PRENOTAZIONI!$B:$B,SMALL(PRENOTAZIONI!$AA:$AA,25)),"")</f>
        <v/>
      </c>
      <c r="C28" s="32" t="str">
        <f t="shared" si="0"/>
        <v/>
      </c>
      <c r="D28" s="34" t="str">
        <f>IFERROR(INDEX(PRENOTAZIONI!$E:$E,SMALL(PRENOTAZIONI!$AA:$AA,25)),"")</f>
        <v/>
      </c>
      <c r="E28" s="34" t="str">
        <f>IFERROR(INDEX(PRENOTAZIONI!$F:$F,SMALL(PRENOTAZIONI!$AA:$AA,25)),"")</f>
        <v/>
      </c>
      <c r="F28" s="34" t="str">
        <f>IFERROR(INDEX(PRENOTAZIONI!$G:$G,SMALL(PRENOTAZIONI!$AA:$AA,25)),"")</f>
        <v/>
      </c>
      <c r="G28" s="35" t="str">
        <f>IFERROR(INDEX(PRENOTAZIONI!$H:$H,SMALL(PRENOTAZIONI!$AA:$AA,25)),"")</f>
        <v/>
      </c>
      <c r="H28" s="146" t="str">
        <f t="shared" si="1"/>
        <v/>
      </c>
      <c r="I28" s="35" t="str">
        <f t="shared" si="2"/>
        <v/>
      </c>
      <c r="J28" s="149" t="str">
        <f t="shared" si="9"/>
        <v/>
      </c>
      <c r="K28" s="34" t="str">
        <f>IFERROR(INDEX(PRENOTAZIONI!$K:$K,SMALL(PRENOTAZIONI!$AA:$AA,25)),"")</f>
        <v/>
      </c>
      <c r="L28" s="35" t="str">
        <f>IFERROR(INDEX(PRENOTAZIONI!$L:$L,SMALL(PRENOTAZIONI!$AA:$AA,25)),"")</f>
        <v/>
      </c>
      <c r="M28" s="150" t="str">
        <f t="shared" si="3"/>
        <v/>
      </c>
      <c r="N28" s="35" t="str">
        <f t="shared" si="11"/>
        <v/>
      </c>
      <c r="O28" s="35"/>
      <c r="P28" s="43"/>
      <c r="Q28" s="150" t="str">
        <f t="shared" si="5"/>
        <v/>
      </c>
      <c r="R28" s="47" t="str">
        <f>IFERROR(INDEX(PRENOTAZIONI!$R:$R,SMALL(PRENOTAZIONI!$AA:$AA,25)),"")</f>
        <v/>
      </c>
      <c r="S28" s="101"/>
      <c r="T28" s="99" t="str">
        <f>IFERROR(INDEX(PRENOTAZIONI!$A:$A,SMALL(PRENOTAZIONI!$AO:$AO,25)),"")</f>
        <v/>
      </c>
      <c r="U28" s="31" t="str">
        <f>IFERROR(INDEX(PRENOTAZIONI!$B:$B,SMALL(PRENOTAZIONI!$AO:$AO,25)),"")</f>
        <v/>
      </c>
      <c r="V28" s="32" t="str">
        <f t="shared" si="6"/>
        <v/>
      </c>
      <c r="W28" s="34" t="str">
        <f>IFERROR(INDEX(PRENOTAZIONI!$E:$E,SMALL(PRENOTAZIONI!$AO:$AO,25)),"")</f>
        <v/>
      </c>
      <c r="X28" s="34" t="str">
        <f>IFERROR(INDEX(PRENOTAZIONI!$F:$F,SMALL(PRENOTAZIONI!$AO:$AO,25)),"")</f>
        <v/>
      </c>
      <c r="Y28" s="35" t="str">
        <f>IFERROR(INDEX(PRENOTAZIONI!$H:$H,SMALL(PRENOTAZIONI!$AO:$AO,25)),"")</f>
        <v/>
      </c>
      <c r="Z28" s="34" t="str">
        <f>IFERROR(INDEX(PRENOTAZIONI!$K:$K,SMALL(PRENOTAZIONI!$AO:$AO,25)),"")</f>
        <v/>
      </c>
      <c r="AA28" s="34"/>
      <c r="AB28" s="34"/>
      <c r="AC28" s="40" t="str">
        <f t="shared" si="7"/>
        <v/>
      </c>
      <c r="AD28" s="41" t="str">
        <f t="shared" si="8"/>
        <v/>
      </c>
    </row>
    <row r="29" spans="1:42" ht="22" customHeight="1" x14ac:dyDescent="0.2">
      <c r="A29" s="31" t="str">
        <f>IFERROR(INDEX(PRENOTAZIONI!$A:$A,SMALL(PRENOTAZIONI!$AA:$AA,26)),"")</f>
        <v/>
      </c>
      <c r="B29" s="31" t="str">
        <f>IFERROR(INDEX(PRENOTAZIONI!$B:$B,SMALL(PRENOTAZIONI!$AA:$AA,26)),"")</f>
        <v/>
      </c>
      <c r="C29" s="32" t="str">
        <f t="shared" si="0"/>
        <v/>
      </c>
      <c r="D29" s="34" t="str">
        <f>IFERROR(INDEX(PRENOTAZIONI!$E:$E,SMALL(PRENOTAZIONI!$AA:$AA,26)),"")</f>
        <v/>
      </c>
      <c r="E29" s="34" t="str">
        <f>IFERROR(INDEX(PRENOTAZIONI!$F:$F,SMALL(PRENOTAZIONI!$AA:$AA,26)),"")</f>
        <v/>
      </c>
      <c r="F29" s="34" t="str">
        <f>IFERROR(INDEX(PRENOTAZIONI!$G:$G,SMALL(PRENOTAZIONI!$AA:$AA,26)),"")</f>
        <v/>
      </c>
      <c r="G29" s="35" t="str">
        <f>IFERROR(INDEX(PRENOTAZIONI!$H:$H,SMALL(PRENOTAZIONI!$AA:$AA,26)),"")</f>
        <v/>
      </c>
      <c r="H29" s="146" t="str">
        <f t="shared" si="1"/>
        <v/>
      </c>
      <c r="I29" s="35" t="str">
        <f t="shared" si="2"/>
        <v/>
      </c>
      <c r="J29" s="149" t="str">
        <f t="shared" si="9"/>
        <v/>
      </c>
      <c r="K29" s="34" t="str">
        <f>IFERROR(INDEX(PRENOTAZIONI!$K:$K,SMALL(PRENOTAZIONI!$AA:$AA,26)),"")</f>
        <v/>
      </c>
      <c r="L29" s="35" t="str">
        <f>IFERROR(INDEX(PRENOTAZIONI!$L:$L,SMALL(PRENOTAZIONI!$AA:$AA,26)),"")</f>
        <v/>
      </c>
      <c r="M29" s="150" t="str">
        <f t="shared" si="3"/>
        <v/>
      </c>
      <c r="N29" s="35" t="str">
        <f t="shared" si="11"/>
        <v/>
      </c>
      <c r="O29" s="35"/>
      <c r="P29" s="43"/>
      <c r="Q29" s="150" t="str">
        <f t="shared" si="5"/>
        <v/>
      </c>
      <c r="R29" s="47" t="str">
        <f>IFERROR(INDEX(PRENOTAZIONI!$R:$R,SMALL(PRENOTAZIONI!$AA:$AA,26)),"")</f>
        <v/>
      </c>
      <c r="S29" s="101"/>
      <c r="T29" s="99" t="str">
        <f>IFERROR(INDEX(PRENOTAZIONI!$A:$A,SMALL(PRENOTAZIONI!$AO:$AO,26)),"")</f>
        <v/>
      </c>
      <c r="U29" s="31" t="str">
        <f>IFERROR(INDEX(PRENOTAZIONI!$B:$B,SMALL(PRENOTAZIONI!$AO:$AO,26)),"")</f>
        <v/>
      </c>
      <c r="V29" s="32" t="str">
        <f t="shared" si="6"/>
        <v/>
      </c>
      <c r="W29" s="34" t="str">
        <f>IFERROR(INDEX(PRENOTAZIONI!$E:$E,SMALL(PRENOTAZIONI!$AO:$AO,26)),"")</f>
        <v/>
      </c>
      <c r="X29" s="34" t="str">
        <f>IFERROR(INDEX(PRENOTAZIONI!$F:$F,SMALL(PRENOTAZIONI!$AO:$AO,26)),"")</f>
        <v/>
      </c>
      <c r="Y29" s="35" t="str">
        <f>IFERROR(INDEX(PRENOTAZIONI!$H:$H,SMALL(PRENOTAZIONI!$AO:$AO,26)),"")</f>
        <v/>
      </c>
      <c r="Z29" s="34" t="str">
        <f>IFERROR(INDEX(PRENOTAZIONI!$K:$K,SMALL(PRENOTAZIONI!$AO:$AO,26)),"")</f>
        <v/>
      </c>
      <c r="AA29" s="34"/>
      <c r="AB29" s="34"/>
      <c r="AC29" s="40" t="str">
        <f t="shared" si="7"/>
        <v/>
      </c>
      <c r="AD29" s="41" t="str">
        <f t="shared" si="8"/>
        <v/>
      </c>
    </row>
    <row r="30" spans="1:42" ht="22" customHeight="1" x14ac:dyDescent="0.2">
      <c r="A30" s="31" t="str">
        <f>IFERROR(INDEX(PRENOTAZIONI!$A:$A,SMALL(PRENOTAZIONI!$AA:$AA,27)),"")</f>
        <v/>
      </c>
      <c r="B30" s="31" t="str">
        <f>IFERROR(INDEX(PRENOTAZIONI!$B:$B,SMALL(PRENOTAZIONI!$AA:$AA,27)),"")</f>
        <v/>
      </c>
      <c r="C30" s="32" t="str">
        <f t="shared" si="0"/>
        <v/>
      </c>
      <c r="D30" s="34" t="str">
        <f>IFERROR(INDEX(PRENOTAZIONI!$E:$E,SMALL(PRENOTAZIONI!$AA:$AA,27)),"")</f>
        <v/>
      </c>
      <c r="E30" s="34" t="str">
        <f>IFERROR(INDEX(PRENOTAZIONI!$F:$F,SMALL(PRENOTAZIONI!$AA:$AA,27)),"")</f>
        <v/>
      </c>
      <c r="F30" s="34" t="str">
        <f>IFERROR(INDEX(PRENOTAZIONI!$G:$G,SMALL(PRENOTAZIONI!$AA:$AA,27)),"")</f>
        <v/>
      </c>
      <c r="G30" s="35" t="str">
        <f>IFERROR(INDEX(PRENOTAZIONI!$H:$H,SMALL(PRENOTAZIONI!$AA:$AA,27)),"")</f>
        <v/>
      </c>
      <c r="H30" s="146" t="str">
        <f t="shared" si="1"/>
        <v/>
      </c>
      <c r="I30" s="35" t="str">
        <f t="shared" si="2"/>
        <v/>
      </c>
      <c r="J30" s="149" t="str">
        <f t="shared" si="9"/>
        <v/>
      </c>
      <c r="K30" s="34" t="str">
        <f>IFERROR(INDEX(PRENOTAZIONI!$K:$K,SMALL(PRENOTAZIONI!$AA:$AA,27)),"")</f>
        <v/>
      </c>
      <c r="L30" s="35" t="str">
        <f>IFERROR(INDEX(PRENOTAZIONI!$L:$L,SMALL(PRENOTAZIONI!$AA:$AA,27)),"")</f>
        <v/>
      </c>
      <c r="M30" s="150" t="str">
        <f t="shared" si="3"/>
        <v/>
      </c>
      <c r="N30" s="35" t="str">
        <f t="shared" si="11"/>
        <v/>
      </c>
      <c r="O30" s="35"/>
      <c r="P30" s="43"/>
      <c r="Q30" s="150" t="str">
        <f t="shared" si="5"/>
        <v/>
      </c>
      <c r="R30" s="47" t="str">
        <f>IFERROR(INDEX(PRENOTAZIONI!$R:$R,SMALL(PRENOTAZIONI!$AA:$AA,27)),"")</f>
        <v/>
      </c>
      <c r="S30" s="101"/>
      <c r="T30" s="99" t="str">
        <f>IFERROR(INDEX(PRENOTAZIONI!$A:$A,SMALL(PRENOTAZIONI!$AO:$AO,27)),"")</f>
        <v/>
      </c>
      <c r="U30" s="31" t="str">
        <f>IFERROR(INDEX(PRENOTAZIONI!$B:$B,SMALL(PRENOTAZIONI!$AO:$AO,27)),"")</f>
        <v/>
      </c>
      <c r="V30" s="32" t="str">
        <f t="shared" si="6"/>
        <v/>
      </c>
      <c r="W30" s="34" t="str">
        <f>IFERROR(INDEX(PRENOTAZIONI!$E:$E,SMALL(PRENOTAZIONI!$AO:$AO,27)),"")</f>
        <v/>
      </c>
      <c r="X30" s="34" t="str">
        <f>IFERROR(INDEX(PRENOTAZIONI!$F:$F,SMALL(PRENOTAZIONI!$AO:$AO,27)),"")</f>
        <v/>
      </c>
      <c r="Y30" s="35" t="str">
        <f>IFERROR(INDEX(PRENOTAZIONI!$H:$H,SMALL(PRENOTAZIONI!$AO:$AO,27)),"")</f>
        <v/>
      </c>
      <c r="Z30" s="34" t="str">
        <f>IFERROR(INDEX(PRENOTAZIONI!$K:$K,SMALL(PRENOTAZIONI!$AO:$AO,27)),"")</f>
        <v/>
      </c>
      <c r="AA30" s="34"/>
      <c r="AB30" s="34"/>
      <c r="AC30" s="40" t="str">
        <f t="shared" si="7"/>
        <v/>
      </c>
      <c r="AD30" s="41" t="str">
        <f t="shared" si="8"/>
        <v/>
      </c>
    </row>
    <row r="31" spans="1:42" ht="22" customHeight="1" x14ac:dyDescent="0.2">
      <c r="A31" s="31" t="str">
        <f>IFERROR(INDEX(PRENOTAZIONI!$A:$A,SMALL(PRENOTAZIONI!$AA:$AA,28)),"")</f>
        <v/>
      </c>
      <c r="B31" s="31" t="str">
        <f>IFERROR(INDEX(PRENOTAZIONI!$B:$B,SMALL(PRENOTAZIONI!$AA:$AA,28)),"")</f>
        <v/>
      </c>
      <c r="C31" s="32" t="str">
        <f t="shared" si="0"/>
        <v/>
      </c>
      <c r="D31" s="34" t="str">
        <f>IFERROR(INDEX(PRENOTAZIONI!$E:$E,SMALL(PRENOTAZIONI!$AA:$AA,28)),"")</f>
        <v/>
      </c>
      <c r="E31" s="34" t="str">
        <f>IFERROR(INDEX(PRENOTAZIONI!$F:$F,SMALL(PRENOTAZIONI!$AA:$AA,28)),"")</f>
        <v/>
      </c>
      <c r="F31" s="34" t="str">
        <f>IFERROR(INDEX(PRENOTAZIONI!$G:$G,SMALL(PRENOTAZIONI!$AA:$AA,28)),"")</f>
        <v/>
      </c>
      <c r="G31" s="35" t="str">
        <f>IFERROR(INDEX(PRENOTAZIONI!$H:$H,SMALL(PRENOTAZIONI!$AA:$AA,28)),"")</f>
        <v/>
      </c>
      <c r="H31" s="146" t="str">
        <f t="shared" si="1"/>
        <v/>
      </c>
      <c r="I31" s="35" t="str">
        <f t="shared" si="2"/>
        <v/>
      </c>
      <c r="J31" s="149" t="str">
        <f t="shared" si="9"/>
        <v/>
      </c>
      <c r="K31" s="34" t="str">
        <f>IFERROR(INDEX(PRENOTAZIONI!$K:$K,SMALL(PRENOTAZIONI!$AA:$AA,28)),"")</f>
        <v/>
      </c>
      <c r="L31" s="35" t="str">
        <f>IFERROR(INDEX(PRENOTAZIONI!$L:$L,SMALL(PRENOTAZIONI!$AA:$AA,28)),"")</f>
        <v/>
      </c>
      <c r="M31" s="150" t="str">
        <f t="shared" si="3"/>
        <v/>
      </c>
      <c r="N31" s="35" t="str">
        <f t="shared" si="11"/>
        <v/>
      </c>
      <c r="O31" s="35"/>
      <c r="P31" s="43"/>
      <c r="Q31" s="150" t="str">
        <f t="shared" si="5"/>
        <v/>
      </c>
      <c r="R31" s="47" t="str">
        <f>IFERROR(INDEX(PRENOTAZIONI!$R:$R,SMALL(PRENOTAZIONI!$AA:$AA,28)),"")</f>
        <v/>
      </c>
      <c r="S31" s="101"/>
      <c r="T31" s="99" t="str">
        <f>IFERROR(INDEX(PRENOTAZIONI!$A:$A,SMALL(PRENOTAZIONI!$AO:$AO,28)),"")</f>
        <v/>
      </c>
      <c r="U31" s="31" t="str">
        <f>IFERROR(INDEX(PRENOTAZIONI!$B:$B,SMALL(PRENOTAZIONI!$AO:$AO,28)),"")</f>
        <v/>
      </c>
      <c r="V31" s="32" t="str">
        <f t="shared" si="6"/>
        <v/>
      </c>
      <c r="W31" s="34" t="str">
        <f>IFERROR(INDEX(PRENOTAZIONI!$E:$E,SMALL(PRENOTAZIONI!$AO:$AO,28)),"")</f>
        <v/>
      </c>
      <c r="X31" s="34" t="str">
        <f>IFERROR(INDEX(PRENOTAZIONI!$F:$F,SMALL(PRENOTAZIONI!$AO:$AO,28)),"")</f>
        <v/>
      </c>
      <c r="Y31" s="35" t="str">
        <f>IFERROR(INDEX(PRENOTAZIONI!$H:$H,SMALL(PRENOTAZIONI!$AO:$AO,28)),"")</f>
        <v/>
      </c>
      <c r="Z31" s="34" t="str">
        <f>IFERROR(INDEX(PRENOTAZIONI!$K:$K,SMALL(PRENOTAZIONI!$AO:$AO,28)),"")</f>
        <v/>
      </c>
      <c r="AA31" s="34"/>
      <c r="AB31" s="34"/>
      <c r="AC31" s="40" t="str">
        <f t="shared" si="7"/>
        <v/>
      </c>
      <c r="AD31" s="41" t="str">
        <f t="shared" si="8"/>
        <v/>
      </c>
    </row>
    <row r="32" spans="1:42" ht="22" customHeight="1" x14ac:dyDescent="0.2">
      <c r="A32" s="31" t="str">
        <f>IFERROR(INDEX(PRENOTAZIONI!$A:$A,SMALL(PRENOTAZIONI!$AA:$AA,29)),"")</f>
        <v/>
      </c>
      <c r="B32" s="31" t="str">
        <f>IFERROR(INDEX(PRENOTAZIONI!$B:$B,SMALL(PRENOTAZIONI!$AA:$AA,29)),"")</f>
        <v/>
      </c>
      <c r="C32" s="32" t="str">
        <f t="shared" si="0"/>
        <v/>
      </c>
      <c r="D32" s="34" t="str">
        <f>IFERROR(INDEX(PRENOTAZIONI!$E:$E,SMALL(PRENOTAZIONI!$AA:$AA,29)),"")</f>
        <v/>
      </c>
      <c r="E32" s="34" t="str">
        <f>IFERROR(INDEX(PRENOTAZIONI!$F:$F,SMALL(PRENOTAZIONI!$AA:$AA,29)),"")</f>
        <v/>
      </c>
      <c r="F32" s="34" t="str">
        <f>IFERROR(INDEX(PRENOTAZIONI!$G:$G,SMALL(PRENOTAZIONI!$AA:$AA,29)),"")</f>
        <v/>
      </c>
      <c r="G32" s="35" t="str">
        <f>IFERROR(INDEX(PRENOTAZIONI!$H:$H,SMALL(PRENOTAZIONI!$AA:$AA,29)),"")</f>
        <v/>
      </c>
      <c r="H32" s="146" t="str">
        <f t="shared" si="1"/>
        <v/>
      </c>
      <c r="I32" s="35" t="str">
        <f t="shared" si="2"/>
        <v/>
      </c>
      <c r="J32" s="149" t="str">
        <f t="shared" si="9"/>
        <v/>
      </c>
      <c r="K32" s="34" t="str">
        <f>IFERROR(INDEX(PRENOTAZIONI!$K:$K,SMALL(PRENOTAZIONI!$AA:$AA,29)),"")</f>
        <v/>
      </c>
      <c r="L32" s="35" t="str">
        <f>IFERROR(INDEX(PRENOTAZIONI!$L:$L,SMALL(PRENOTAZIONI!$AA:$AA,29)),"")</f>
        <v/>
      </c>
      <c r="M32" s="150" t="str">
        <f t="shared" si="3"/>
        <v/>
      </c>
      <c r="N32" s="35" t="str">
        <f t="shared" si="11"/>
        <v/>
      </c>
      <c r="O32" s="35"/>
      <c r="P32" s="43"/>
      <c r="Q32" s="150" t="str">
        <f t="shared" si="5"/>
        <v/>
      </c>
      <c r="R32" s="47" t="str">
        <f>IFERROR(INDEX(PRENOTAZIONI!$R:$R,SMALL(PRENOTAZIONI!$AA:$AA,29)),"")</f>
        <v/>
      </c>
      <c r="S32" s="101"/>
      <c r="T32" s="99" t="str">
        <f>IFERROR(INDEX(PRENOTAZIONI!$A:$A,SMALL(PRENOTAZIONI!$AO:$AO,29)),"")</f>
        <v/>
      </c>
      <c r="U32" s="31" t="str">
        <f>IFERROR(INDEX(PRENOTAZIONI!$B:$B,SMALL(PRENOTAZIONI!$AO:$AO,29)),"")</f>
        <v/>
      </c>
      <c r="V32" s="32" t="str">
        <f t="shared" si="6"/>
        <v/>
      </c>
      <c r="W32" s="34" t="str">
        <f>IFERROR(INDEX(PRENOTAZIONI!$E:$E,SMALL(PRENOTAZIONI!$AO:$AO,29)),"")</f>
        <v/>
      </c>
      <c r="X32" s="34" t="str">
        <f>IFERROR(INDEX(PRENOTAZIONI!$F:$F,SMALL(PRENOTAZIONI!$AO:$AO,29)),"")</f>
        <v/>
      </c>
      <c r="Y32" s="35" t="str">
        <f>IFERROR(INDEX(PRENOTAZIONI!$H:$H,SMALL(PRENOTAZIONI!$AO:$AO,29)),"")</f>
        <v/>
      </c>
      <c r="Z32" s="34" t="str">
        <f>IFERROR(INDEX(PRENOTAZIONI!$K:$K,SMALL(PRENOTAZIONI!$AO:$AO,29)),"")</f>
        <v/>
      </c>
      <c r="AA32" s="34"/>
      <c r="AB32" s="34"/>
      <c r="AC32" s="40" t="str">
        <f t="shared" si="7"/>
        <v/>
      </c>
      <c r="AD32" s="41" t="str">
        <f t="shared" si="8"/>
        <v/>
      </c>
    </row>
    <row r="33" spans="1:30" ht="22" customHeight="1" x14ac:dyDescent="0.2">
      <c r="A33" s="31" t="str">
        <f>IFERROR(INDEX(PRENOTAZIONI!$A:$A,SMALL(PRENOTAZIONI!$AA:$AA,30)),"")</f>
        <v/>
      </c>
      <c r="B33" s="31" t="str">
        <f>IFERROR(INDEX(PRENOTAZIONI!$B:$B,SMALL(PRENOTAZIONI!$AA:$AA,30)),"")</f>
        <v/>
      </c>
      <c r="C33" s="32" t="str">
        <f t="shared" si="0"/>
        <v/>
      </c>
      <c r="D33" s="34" t="str">
        <f>IFERROR(INDEX(PRENOTAZIONI!$E:$E,SMALL(PRENOTAZIONI!$AA:$AA,30)),"")</f>
        <v/>
      </c>
      <c r="E33" s="34" t="str">
        <f>IFERROR(INDEX(PRENOTAZIONI!$F:$F,SMALL(PRENOTAZIONI!$AA:$AA,30)),"")</f>
        <v/>
      </c>
      <c r="F33" s="34" t="str">
        <f>IFERROR(INDEX(PRENOTAZIONI!$G:$G,SMALL(PRENOTAZIONI!$AA:$AA,30)),"")</f>
        <v/>
      </c>
      <c r="G33" s="35" t="str">
        <f>IFERROR(INDEX(PRENOTAZIONI!$H:$H,SMALL(PRENOTAZIONI!$AA:$AA,30)),"")</f>
        <v/>
      </c>
      <c r="H33" s="146" t="str">
        <f t="shared" si="1"/>
        <v/>
      </c>
      <c r="I33" s="35" t="str">
        <f t="shared" si="2"/>
        <v/>
      </c>
      <c r="J33" s="149" t="str">
        <f t="shared" si="9"/>
        <v/>
      </c>
      <c r="K33" s="34" t="str">
        <f>IFERROR(INDEX(PRENOTAZIONI!$K:$K,SMALL(PRENOTAZIONI!$AA:$AA,30)),"")</f>
        <v/>
      </c>
      <c r="L33" s="35" t="str">
        <f>IFERROR(INDEX(PRENOTAZIONI!$L:$L,SMALL(PRENOTAZIONI!$AA:$AA,30)),"")</f>
        <v/>
      </c>
      <c r="M33" s="150" t="str">
        <f t="shared" si="3"/>
        <v/>
      </c>
      <c r="N33" s="35" t="str">
        <f t="shared" si="11"/>
        <v/>
      </c>
      <c r="O33" s="35"/>
      <c r="P33" s="43"/>
      <c r="Q33" s="150" t="str">
        <f t="shared" si="5"/>
        <v/>
      </c>
      <c r="R33" s="47" t="str">
        <f>IFERROR(INDEX(PRENOTAZIONI!$R:$R,SMALL(PRENOTAZIONI!$AA:$AA,30)),"")</f>
        <v/>
      </c>
      <c r="S33" s="101"/>
      <c r="T33" s="99" t="str">
        <f>IFERROR(INDEX(PRENOTAZIONI!$A:$A,SMALL(PRENOTAZIONI!$AO:$AO,30)),"")</f>
        <v/>
      </c>
      <c r="U33" s="31" t="str">
        <f>IFERROR(INDEX(PRENOTAZIONI!$B:$B,SMALL(PRENOTAZIONI!$AO:$AO,30)),"")</f>
        <v/>
      </c>
      <c r="V33" s="32" t="str">
        <f t="shared" si="6"/>
        <v/>
      </c>
      <c r="W33" s="34" t="str">
        <f>IFERROR(INDEX(PRENOTAZIONI!$E:$E,SMALL(PRENOTAZIONI!$AO:$AO,30)),"")</f>
        <v/>
      </c>
      <c r="X33" s="34" t="str">
        <f>IFERROR(INDEX(PRENOTAZIONI!$F:$F,SMALL(PRENOTAZIONI!$AO:$AO,30)),"")</f>
        <v/>
      </c>
      <c r="Y33" s="35" t="str">
        <f>IFERROR(INDEX(PRENOTAZIONI!$H:$H,SMALL(PRENOTAZIONI!$AO:$AO,30)),"")</f>
        <v/>
      </c>
      <c r="Z33" s="34" t="str">
        <f>IFERROR(INDEX(PRENOTAZIONI!$K:$K,SMALL(PRENOTAZIONI!$AO:$AO,30)),"")</f>
        <v/>
      </c>
      <c r="AA33" s="34"/>
      <c r="AB33" s="34"/>
      <c r="AC33" s="40" t="str">
        <f t="shared" si="7"/>
        <v/>
      </c>
      <c r="AD33" s="41" t="str">
        <f t="shared" si="8"/>
        <v/>
      </c>
    </row>
    <row r="34" spans="1:30" ht="24" customHeight="1" x14ac:dyDescent="0.2">
      <c r="A34" s="31" t="str">
        <f>IFERROR(INDEX(PRENOTAZIONI!$A:$A,SMALL(PRENOTAZIONI!$AA:$AA,31)),"")</f>
        <v/>
      </c>
      <c r="B34" s="31" t="str">
        <f>IFERROR(INDEX(PRENOTAZIONI!$B:$B,SMALL(PRENOTAZIONI!$AA:$AA,31)),"")</f>
        <v/>
      </c>
      <c r="C34" s="32" t="str">
        <f t="shared" si="0"/>
        <v/>
      </c>
      <c r="D34" s="34" t="str">
        <f>IFERROR(INDEX(PRENOTAZIONI!$E:$E,SMALL(PRENOTAZIONI!$AA:$AA,31)),"")</f>
        <v/>
      </c>
      <c r="E34" s="34" t="str">
        <f>IFERROR(INDEX(PRENOTAZIONI!$F:$F,SMALL(PRENOTAZIONI!$AA:$AA,31)),"")</f>
        <v/>
      </c>
      <c r="F34" s="34" t="str">
        <f>IFERROR(INDEX(PRENOTAZIONI!$G:$G,SMALL(PRENOTAZIONI!$AA:$AA,31)),"")</f>
        <v/>
      </c>
      <c r="G34" s="35" t="str">
        <f>IFERROR(INDEX(PRENOTAZIONI!$H:$H,SMALL(PRENOTAZIONI!$AA:$AA,31)),"")</f>
        <v/>
      </c>
      <c r="H34" s="146" t="str">
        <f t="shared" si="1"/>
        <v/>
      </c>
      <c r="I34" s="35" t="str">
        <f t="shared" si="2"/>
        <v/>
      </c>
      <c r="J34" s="149" t="str">
        <f t="shared" si="9"/>
        <v/>
      </c>
      <c r="K34" s="34" t="str">
        <f>IFERROR(INDEX(PRENOTAZIONI!$K:$K,SMALL(PRENOTAZIONI!$AA:$AA,31)),"")</f>
        <v/>
      </c>
      <c r="L34" s="35" t="str">
        <f>IFERROR(INDEX(PRENOTAZIONI!$L:$L,SMALL(PRENOTAZIONI!$AA:$AA,31)),"")</f>
        <v/>
      </c>
      <c r="M34" s="150" t="str">
        <f t="shared" si="3"/>
        <v/>
      </c>
      <c r="N34" s="35" t="str">
        <f t="shared" si="11"/>
        <v/>
      </c>
      <c r="O34" s="35"/>
      <c r="P34" s="43"/>
      <c r="Q34" s="150" t="str">
        <f t="shared" si="5"/>
        <v/>
      </c>
      <c r="R34" s="47" t="str">
        <f>IFERROR(INDEX(PRENOTAZIONI!$R:$R,SMALL(PRENOTAZIONI!$AA:$AA,31)),"")</f>
        <v/>
      </c>
      <c r="S34" s="49"/>
      <c r="T34" s="84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IFERROR(INDEX(PRENOTAZIONI!$A:$A,SMALL(PRENOTAZIONI!$AA:$AA,32)),"")</f>
        <v/>
      </c>
      <c r="B35" s="31" t="str">
        <f>IFERROR(INDEX(PRENOTAZIONI!$B:$B,SMALL(PRENOTAZIONI!$AA:$AA,32)),"")</f>
        <v/>
      </c>
      <c r="C35" s="32" t="str">
        <f t="shared" si="0"/>
        <v/>
      </c>
      <c r="D35" s="34" t="str">
        <f>IFERROR(INDEX(PRENOTAZIONI!$E:$E,SMALL(PRENOTAZIONI!$AA:$AA,32)),"")</f>
        <v/>
      </c>
      <c r="E35" s="34" t="str">
        <f>IFERROR(INDEX(PRENOTAZIONI!$F:$F,SMALL(PRENOTAZIONI!$AA:$AA,32)),"")</f>
        <v/>
      </c>
      <c r="F35" s="34" t="str">
        <f>IFERROR(INDEX(PRENOTAZIONI!$G:$G,SMALL(PRENOTAZIONI!$AA:$AA,32)),"")</f>
        <v/>
      </c>
      <c r="G35" s="35" t="str">
        <f>IFERROR(INDEX(PRENOTAZIONI!$H:$H,SMALL(PRENOTAZIONI!$AA:$AA,32)),"")</f>
        <v/>
      </c>
      <c r="H35" s="146" t="str">
        <f t="shared" si="1"/>
        <v/>
      </c>
      <c r="I35" s="35" t="str">
        <f t="shared" si="2"/>
        <v/>
      </c>
      <c r="J35" s="149" t="str">
        <f t="shared" si="9"/>
        <v/>
      </c>
      <c r="K35" s="34" t="str">
        <f>IFERROR(INDEX(PRENOTAZIONI!$K:$K,SMALL(PRENOTAZIONI!$AA:$AA,32)),"")</f>
        <v/>
      </c>
      <c r="L35" s="35" t="str">
        <f>IFERROR(INDEX(PRENOTAZIONI!$L:$L,SMALL(PRENOTAZIONI!$AA:$AA,32)),"")</f>
        <v/>
      </c>
      <c r="M35" s="150" t="str">
        <f t="shared" si="3"/>
        <v/>
      </c>
      <c r="N35" s="35" t="str">
        <f t="shared" si="11"/>
        <v/>
      </c>
      <c r="O35" s="35"/>
      <c r="P35" s="43"/>
      <c r="Q35" s="150" t="str">
        <f t="shared" si="5"/>
        <v/>
      </c>
      <c r="R35" s="47" t="str">
        <f>IFERROR(INDEX(PRENOTAZIONI!$R:$R,SMALL(PRENOTAZIONI!$AA:$AA,32)),"")</f>
        <v/>
      </c>
      <c r="T35" s="78"/>
    </row>
    <row r="36" spans="1:30" ht="22" customHeight="1" x14ac:dyDescent="0.25">
      <c r="A36" s="31" t="str">
        <f>IFERROR(INDEX(PRENOTAZIONI!$A:$A,SMALL(PRENOTAZIONI!$AA:$AA,33)),"")</f>
        <v/>
      </c>
      <c r="B36" s="31" t="str">
        <f>IFERROR(INDEX(PRENOTAZIONI!$B:$B,SMALL(PRENOTAZIONI!$AA:$AA,33)),"")</f>
        <v/>
      </c>
      <c r="C36" s="32" t="str">
        <f t="shared" ref="C36:C63" si="12">IF(A36&lt;&gt;"",B36-A36,"")</f>
        <v/>
      </c>
      <c r="D36" s="34" t="str">
        <f>IFERROR(INDEX(PRENOTAZIONI!$E:$E,SMALL(PRENOTAZIONI!$AA:$AA,33)),"")</f>
        <v/>
      </c>
      <c r="E36" s="34" t="str">
        <f>IFERROR(INDEX(PRENOTAZIONI!$F:$F,SMALL(PRENOTAZIONI!$AA:$AA,33)),"")</f>
        <v/>
      </c>
      <c r="F36" s="34" t="str">
        <f>IFERROR(INDEX(PRENOTAZIONI!$G:$G,SMALL(PRENOTAZIONI!$AA:$AA,33)),"")</f>
        <v/>
      </c>
      <c r="G36" s="35" t="str">
        <f>IFERROR(INDEX(PRENOTAZIONI!$H:$H,SMALL(PRENOTAZIONI!$AA:$AA,33)),"")</f>
        <v/>
      </c>
      <c r="H36" s="146" t="str">
        <f t="shared" ref="H36:H63" si="13">IF(AND(G36&lt;&gt;"",C36&lt;&gt;"",C36&lt;&gt;0),G36/C36,"")</f>
        <v/>
      </c>
      <c r="I36" s="35" t="str">
        <f t="shared" ref="I36:I63" si="14">IF(G36="","",IF(NOT(ISERROR(SEARCH("diretta",F36))),0,IF(NOT(ISERROR(SEARCH("booking",F36))),G36*0.15,IF(NOT(ISERROR(SEARCH("airbnb",F36))),G36*0.155,""))))</f>
        <v/>
      </c>
      <c r="J36" s="149" t="str">
        <f t="shared" ref="J36:J63" si="15">IF(H36&lt;&gt;"",H36*0.22,"")</f>
        <v/>
      </c>
      <c r="K36" s="34" t="str">
        <f>IFERROR(INDEX(PRENOTAZIONI!$K:$K,SMALL(PRENOTAZIONI!$AA:$AA,33)),"")</f>
        <v/>
      </c>
      <c r="L36" s="35" t="str">
        <f>IFERROR(INDEX(PRENOTAZIONI!$L:$L,SMALL(PRENOTAZIONI!$AA:$AA,33)),"")</f>
        <v/>
      </c>
      <c r="M36" s="150" t="str">
        <f t="shared" ref="M36:M63" si="16">IF(G36&lt;&gt;"",G36*0.21,"")</f>
        <v/>
      </c>
      <c r="N36" s="35" t="str">
        <f t="shared" si="11"/>
        <v/>
      </c>
      <c r="O36" s="35"/>
      <c r="P36" s="43"/>
      <c r="Q36" s="150" t="str">
        <f t="shared" ref="Q36:Q63" si="17">IF(G36&lt;&gt;"",G36-I36-J36-M36-N36-O36,"")</f>
        <v/>
      </c>
      <c r="R36" s="47" t="str">
        <f>IFERROR(INDEX(PRENOTAZIONI!$R:$R,SMALL(PRENOTAZIONI!$AA:$AA,33)),"")</f>
        <v/>
      </c>
      <c r="T36" s="78"/>
    </row>
    <row r="37" spans="1:30" ht="22" customHeight="1" x14ac:dyDescent="0.25">
      <c r="A37" s="31" t="str">
        <f>IFERROR(INDEX(PRENOTAZIONI!$A:$A,SMALL(PRENOTAZIONI!$AA:$AA,34)),"")</f>
        <v/>
      </c>
      <c r="B37" s="31" t="str">
        <f>IFERROR(INDEX(PRENOTAZIONI!$B:$B,SMALL(PRENOTAZIONI!$AA:$AA,34)),"")</f>
        <v/>
      </c>
      <c r="C37" s="32" t="str">
        <f t="shared" si="12"/>
        <v/>
      </c>
      <c r="D37" s="34" t="str">
        <f>IFERROR(INDEX(PRENOTAZIONI!$E:$E,SMALL(PRENOTAZIONI!$AA:$AA,34)),"")</f>
        <v/>
      </c>
      <c r="E37" s="34" t="str">
        <f>IFERROR(INDEX(PRENOTAZIONI!$F:$F,SMALL(PRENOTAZIONI!$AA:$AA,34)),"")</f>
        <v/>
      </c>
      <c r="F37" s="34" t="str">
        <f>IFERROR(INDEX(PRENOTAZIONI!$G:$G,SMALL(PRENOTAZIONI!$AA:$AA,34)),"")</f>
        <v/>
      </c>
      <c r="G37" s="35" t="str">
        <f>IFERROR(INDEX(PRENOTAZIONI!$H:$H,SMALL(PRENOTAZIONI!$AA:$AA,34)),"")</f>
        <v/>
      </c>
      <c r="H37" s="146" t="str">
        <f t="shared" si="13"/>
        <v/>
      </c>
      <c r="I37" s="35" t="str">
        <f t="shared" si="14"/>
        <v/>
      </c>
      <c r="J37" s="149" t="str">
        <f t="shared" si="15"/>
        <v/>
      </c>
      <c r="K37" s="34" t="str">
        <f>IFERROR(INDEX(PRENOTAZIONI!$K:$K,SMALL(PRENOTAZIONI!$AA:$AA,34)),"")</f>
        <v/>
      </c>
      <c r="L37" s="35" t="str">
        <f>IFERROR(INDEX(PRENOTAZIONI!$L:$L,SMALL(PRENOTAZIONI!$AA:$AA,34)),"")</f>
        <v/>
      </c>
      <c r="M37" s="150" t="str">
        <f t="shared" si="16"/>
        <v/>
      </c>
      <c r="N37" s="35" t="str">
        <f t="shared" si="11"/>
        <v/>
      </c>
      <c r="O37" s="35"/>
      <c r="P37" s="43"/>
      <c r="Q37" s="150" t="str">
        <f t="shared" si="17"/>
        <v/>
      </c>
      <c r="R37" s="47" t="str">
        <f>IFERROR(INDEX(PRENOTAZIONI!$R:$R,SMALL(PRENOTAZIONI!$AA:$AA,34)),"")</f>
        <v/>
      </c>
      <c r="T37" s="78"/>
    </row>
    <row r="38" spans="1:30" ht="22" customHeight="1" x14ac:dyDescent="0.25">
      <c r="A38" s="31" t="str">
        <f>IFERROR(INDEX(PRENOTAZIONI!$A:$A,SMALL(PRENOTAZIONI!$AA:$AA,35)),"")</f>
        <v/>
      </c>
      <c r="B38" s="31" t="str">
        <f>IFERROR(INDEX(PRENOTAZIONI!$B:$B,SMALL(PRENOTAZIONI!$AA:$AA,35)),"")</f>
        <v/>
      </c>
      <c r="C38" s="32" t="str">
        <f t="shared" si="12"/>
        <v/>
      </c>
      <c r="D38" s="34" t="str">
        <f>IFERROR(INDEX(PRENOTAZIONI!$E:$E,SMALL(PRENOTAZIONI!$AA:$AA,35)),"")</f>
        <v/>
      </c>
      <c r="E38" s="34" t="str">
        <f>IFERROR(INDEX(PRENOTAZIONI!$F:$F,SMALL(PRENOTAZIONI!$AA:$AA,35)),"")</f>
        <v/>
      </c>
      <c r="F38" s="34" t="str">
        <f>IFERROR(INDEX(PRENOTAZIONI!$G:$G,SMALL(PRENOTAZIONI!$AA:$AA,35)),"")</f>
        <v/>
      </c>
      <c r="G38" s="35" t="str">
        <f>IFERROR(INDEX(PRENOTAZIONI!$H:$H,SMALL(PRENOTAZIONI!$AA:$AA,35)),"")</f>
        <v/>
      </c>
      <c r="H38" s="146" t="str">
        <f t="shared" si="13"/>
        <v/>
      </c>
      <c r="I38" s="35" t="str">
        <f t="shared" si="14"/>
        <v/>
      </c>
      <c r="J38" s="149" t="str">
        <f t="shared" si="15"/>
        <v/>
      </c>
      <c r="K38" s="34" t="str">
        <f>IFERROR(INDEX(PRENOTAZIONI!$K:$K,SMALL(PRENOTAZIONI!$AA:$AA,35)),"")</f>
        <v/>
      </c>
      <c r="L38" s="35" t="str">
        <f>IFERROR(INDEX(PRENOTAZIONI!$L:$L,SMALL(PRENOTAZIONI!$AA:$AA,35)),"")</f>
        <v/>
      </c>
      <c r="M38" s="150" t="str">
        <f t="shared" si="16"/>
        <v/>
      </c>
      <c r="N38" s="35" t="str">
        <f t="shared" si="11"/>
        <v/>
      </c>
      <c r="O38" s="35"/>
      <c r="P38" s="43"/>
      <c r="Q38" s="150" t="str">
        <f t="shared" si="17"/>
        <v/>
      </c>
      <c r="R38" s="47" t="str">
        <f>IFERROR(INDEX(PRENOTAZIONI!$R:$R,SMALL(PRENOTAZIONI!$AA:$AA,35)),"")</f>
        <v/>
      </c>
      <c r="T38" s="78"/>
    </row>
    <row r="39" spans="1:30" ht="22" customHeight="1" x14ac:dyDescent="0.25">
      <c r="A39" s="31" t="str">
        <f>IFERROR(INDEX(PRENOTAZIONI!$A:$A,SMALL(PRENOTAZIONI!$AA:$AA,36)),"")</f>
        <v/>
      </c>
      <c r="B39" s="31" t="str">
        <f>IFERROR(INDEX(PRENOTAZIONI!$B:$B,SMALL(PRENOTAZIONI!$AA:$AA,36)),"")</f>
        <v/>
      </c>
      <c r="C39" s="32" t="str">
        <f t="shared" si="12"/>
        <v/>
      </c>
      <c r="D39" s="34" t="str">
        <f>IFERROR(INDEX(PRENOTAZIONI!$E:$E,SMALL(PRENOTAZIONI!$AA:$AA,36)),"")</f>
        <v/>
      </c>
      <c r="E39" s="34" t="str">
        <f>IFERROR(INDEX(PRENOTAZIONI!$F:$F,SMALL(PRENOTAZIONI!$AA:$AA,36)),"")</f>
        <v/>
      </c>
      <c r="F39" s="34" t="str">
        <f>IFERROR(INDEX(PRENOTAZIONI!$G:$G,SMALL(PRENOTAZIONI!$AA:$AA,36)),"")</f>
        <v/>
      </c>
      <c r="G39" s="35" t="str">
        <f>IFERROR(INDEX(PRENOTAZIONI!$H:$H,SMALL(PRENOTAZIONI!$AA:$AA,36)),"")</f>
        <v/>
      </c>
      <c r="H39" s="146" t="str">
        <f t="shared" si="13"/>
        <v/>
      </c>
      <c r="I39" s="35" t="str">
        <f t="shared" si="14"/>
        <v/>
      </c>
      <c r="J39" s="149" t="str">
        <f t="shared" si="15"/>
        <v/>
      </c>
      <c r="K39" s="34" t="str">
        <f>IFERROR(INDEX(PRENOTAZIONI!$K:$K,SMALL(PRENOTAZIONI!$AA:$AA,36)),"")</f>
        <v/>
      </c>
      <c r="L39" s="35" t="str">
        <f>IFERROR(INDEX(PRENOTAZIONI!$L:$L,SMALL(PRENOTAZIONI!$AA:$AA,36)),"")</f>
        <v/>
      </c>
      <c r="M39" s="150" t="str">
        <f t="shared" si="16"/>
        <v/>
      </c>
      <c r="N39" s="35" t="str">
        <f t="shared" si="11"/>
        <v/>
      </c>
      <c r="O39" s="35"/>
      <c r="P39" s="43"/>
      <c r="Q39" s="150" t="str">
        <f t="shared" si="17"/>
        <v/>
      </c>
      <c r="R39" s="47" t="str">
        <f>IFERROR(INDEX(PRENOTAZIONI!$R:$R,SMALL(PRENOTAZIONI!$AA:$AA,36)),"")</f>
        <v/>
      </c>
      <c r="T39" s="78"/>
    </row>
    <row r="40" spans="1:30" ht="22" customHeight="1" x14ac:dyDescent="0.25">
      <c r="A40" s="31" t="str">
        <f>IFERROR(INDEX(PRENOTAZIONI!$A:$A,SMALL(PRENOTAZIONI!$AA:$AA,37)),"")</f>
        <v/>
      </c>
      <c r="B40" s="31" t="str">
        <f>IFERROR(INDEX(PRENOTAZIONI!$B:$B,SMALL(PRENOTAZIONI!$AA:$AA,37)),"")</f>
        <v/>
      </c>
      <c r="C40" s="32" t="str">
        <f t="shared" si="12"/>
        <v/>
      </c>
      <c r="D40" s="34" t="str">
        <f>IFERROR(INDEX(PRENOTAZIONI!$E:$E,SMALL(PRENOTAZIONI!$AA:$AA,37)),"")</f>
        <v/>
      </c>
      <c r="E40" s="34" t="str">
        <f>IFERROR(INDEX(PRENOTAZIONI!$F:$F,SMALL(PRENOTAZIONI!$AA:$AA,37)),"")</f>
        <v/>
      </c>
      <c r="F40" s="34" t="str">
        <f>IFERROR(INDEX(PRENOTAZIONI!$G:$G,SMALL(PRENOTAZIONI!$AA:$AA,37)),"")</f>
        <v/>
      </c>
      <c r="G40" s="35" t="str">
        <f>IFERROR(INDEX(PRENOTAZIONI!$H:$H,SMALL(PRENOTAZIONI!$AA:$AA,37)),"")</f>
        <v/>
      </c>
      <c r="H40" s="146" t="str">
        <f t="shared" si="13"/>
        <v/>
      </c>
      <c r="I40" s="35" t="str">
        <f t="shared" si="14"/>
        <v/>
      </c>
      <c r="J40" s="149" t="str">
        <f t="shared" si="15"/>
        <v/>
      </c>
      <c r="K40" s="34" t="str">
        <f>IFERROR(INDEX(PRENOTAZIONI!$K:$K,SMALL(PRENOTAZIONI!$AA:$AA,37)),"")</f>
        <v/>
      </c>
      <c r="L40" s="35" t="str">
        <f>IFERROR(INDEX(PRENOTAZIONI!$L:$L,SMALL(PRENOTAZIONI!$AA:$AA,37)),"")</f>
        <v/>
      </c>
      <c r="M40" s="150" t="str">
        <f t="shared" si="16"/>
        <v/>
      </c>
      <c r="N40" s="35" t="str">
        <f t="shared" si="11"/>
        <v/>
      </c>
      <c r="O40" s="35"/>
      <c r="P40" s="43"/>
      <c r="Q40" s="150" t="str">
        <f t="shared" si="17"/>
        <v/>
      </c>
      <c r="R40" s="47" t="str">
        <f>IFERROR(INDEX(PRENOTAZIONI!$R:$R,SMALL(PRENOTAZIONI!$AA:$AA,37)),"")</f>
        <v/>
      </c>
      <c r="T40" s="78"/>
    </row>
    <row r="41" spans="1:30" ht="22" customHeight="1" x14ac:dyDescent="0.25">
      <c r="A41" s="31" t="str">
        <f>IFERROR(INDEX(PRENOTAZIONI!$A:$A,SMALL(PRENOTAZIONI!$AA:$AA,38)),"")</f>
        <v/>
      </c>
      <c r="B41" s="31" t="str">
        <f>IFERROR(INDEX(PRENOTAZIONI!$B:$B,SMALL(PRENOTAZIONI!$AA:$AA,38)),"")</f>
        <v/>
      </c>
      <c r="C41" s="32" t="str">
        <f t="shared" si="12"/>
        <v/>
      </c>
      <c r="D41" s="34" t="str">
        <f>IFERROR(INDEX(PRENOTAZIONI!$E:$E,SMALL(PRENOTAZIONI!$AA:$AA,38)),"")</f>
        <v/>
      </c>
      <c r="E41" s="34" t="str">
        <f>IFERROR(INDEX(PRENOTAZIONI!$F:$F,SMALL(PRENOTAZIONI!$AA:$AA,38)),"")</f>
        <v/>
      </c>
      <c r="F41" s="34" t="str">
        <f>IFERROR(INDEX(PRENOTAZIONI!$G:$G,SMALL(PRENOTAZIONI!$AA:$AA,38)),"")</f>
        <v/>
      </c>
      <c r="G41" s="35" t="str">
        <f>IFERROR(INDEX(PRENOTAZIONI!$H:$H,SMALL(PRENOTAZIONI!$AA:$AA,38)),"")</f>
        <v/>
      </c>
      <c r="H41" s="146" t="str">
        <f t="shared" si="13"/>
        <v/>
      </c>
      <c r="I41" s="35" t="str">
        <f t="shared" si="14"/>
        <v/>
      </c>
      <c r="J41" s="149" t="str">
        <f t="shared" si="15"/>
        <v/>
      </c>
      <c r="K41" s="34" t="str">
        <f>IFERROR(INDEX(PRENOTAZIONI!$K:$K,SMALL(PRENOTAZIONI!$AA:$AA,38)),"")</f>
        <v/>
      </c>
      <c r="L41" s="35" t="str">
        <f>IFERROR(INDEX(PRENOTAZIONI!$L:$L,SMALL(PRENOTAZIONI!$AA:$AA,38)),"")</f>
        <v/>
      </c>
      <c r="M41" s="150" t="str">
        <f t="shared" si="16"/>
        <v/>
      </c>
      <c r="N41" s="35" t="str">
        <f t="shared" si="11"/>
        <v/>
      </c>
      <c r="O41" s="35"/>
      <c r="P41" s="43"/>
      <c r="Q41" s="150" t="str">
        <f t="shared" si="17"/>
        <v/>
      </c>
      <c r="R41" s="47" t="str">
        <f>IFERROR(INDEX(PRENOTAZIONI!$R:$R,SMALL(PRENOTAZIONI!$AA:$AA,38)),"")</f>
        <v/>
      </c>
      <c r="T41" s="78"/>
    </row>
    <row r="42" spans="1:30" ht="22" customHeight="1" x14ac:dyDescent="0.25">
      <c r="A42" s="31" t="str">
        <f>IFERROR(INDEX(PRENOTAZIONI!$A:$A,SMALL(PRENOTAZIONI!$AA:$AA,39)),"")</f>
        <v/>
      </c>
      <c r="B42" s="31" t="str">
        <f>IFERROR(INDEX(PRENOTAZIONI!$B:$B,SMALL(PRENOTAZIONI!$AA:$AA,39)),"")</f>
        <v/>
      </c>
      <c r="C42" s="32" t="str">
        <f t="shared" si="12"/>
        <v/>
      </c>
      <c r="D42" s="34" t="str">
        <f>IFERROR(INDEX(PRENOTAZIONI!$E:$E,SMALL(PRENOTAZIONI!$AA:$AA,39)),"")</f>
        <v/>
      </c>
      <c r="E42" s="34" t="str">
        <f>IFERROR(INDEX(PRENOTAZIONI!$F:$F,SMALL(PRENOTAZIONI!$AA:$AA,39)),"")</f>
        <v/>
      </c>
      <c r="F42" s="34" t="str">
        <f>IFERROR(INDEX(PRENOTAZIONI!$G:$G,SMALL(PRENOTAZIONI!$AA:$AA,39)),"")</f>
        <v/>
      </c>
      <c r="G42" s="35" t="str">
        <f>IFERROR(INDEX(PRENOTAZIONI!$H:$H,SMALL(PRENOTAZIONI!$AA:$AA,39)),"")</f>
        <v/>
      </c>
      <c r="H42" s="146" t="str">
        <f t="shared" si="13"/>
        <v/>
      </c>
      <c r="I42" s="35" t="str">
        <f t="shared" si="14"/>
        <v/>
      </c>
      <c r="J42" s="149" t="str">
        <f t="shared" si="15"/>
        <v/>
      </c>
      <c r="K42" s="34" t="str">
        <f>IFERROR(INDEX(PRENOTAZIONI!$K:$K,SMALL(PRENOTAZIONI!$AA:$AA,39)),"")</f>
        <v/>
      </c>
      <c r="L42" s="35" t="str">
        <f>IFERROR(INDEX(PRENOTAZIONI!$L:$L,SMALL(PRENOTAZIONI!$AA:$AA,39)),"")</f>
        <v/>
      </c>
      <c r="M42" s="150" t="str">
        <f t="shared" si="16"/>
        <v/>
      </c>
      <c r="N42" s="35" t="str">
        <f t="shared" si="11"/>
        <v/>
      </c>
      <c r="O42" s="35"/>
      <c r="P42" s="43"/>
      <c r="Q42" s="150" t="str">
        <f t="shared" si="17"/>
        <v/>
      </c>
      <c r="R42" s="47" t="str">
        <f>IFERROR(INDEX(PRENOTAZIONI!$R:$R,SMALL(PRENOTAZIONI!$AA:$AA,39)),"")</f>
        <v/>
      </c>
      <c r="T42" s="78"/>
    </row>
    <row r="43" spans="1:30" ht="22" customHeight="1" x14ac:dyDescent="0.25">
      <c r="A43" s="31" t="str">
        <f>IFERROR(INDEX(PRENOTAZIONI!$A:$A,SMALL(PRENOTAZIONI!$AA:$AA,40)),"")</f>
        <v/>
      </c>
      <c r="B43" s="31" t="str">
        <f>IFERROR(INDEX(PRENOTAZIONI!$B:$B,SMALL(PRENOTAZIONI!$AA:$AA,40)),"")</f>
        <v/>
      </c>
      <c r="C43" s="32" t="str">
        <f t="shared" si="12"/>
        <v/>
      </c>
      <c r="D43" s="34" t="str">
        <f>IFERROR(INDEX(PRENOTAZIONI!$E:$E,SMALL(PRENOTAZIONI!$AA:$AA,40)),"")</f>
        <v/>
      </c>
      <c r="E43" s="34" t="str">
        <f>IFERROR(INDEX(PRENOTAZIONI!$F:$F,SMALL(PRENOTAZIONI!$AA:$AA,40)),"")</f>
        <v/>
      </c>
      <c r="F43" s="34" t="str">
        <f>IFERROR(INDEX(PRENOTAZIONI!$G:$G,SMALL(PRENOTAZIONI!$AA:$AA,40)),"")</f>
        <v/>
      </c>
      <c r="G43" s="35" t="str">
        <f>IFERROR(INDEX(PRENOTAZIONI!$H:$H,SMALL(PRENOTAZIONI!$AA:$AA,40)),"")</f>
        <v/>
      </c>
      <c r="H43" s="146" t="str">
        <f t="shared" si="13"/>
        <v/>
      </c>
      <c r="I43" s="35" t="str">
        <f t="shared" si="14"/>
        <v/>
      </c>
      <c r="J43" s="149" t="str">
        <f t="shared" si="15"/>
        <v/>
      </c>
      <c r="K43" s="34" t="str">
        <f>IFERROR(INDEX(PRENOTAZIONI!$K:$K,SMALL(PRENOTAZIONI!$AA:$AA,40)),"")</f>
        <v/>
      </c>
      <c r="L43" s="35" t="str">
        <f>IFERROR(INDEX(PRENOTAZIONI!$L:$L,SMALL(PRENOTAZIONI!$AA:$AA,40)),"")</f>
        <v/>
      </c>
      <c r="M43" s="150" t="str">
        <f t="shared" si="16"/>
        <v/>
      </c>
      <c r="N43" s="35" t="str">
        <f t="shared" si="11"/>
        <v/>
      </c>
      <c r="O43" s="35"/>
      <c r="P43" s="43"/>
      <c r="Q43" s="150" t="str">
        <f t="shared" si="17"/>
        <v/>
      </c>
      <c r="R43" s="47" t="str">
        <f>IFERROR(INDEX(PRENOTAZIONI!$R:$R,SMALL(PRENOTAZIONI!$AA:$AA,40)),"")</f>
        <v/>
      </c>
      <c r="T43" s="78"/>
    </row>
    <row r="44" spans="1:30" ht="22" customHeight="1" x14ac:dyDescent="0.25">
      <c r="A44" s="31" t="str">
        <f>IFERROR(INDEX(PRENOTAZIONI!$A:$A,SMALL(PRENOTAZIONI!$AA:$AA,41)),"")</f>
        <v/>
      </c>
      <c r="B44" s="31" t="str">
        <f>IFERROR(INDEX(PRENOTAZIONI!$B:$B,SMALL(PRENOTAZIONI!$AA:$AA,41)),"")</f>
        <v/>
      </c>
      <c r="C44" s="32" t="str">
        <f t="shared" si="12"/>
        <v/>
      </c>
      <c r="D44" s="34" t="str">
        <f>IFERROR(INDEX(PRENOTAZIONI!$E:$E,SMALL(PRENOTAZIONI!$AA:$AA,41)),"")</f>
        <v/>
      </c>
      <c r="E44" s="34" t="str">
        <f>IFERROR(INDEX(PRENOTAZIONI!$F:$F,SMALL(PRENOTAZIONI!$AA:$AA,41)),"")</f>
        <v/>
      </c>
      <c r="F44" s="34" t="str">
        <f>IFERROR(INDEX(PRENOTAZIONI!$G:$G,SMALL(PRENOTAZIONI!$AA:$AA,41)),"")</f>
        <v/>
      </c>
      <c r="G44" s="35" t="str">
        <f>IFERROR(INDEX(PRENOTAZIONI!$H:$H,SMALL(PRENOTAZIONI!$AA:$AA,41)),"")</f>
        <v/>
      </c>
      <c r="H44" s="146" t="str">
        <f t="shared" si="13"/>
        <v/>
      </c>
      <c r="I44" s="35" t="str">
        <f t="shared" si="14"/>
        <v/>
      </c>
      <c r="J44" s="149" t="str">
        <f t="shared" si="15"/>
        <v/>
      </c>
      <c r="K44" s="34" t="str">
        <f>IFERROR(INDEX(PRENOTAZIONI!$K:$K,SMALL(PRENOTAZIONI!$AA:$AA,41)),"")</f>
        <v/>
      </c>
      <c r="L44" s="35" t="str">
        <f>IFERROR(INDEX(PRENOTAZIONI!$L:$L,SMALL(PRENOTAZIONI!$AA:$AA,41)),"")</f>
        <v/>
      </c>
      <c r="M44" s="150" t="str">
        <f t="shared" si="16"/>
        <v/>
      </c>
      <c r="N44" s="35" t="str">
        <f t="shared" si="11"/>
        <v/>
      </c>
      <c r="O44" s="35"/>
      <c r="P44" s="43"/>
      <c r="Q44" s="150" t="str">
        <f t="shared" si="17"/>
        <v/>
      </c>
      <c r="R44" s="47" t="str">
        <f>IFERROR(INDEX(PRENOTAZIONI!$R:$R,SMALL(PRENOTAZIONI!$AA:$AA,41)),"")</f>
        <v/>
      </c>
      <c r="T44" s="78"/>
    </row>
    <row r="45" spans="1:30" ht="22" customHeight="1" x14ac:dyDescent="0.25">
      <c r="A45" s="31" t="str">
        <f>IFERROR(INDEX(PRENOTAZIONI!$A:$A,SMALL(PRENOTAZIONI!$AA:$AA,42)),"")</f>
        <v/>
      </c>
      <c r="B45" s="31" t="str">
        <f>IFERROR(INDEX(PRENOTAZIONI!$B:$B,SMALL(PRENOTAZIONI!$AA:$AA,42)),"")</f>
        <v/>
      </c>
      <c r="C45" s="32" t="str">
        <f t="shared" si="12"/>
        <v/>
      </c>
      <c r="D45" s="34" t="str">
        <f>IFERROR(INDEX(PRENOTAZIONI!$E:$E,SMALL(PRENOTAZIONI!$AA:$AA,42)),"")</f>
        <v/>
      </c>
      <c r="E45" s="34" t="str">
        <f>IFERROR(INDEX(PRENOTAZIONI!$F:$F,SMALL(PRENOTAZIONI!$AA:$AA,42)),"")</f>
        <v/>
      </c>
      <c r="F45" s="34" t="str">
        <f>IFERROR(INDEX(PRENOTAZIONI!$G:$G,SMALL(PRENOTAZIONI!$AA:$AA,42)),"")</f>
        <v/>
      </c>
      <c r="G45" s="35" t="str">
        <f>IFERROR(INDEX(PRENOTAZIONI!$H:$H,SMALL(PRENOTAZIONI!$AA:$AA,42)),"")</f>
        <v/>
      </c>
      <c r="H45" s="146" t="str">
        <f t="shared" si="13"/>
        <v/>
      </c>
      <c r="I45" s="35" t="str">
        <f t="shared" si="14"/>
        <v/>
      </c>
      <c r="J45" s="149" t="str">
        <f t="shared" si="15"/>
        <v/>
      </c>
      <c r="K45" s="34" t="str">
        <f>IFERROR(INDEX(PRENOTAZIONI!$K:$K,SMALL(PRENOTAZIONI!$AA:$AA,42)),"")</f>
        <v/>
      </c>
      <c r="L45" s="35" t="str">
        <f>IFERROR(INDEX(PRENOTAZIONI!$L:$L,SMALL(PRENOTAZIONI!$AA:$AA,42)),"")</f>
        <v/>
      </c>
      <c r="M45" s="150" t="str">
        <f t="shared" si="16"/>
        <v/>
      </c>
      <c r="N45" s="35" t="str">
        <f t="shared" si="11"/>
        <v/>
      </c>
      <c r="O45" s="35"/>
      <c r="P45" s="43"/>
      <c r="Q45" s="150" t="str">
        <f t="shared" si="17"/>
        <v/>
      </c>
      <c r="R45" s="47" t="str">
        <f>IFERROR(INDEX(PRENOTAZIONI!$R:$R,SMALL(PRENOTAZIONI!$AA:$AA,42)),"")</f>
        <v/>
      </c>
      <c r="T45" s="78"/>
    </row>
    <row r="46" spans="1:30" ht="22" customHeight="1" x14ac:dyDescent="0.25">
      <c r="A46" s="31" t="str">
        <f>IFERROR(INDEX(PRENOTAZIONI!$A:$A,SMALL(PRENOTAZIONI!$AA:$AA,43)),"")</f>
        <v/>
      </c>
      <c r="B46" s="31" t="str">
        <f>IFERROR(INDEX(PRENOTAZIONI!$B:$B,SMALL(PRENOTAZIONI!$AA:$AA,43)),"")</f>
        <v/>
      </c>
      <c r="C46" s="32" t="str">
        <f t="shared" si="12"/>
        <v/>
      </c>
      <c r="D46" s="34" t="str">
        <f>IFERROR(INDEX(PRENOTAZIONI!$E:$E,SMALL(PRENOTAZIONI!$AA:$AA,43)),"")</f>
        <v/>
      </c>
      <c r="E46" s="34" t="str">
        <f>IFERROR(INDEX(PRENOTAZIONI!$F:$F,SMALL(PRENOTAZIONI!$AA:$AA,43)),"")</f>
        <v/>
      </c>
      <c r="F46" s="34" t="str">
        <f>IFERROR(INDEX(PRENOTAZIONI!$G:$G,SMALL(PRENOTAZIONI!$AA:$AA,43)),"")</f>
        <v/>
      </c>
      <c r="G46" s="35" t="str">
        <f>IFERROR(INDEX(PRENOTAZIONI!$H:$H,SMALL(PRENOTAZIONI!$AA:$AA,43)),"")</f>
        <v/>
      </c>
      <c r="H46" s="146" t="str">
        <f t="shared" si="13"/>
        <v/>
      </c>
      <c r="I46" s="35" t="str">
        <f t="shared" si="14"/>
        <v/>
      </c>
      <c r="J46" s="149" t="str">
        <f t="shared" si="15"/>
        <v/>
      </c>
      <c r="K46" s="34" t="str">
        <f>IFERROR(INDEX(PRENOTAZIONI!$K:$K,SMALL(PRENOTAZIONI!$AA:$AA,43)),"")</f>
        <v/>
      </c>
      <c r="L46" s="35" t="str">
        <f>IFERROR(INDEX(PRENOTAZIONI!$L:$L,SMALL(PRENOTAZIONI!$AA:$AA,43)),"")</f>
        <v/>
      </c>
      <c r="M46" s="150" t="str">
        <f t="shared" si="16"/>
        <v/>
      </c>
      <c r="N46" s="35" t="str">
        <f t="shared" si="11"/>
        <v/>
      </c>
      <c r="O46" s="35"/>
      <c r="P46" s="43"/>
      <c r="Q46" s="150" t="str">
        <f t="shared" si="17"/>
        <v/>
      </c>
      <c r="R46" s="47" t="str">
        <f>IFERROR(INDEX(PRENOTAZIONI!$R:$R,SMALL(PRENOTAZIONI!$AA:$AA,43)),"")</f>
        <v/>
      </c>
      <c r="T46" s="78"/>
    </row>
    <row r="47" spans="1:30" ht="22" customHeight="1" x14ac:dyDescent="0.25">
      <c r="A47" s="31" t="str">
        <f>IFERROR(INDEX(PRENOTAZIONI!$A:$A,SMALL(PRENOTAZIONI!$AA:$AA,44)),"")</f>
        <v/>
      </c>
      <c r="B47" s="31" t="str">
        <f>IFERROR(INDEX(PRENOTAZIONI!$B:$B,SMALL(PRENOTAZIONI!$AA:$AA,44)),"")</f>
        <v/>
      </c>
      <c r="C47" s="32" t="str">
        <f t="shared" si="12"/>
        <v/>
      </c>
      <c r="D47" s="34" t="str">
        <f>IFERROR(INDEX(PRENOTAZIONI!$E:$E,SMALL(PRENOTAZIONI!$AA:$AA,44)),"")</f>
        <v/>
      </c>
      <c r="E47" s="34" t="str">
        <f>IFERROR(INDEX(PRENOTAZIONI!$F:$F,SMALL(PRENOTAZIONI!$AA:$AA,44)),"")</f>
        <v/>
      </c>
      <c r="F47" s="34" t="str">
        <f>IFERROR(INDEX(PRENOTAZIONI!$G:$G,SMALL(PRENOTAZIONI!$AA:$AA,44)),"")</f>
        <v/>
      </c>
      <c r="G47" s="35" t="str">
        <f>IFERROR(INDEX(PRENOTAZIONI!$H:$H,SMALL(PRENOTAZIONI!$AA:$AA,44)),"")</f>
        <v/>
      </c>
      <c r="H47" s="146" t="str">
        <f t="shared" si="13"/>
        <v/>
      </c>
      <c r="I47" s="35" t="str">
        <f t="shared" si="14"/>
        <v/>
      </c>
      <c r="J47" s="149" t="str">
        <f t="shared" si="15"/>
        <v/>
      </c>
      <c r="K47" s="34" t="str">
        <f>IFERROR(INDEX(PRENOTAZIONI!$K:$K,SMALL(PRENOTAZIONI!$AA:$AA,44)),"")</f>
        <v/>
      </c>
      <c r="L47" s="35" t="str">
        <f>IFERROR(INDEX(PRENOTAZIONI!$L:$L,SMALL(PRENOTAZIONI!$AA:$AA,44)),"")</f>
        <v/>
      </c>
      <c r="M47" s="150" t="str">
        <f t="shared" si="16"/>
        <v/>
      </c>
      <c r="N47" s="35" t="str">
        <f t="shared" si="11"/>
        <v/>
      </c>
      <c r="O47" s="35"/>
      <c r="P47" s="43"/>
      <c r="Q47" s="150" t="str">
        <f t="shared" si="17"/>
        <v/>
      </c>
      <c r="R47" s="47" t="str">
        <f>IFERROR(INDEX(PRENOTAZIONI!$R:$R,SMALL(PRENOTAZIONI!$AA:$AA,44)),"")</f>
        <v/>
      </c>
      <c r="T47" s="78"/>
    </row>
    <row r="48" spans="1:30" ht="22" customHeight="1" x14ac:dyDescent="0.25">
      <c r="A48" s="31" t="str">
        <f>IFERROR(INDEX(PRENOTAZIONI!$A:$A,SMALL(PRENOTAZIONI!$AA:$AA,45)),"")</f>
        <v/>
      </c>
      <c r="B48" s="31" t="str">
        <f>IFERROR(INDEX(PRENOTAZIONI!$B:$B,SMALL(PRENOTAZIONI!$AA:$AA,45)),"")</f>
        <v/>
      </c>
      <c r="C48" s="32" t="str">
        <f t="shared" si="12"/>
        <v/>
      </c>
      <c r="D48" s="34" t="str">
        <f>IFERROR(INDEX(PRENOTAZIONI!$E:$E,SMALL(PRENOTAZIONI!$AA:$AA,45)),"")</f>
        <v/>
      </c>
      <c r="E48" s="34" t="str">
        <f>IFERROR(INDEX(PRENOTAZIONI!$F:$F,SMALL(PRENOTAZIONI!$AA:$AA,45)),"")</f>
        <v/>
      </c>
      <c r="F48" s="34" t="str">
        <f>IFERROR(INDEX(PRENOTAZIONI!$G:$G,SMALL(PRENOTAZIONI!$AA:$AA,45)),"")</f>
        <v/>
      </c>
      <c r="G48" s="35" t="str">
        <f>IFERROR(INDEX(PRENOTAZIONI!$H:$H,SMALL(PRENOTAZIONI!$AA:$AA,45)),"")</f>
        <v/>
      </c>
      <c r="H48" s="146" t="str">
        <f t="shared" si="13"/>
        <v/>
      </c>
      <c r="I48" s="35" t="str">
        <f t="shared" si="14"/>
        <v/>
      </c>
      <c r="J48" s="149" t="str">
        <f t="shared" si="15"/>
        <v/>
      </c>
      <c r="K48" s="34" t="str">
        <f>IFERROR(INDEX(PRENOTAZIONI!$K:$K,SMALL(PRENOTAZIONI!$AA:$AA,45)),"")</f>
        <v/>
      </c>
      <c r="L48" s="35" t="str">
        <f>IFERROR(INDEX(PRENOTAZIONI!$L:$L,SMALL(PRENOTAZIONI!$AA:$AA,45)),"")</f>
        <v/>
      </c>
      <c r="M48" s="150" t="str">
        <f t="shared" si="16"/>
        <v/>
      </c>
      <c r="N48" s="35" t="str">
        <f t="shared" si="11"/>
        <v/>
      </c>
      <c r="O48" s="35"/>
      <c r="P48" s="43"/>
      <c r="Q48" s="150" t="str">
        <f t="shared" si="17"/>
        <v/>
      </c>
      <c r="R48" s="47" t="str">
        <f>IFERROR(INDEX(PRENOTAZIONI!$R:$R,SMALL(PRENOTAZIONI!$AA:$AA,45)),"")</f>
        <v/>
      </c>
      <c r="T48" s="78"/>
    </row>
    <row r="49" spans="1:20" ht="22" customHeight="1" x14ac:dyDescent="0.25">
      <c r="A49" s="31" t="str">
        <f>IFERROR(INDEX(PRENOTAZIONI!$A:$A,SMALL(PRENOTAZIONI!$AA:$AA,46)),"")</f>
        <v/>
      </c>
      <c r="B49" s="31" t="str">
        <f>IFERROR(INDEX(PRENOTAZIONI!$B:$B,SMALL(PRENOTAZIONI!$AA:$AA,46)),"")</f>
        <v/>
      </c>
      <c r="C49" s="32" t="str">
        <f t="shared" si="12"/>
        <v/>
      </c>
      <c r="D49" s="34" t="str">
        <f>IFERROR(INDEX(PRENOTAZIONI!$E:$E,SMALL(PRENOTAZIONI!$AA:$AA,46)),"")</f>
        <v/>
      </c>
      <c r="E49" s="34" t="str">
        <f>IFERROR(INDEX(PRENOTAZIONI!$F:$F,SMALL(PRENOTAZIONI!$AA:$AA,46)),"")</f>
        <v/>
      </c>
      <c r="F49" s="34" t="str">
        <f>IFERROR(INDEX(PRENOTAZIONI!$G:$G,SMALL(PRENOTAZIONI!$AA:$AA,46)),"")</f>
        <v/>
      </c>
      <c r="G49" s="35" t="str">
        <f>IFERROR(INDEX(PRENOTAZIONI!$H:$H,SMALL(PRENOTAZIONI!$AA:$AA,46)),"")</f>
        <v/>
      </c>
      <c r="H49" s="146" t="str">
        <f t="shared" si="13"/>
        <v/>
      </c>
      <c r="I49" s="35" t="str">
        <f t="shared" si="14"/>
        <v/>
      </c>
      <c r="J49" s="149" t="str">
        <f t="shared" si="15"/>
        <v/>
      </c>
      <c r="K49" s="34" t="str">
        <f>IFERROR(INDEX(PRENOTAZIONI!$K:$K,SMALL(PRENOTAZIONI!$AA:$AA,46)),"")</f>
        <v/>
      </c>
      <c r="L49" s="35" t="str">
        <f>IFERROR(INDEX(PRENOTAZIONI!$L:$L,SMALL(PRENOTAZIONI!$AA:$AA,46)),"")</f>
        <v/>
      </c>
      <c r="M49" s="150" t="str">
        <f t="shared" si="16"/>
        <v/>
      </c>
      <c r="N49" s="35" t="str">
        <f t="shared" si="11"/>
        <v/>
      </c>
      <c r="O49" s="35"/>
      <c r="P49" s="43"/>
      <c r="Q49" s="150" t="str">
        <f t="shared" si="17"/>
        <v/>
      </c>
      <c r="R49" s="47" t="str">
        <f>IFERROR(INDEX(PRENOTAZIONI!$R:$R,SMALL(PRENOTAZIONI!$AA:$AA,46)),"")</f>
        <v/>
      </c>
      <c r="T49" s="78"/>
    </row>
    <row r="50" spans="1:20" ht="22" customHeight="1" x14ac:dyDescent="0.25">
      <c r="A50" s="31" t="str">
        <f>IFERROR(INDEX(PRENOTAZIONI!$A:$A,SMALL(PRENOTAZIONI!$AA:$AA,47)),"")</f>
        <v/>
      </c>
      <c r="B50" s="31" t="str">
        <f>IFERROR(INDEX(PRENOTAZIONI!$B:$B,SMALL(PRENOTAZIONI!$AA:$AA,47)),"")</f>
        <v/>
      </c>
      <c r="C50" s="32" t="str">
        <f t="shared" si="12"/>
        <v/>
      </c>
      <c r="D50" s="34" t="str">
        <f>IFERROR(INDEX(PRENOTAZIONI!$E:$E,SMALL(PRENOTAZIONI!$AA:$AA,47)),"")</f>
        <v/>
      </c>
      <c r="E50" s="34" t="str">
        <f>IFERROR(INDEX(PRENOTAZIONI!$F:$F,SMALL(PRENOTAZIONI!$AA:$AA,47)),"")</f>
        <v/>
      </c>
      <c r="F50" s="34" t="str">
        <f>IFERROR(INDEX(PRENOTAZIONI!$G:$G,SMALL(PRENOTAZIONI!$AA:$AA,47)),"")</f>
        <v/>
      </c>
      <c r="G50" s="35" t="str">
        <f>IFERROR(INDEX(PRENOTAZIONI!$H:$H,SMALL(PRENOTAZIONI!$AA:$AA,47)),"")</f>
        <v/>
      </c>
      <c r="H50" s="146" t="str">
        <f t="shared" si="13"/>
        <v/>
      </c>
      <c r="I50" s="35" t="str">
        <f t="shared" si="14"/>
        <v/>
      </c>
      <c r="J50" s="149" t="str">
        <f t="shared" si="15"/>
        <v/>
      </c>
      <c r="K50" s="34" t="str">
        <f>IFERROR(INDEX(PRENOTAZIONI!$K:$K,SMALL(PRENOTAZIONI!$AA:$AA,47)),"")</f>
        <v/>
      </c>
      <c r="L50" s="35" t="str">
        <f>IFERROR(INDEX(PRENOTAZIONI!$L:$L,SMALL(PRENOTAZIONI!$AA:$AA,47)),"")</f>
        <v/>
      </c>
      <c r="M50" s="150" t="str">
        <f t="shared" si="16"/>
        <v/>
      </c>
      <c r="N50" s="35" t="str">
        <f t="shared" si="11"/>
        <v/>
      </c>
      <c r="O50" s="35"/>
      <c r="P50" s="43"/>
      <c r="Q50" s="150" t="str">
        <f t="shared" si="17"/>
        <v/>
      </c>
      <c r="R50" s="47" t="str">
        <f>IFERROR(INDEX(PRENOTAZIONI!$R:$R,SMALL(PRENOTAZIONI!$AA:$AA,47)),"")</f>
        <v/>
      </c>
      <c r="T50" s="78"/>
    </row>
    <row r="51" spans="1:20" ht="22" customHeight="1" x14ac:dyDescent="0.25">
      <c r="A51" s="31" t="str">
        <f>IFERROR(INDEX(PRENOTAZIONI!$A:$A,SMALL(PRENOTAZIONI!$AA:$AA,48)),"")</f>
        <v/>
      </c>
      <c r="B51" s="31" t="str">
        <f>IFERROR(INDEX(PRENOTAZIONI!$B:$B,SMALL(PRENOTAZIONI!$AA:$AA,48)),"")</f>
        <v/>
      </c>
      <c r="C51" s="32" t="str">
        <f t="shared" si="12"/>
        <v/>
      </c>
      <c r="D51" s="34" t="str">
        <f>IFERROR(INDEX(PRENOTAZIONI!$E:$E,SMALL(PRENOTAZIONI!$AA:$AA,48)),"")</f>
        <v/>
      </c>
      <c r="E51" s="34" t="str">
        <f>IFERROR(INDEX(PRENOTAZIONI!$F:$F,SMALL(PRENOTAZIONI!$AA:$AA,48)),"")</f>
        <v/>
      </c>
      <c r="F51" s="34" t="str">
        <f>IFERROR(INDEX(PRENOTAZIONI!$G:$G,SMALL(PRENOTAZIONI!$AA:$AA,48)),"")</f>
        <v/>
      </c>
      <c r="G51" s="35" t="str">
        <f>IFERROR(INDEX(PRENOTAZIONI!$H:$H,SMALL(PRENOTAZIONI!$AA:$AA,48)),"")</f>
        <v/>
      </c>
      <c r="H51" s="146" t="str">
        <f t="shared" si="13"/>
        <v/>
      </c>
      <c r="I51" s="35" t="str">
        <f t="shared" si="14"/>
        <v/>
      </c>
      <c r="J51" s="149" t="str">
        <f t="shared" si="15"/>
        <v/>
      </c>
      <c r="K51" s="34" t="str">
        <f>IFERROR(INDEX(PRENOTAZIONI!$K:$K,SMALL(PRENOTAZIONI!$AA:$AA,48)),"")</f>
        <v/>
      </c>
      <c r="L51" s="35" t="str">
        <f>IFERROR(INDEX(PRENOTAZIONI!$L:$L,SMALL(PRENOTAZIONI!$AA:$AA,48)),"")</f>
        <v/>
      </c>
      <c r="M51" s="150" t="str">
        <f t="shared" si="16"/>
        <v/>
      </c>
      <c r="N51" s="35" t="str">
        <f t="shared" si="11"/>
        <v/>
      </c>
      <c r="O51" s="35"/>
      <c r="P51" s="43"/>
      <c r="Q51" s="150" t="str">
        <f t="shared" si="17"/>
        <v/>
      </c>
      <c r="R51" s="47" t="str">
        <f>IFERROR(INDEX(PRENOTAZIONI!$R:$R,SMALL(PRENOTAZIONI!$AA:$AA,48)),"")</f>
        <v/>
      </c>
      <c r="T51" s="78"/>
    </row>
    <row r="52" spans="1:20" ht="22" customHeight="1" x14ac:dyDescent="0.25">
      <c r="A52" s="31" t="str">
        <f>IFERROR(INDEX(PRENOTAZIONI!$A:$A,SMALL(PRENOTAZIONI!$AA:$AA,49)),"")</f>
        <v/>
      </c>
      <c r="B52" s="31" t="str">
        <f>IFERROR(INDEX(PRENOTAZIONI!$B:$B,SMALL(PRENOTAZIONI!$AA:$AA,49)),"")</f>
        <v/>
      </c>
      <c r="C52" s="32" t="str">
        <f t="shared" si="12"/>
        <v/>
      </c>
      <c r="D52" s="34" t="str">
        <f>IFERROR(INDEX(PRENOTAZIONI!$E:$E,SMALL(PRENOTAZIONI!$AA:$AA,49)),"")</f>
        <v/>
      </c>
      <c r="E52" s="34" t="str">
        <f>IFERROR(INDEX(PRENOTAZIONI!$F:$F,SMALL(PRENOTAZIONI!$AA:$AA,49)),"")</f>
        <v/>
      </c>
      <c r="F52" s="34" t="str">
        <f>IFERROR(INDEX(PRENOTAZIONI!$G:$G,SMALL(PRENOTAZIONI!$AA:$AA,49)),"")</f>
        <v/>
      </c>
      <c r="G52" s="35" t="str">
        <f>IFERROR(INDEX(PRENOTAZIONI!$H:$H,SMALL(PRENOTAZIONI!$AA:$AA,49)),"")</f>
        <v/>
      </c>
      <c r="H52" s="146" t="str">
        <f t="shared" si="13"/>
        <v/>
      </c>
      <c r="I52" s="35" t="str">
        <f t="shared" si="14"/>
        <v/>
      </c>
      <c r="J52" s="149" t="str">
        <f t="shared" si="15"/>
        <v/>
      </c>
      <c r="K52" s="34" t="str">
        <f>IFERROR(INDEX(PRENOTAZIONI!$K:$K,SMALL(PRENOTAZIONI!$AA:$AA,49)),"")</f>
        <v/>
      </c>
      <c r="L52" s="35" t="str">
        <f>IFERROR(INDEX(PRENOTAZIONI!$L:$L,SMALL(PRENOTAZIONI!$AA:$AA,49)),"")</f>
        <v/>
      </c>
      <c r="M52" s="150" t="str">
        <f t="shared" si="16"/>
        <v/>
      </c>
      <c r="N52" s="35" t="str">
        <f t="shared" si="11"/>
        <v/>
      </c>
      <c r="O52" s="35"/>
      <c r="P52" s="43"/>
      <c r="Q52" s="150" t="str">
        <f t="shared" si="17"/>
        <v/>
      </c>
      <c r="R52" s="47" t="str">
        <f>IFERROR(INDEX(PRENOTAZIONI!$R:$R,SMALL(PRENOTAZIONI!$AA:$AA,49)),"")</f>
        <v/>
      </c>
      <c r="T52" s="78"/>
    </row>
    <row r="53" spans="1:20" ht="22" customHeight="1" x14ac:dyDescent="0.25">
      <c r="A53" s="31" t="str">
        <f>IFERROR(INDEX(PRENOTAZIONI!$A:$A,SMALL(PRENOTAZIONI!$AA:$AA,50)),"")</f>
        <v/>
      </c>
      <c r="B53" s="31" t="str">
        <f>IFERROR(INDEX(PRENOTAZIONI!$B:$B,SMALL(PRENOTAZIONI!$AA:$AA,50)),"")</f>
        <v/>
      </c>
      <c r="C53" s="32" t="str">
        <f t="shared" si="12"/>
        <v/>
      </c>
      <c r="D53" s="34" t="str">
        <f>IFERROR(INDEX(PRENOTAZIONI!$E:$E,SMALL(PRENOTAZIONI!$AA:$AA,50)),"")</f>
        <v/>
      </c>
      <c r="E53" s="34" t="str">
        <f>IFERROR(INDEX(PRENOTAZIONI!$F:$F,SMALL(PRENOTAZIONI!$AA:$AA,50)),"")</f>
        <v/>
      </c>
      <c r="F53" s="34" t="str">
        <f>IFERROR(INDEX(PRENOTAZIONI!$G:$G,SMALL(PRENOTAZIONI!$AA:$AA,50)),"")</f>
        <v/>
      </c>
      <c r="G53" s="35" t="str">
        <f>IFERROR(INDEX(PRENOTAZIONI!$H:$H,SMALL(PRENOTAZIONI!$AA:$AA,50)),"")</f>
        <v/>
      </c>
      <c r="H53" s="146" t="str">
        <f t="shared" si="13"/>
        <v/>
      </c>
      <c r="I53" s="35" t="str">
        <f t="shared" si="14"/>
        <v/>
      </c>
      <c r="J53" s="149" t="str">
        <f t="shared" si="15"/>
        <v/>
      </c>
      <c r="K53" s="34" t="str">
        <f>IFERROR(INDEX(PRENOTAZIONI!$K:$K,SMALL(PRENOTAZIONI!$AA:$AA,50)),"")</f>
        <v/>
      </c>
      <c r="L53" s="35" t="str">
        <f>IFERROR(INDEX(PRENOTAZIONI!$L:$L,SMALL(PRENOTAZIONI!$AA:$AA,50)),"")</f>
        <v/>
      </c>
      <c r="M53" s="150" t="str">
        <f t="shared" si="16"/>
        <v/>
      </c>
      <c r="N53" s="35" t="str">
        <f t="shared" si="11"/>
        <v/>
      </c>
      <c r="O53" s="35"/>
      <c r="P53" s="43"/>
      <c r="Q53" s="150" t="str">
        <f t="shared" si="17"/>
        <v/>
      </c>
      <c r="R53" s="47" t="str">
        <f>IFERROR(INDEX(PRENOTAZIONI!$R:$R,SMALL(PRENOTAZIONI!$AA:$AA,50)),"")</f>
        <v/>
      </c>
      <c r="T53" s="78"/>
    </row>
    <row r="54" spans="1:20" ht="22" customHeight="1" x14ac:dyDescent="0.25">
      <c r="A54" s="31" t="str">
        <f>IFERROR(INDEX(PRENOTAZIONI!$A:$A,SMALL(PRENOTAZIONI!$AA:$AA,51)),"")</f>
        <v/>
      </c>
      <c r="B54" s="31" t="str">
        <f>IFERROR(INDEX(PRENOTAZIONI!$B:$B,SMALL(PRENOTAZIONI!$AA:$AA,51)),"")</f>
        <v/>
      </c>
      <c r="C54" s="32" t="str">
        <f t="shared" si="12"/>
        <v/>
      </c>
      <c r="D54" s="34" t="str">
        <f>IFERROR(INDEX(PRENOTAZIONI!$E:$E,SMALL(PRENOTAZIONI!$AA:$AA,51)),"")</f>
        <v/>
      </c>
      <c r="E54" s="34" t="str">
        <f>IFERROR(INDEX(PRENOTAZIONI!$F:$F,SMALL(PRENOTAZIONI!$AA:$AA,51)),"")</f>
        <v/>
      </c>
      <c r="F54" s="34" t="str">
        <f>IFERROR(INDEX(PRENOTAZIONI!$G:$G,SMALL(PRENOTAZIONI!$AA:$AA,51)),"")</f>
        <v/>
      </c>
      <c r="G54" s="35" t="str">
        <f>IFERROR(INDEX(PRENOTAZIONI!$H:$H,SMALL(PRENOTAZIONI!$AA:$AA,51)),"")</f>
        <v/>
      </c>
      <c r="H54" s="146" t="str">
        <f t="shared" si="13"/>
        <v/>
      </c>
      <c r="I54" s="35" t="str">
        <f t="shared" si="14"/>
        <v/>
      </c>
      <c r="J54" s="149" t="str">
        <f t="shared" si="15"/>
        <v/>
      </c>
      <c r="K54" s="34" t="str">
        <f>IFERROR(INDEX(PRENOTAZIONI!$K:$K,SMALL(PRENOTAZIONI!$AA:$AA,51)),"")</f>
        <v/>
      </c>
      <c r="L54" s="35" t="str">
        <f>IFERROR(INDEX(PRENOTAZIONI!$L:$L,SMALL(PRENOTAZIONI!$AA:$AA,51)),"")</f>
        <v/>
      </c>
      <c r="M54" s="150" t="str">
        <f t="shared" si="16"/>
        <v/>
      </c>
      <c r="N54" s="35" t="str">
        <f t="shared" si="11"/>
        <v/>
      </c>
      <c r="O54" s="35"/>
      <c r="P54" s="43"/>
      <c r="Q54" s="150" t="str">
        <f t="shared" si="17"/>
        <v/>
      </c>
      <c r="R54" s="47" t="str">
        <f>IFERROR(INDEX(PRENOTAZIONI!$R:$R,SMALL(PRENOTAZIONI!$AA:$AA,51)),"")</f>
        <v/>
      </c>
      <c r="T54" s="78"/>
    </row>
    <row r="55" spans="1:20" ht="22" customHeight="1" x14ac:dyDescent="0.25">
      <c r="A55" s="31" t="str">
        <f>IFERROR(INDEX(PRENOTAZIONI!$A:$A,SMALL(PRENOTAZIONI!$AA:$AA,52)),"")</f>
        <v/>
      </c>
      <c r="B55" s="31" t="str">
        <f>IFERROR(INDEX(PRENOTAZIONI!$B:$B,SMALL(PRENOTAZIONI!$AA:$AA,52)),"")</f>
        <v/>
      </c>
      <c r="C55" s="32" t="str">
        <f t="shared" si="12"/>
        <v/>
      </c>
      <c r="D55" s="34" t="str">
        <f>IFERROR(INDEX(PRENOTAZIONI!$E:$E,SMALL(PRENOTAZIONI!$AA:$AA,52)),"")</f>
        <v/>
      </c>
      <c r="E55" s="34" t="str">
        <f>IFERROR(INDEX(PRENOTAZIONI!$F:$F,SMALL(PRENOTAZIONI!$AA:$AA,52)),"")</f>
        <v/>
      </c>
      <c r="F55" s="34" t="str">
        <f>IFERROR(INDEX(PRENOTAZIONI!$G:$G,SMALL(PRENOTAZIONI!$AA:$AA,52)),"")</f>
        <v/>
      </c>
      <c r="G55" s="35" t="str">
        <f>IFERROR(INDEX(PRENOTAZIONI!$H:$H,SMALL(PRENOTAZIONI!$AA:$AA,52)),"")</f>
        <v/>
      </c>
      <c r="H55" s="146" t="str">
        <f t="shared" si="13"/>
        <v/>
      </c>
      <c r="I55" s="35" t="str">
        <f t="shared" si="14"/>
        <v/>
      </c>
      <c r="J55" s="149" t="str">
        <f t="shared" si="15"/>
        <v/>
      </c>
      <c r="K55" s="34" t="str">
        <f>IFERROR(INDEX(PRENOTAZIONI!$K:$K,SMALL(PRENOTAZIONI!$AA:$AA,52)),"")</f>
        <v/>
      </c>
      <c r="L55" s="35" t="str">
        <f>IFERROR(INDEX(PRENOTAZIONI!$L:$L,SMALL(PRENOTAZIONI!$AA:$AA,52)),"")</f>
        <v/>
      </c>
      <c r="M55" s="150" t="str">
        <f t="shared" si="16"/>
        <v/>
      </c>
      <c r="N55" s="35" t="str">
        <f t="shared" si="11"/>
        <v/>
      </c>
      <c r="O55" s="35"/>
      <c r="P55" s="43"/>
      <c r="Q55" s="150" t="str">
        <f t="shared" si="17"/>
        <v/>
      </c>
      <c r="R55" s="47" t="str">
        <f>IFERROR(INDEX(PRENOTAZIONI!$R:$R,SMALL(PRENOTAZIONI!$AA:$AA,52)),"")</f>
        <v/>
      </c>
      <c r="T55" s="78"/>
    </row>
    <row r="56" spans="1:20" ht="22" customHeight="1" x14ac:dyDescent="0.25">
      <c r="A56" s="31" t="str">
        <f>IFERROR(INDEX(PRENOTAZIONI!$A:$A,SMALL(PRENOTAZIONI!$AA:$AA,53)),"")</f>
        <v/>
      </c>
      <c r="B56" s="31" t="str">
        <f>IFERROR(INDEX(PRENOTAZIONI!$B:$B,SMALL(PRENOTAZIONI!$AA:$AA,53)),"")</f>
        <v/>
      </c>
      <c r="C56" s="32" t="str">
        <f t="shared" si="12"/>
        <v/>
      </c>
      <c r="D56" s="34" t="str">
        <f>IFERROR(INDEX(PRENOTAZIONI!$E:$E,SMALL(PRENOTAZIONI!$AA:$AA,53)),"")</f>
        <v/>
      </c>
      <c r="E56" s="34" t="str">
        <f>IFERROR(INDEX(PRENOTAZIONI!$F:$F,SMALL(PRENOTAZIONI!$AA:$AA,53)),"")</f>
        <v/>
      </c>
      <c r="F56" s="34" t="str">
        <f>IFERROR(INDEX(PRENOTAZIONI!$G:$G,SMALL(PRENOTAZIONI!$AA:$AA,53)),"")</f>
        <v/>
      </c>
      <c r="G56" s="35" t="str">
        <f>IFERROR(INDEX(PRENOTAZIONI!$H:$H,SMALL(PRENOTAZIONI!$AA:$AA,53)),"")</f>
        <v/>
      </c>
      <c r="H56" s="146" t="str">
        <f t="shared" si="13"/>
        <v/>
      </c>
      <c r="I56" s="35" t="str">
        <f t="shared" si="14"/>
        <v/>
      </c>
      <c r="J56" s="149" t="str">
        <f t="shared" si="15"/>
        <v/>
      </c>
      <c r="K56" s="34" t="str">
        <f>IFERROR(INDEX(PRENOTAZIONI!$K:$K,SMALL(PRENOTAZIONI!$AA:$AA,53)),"")</f>
        <v/>
      </c>
      <c r="L56" s="35" t="str">
        <f>IFERROR(INDEX(PRENOTAZIONI!$L:$L,SMALL(PRENOTAZIONI!$AA:$AA,53)),"")</f>
        <v/>
      </c>
      <c r="M56" s="150" t="str">
        <f t="shared" si="16"/>
        <v/>
      </c>
      <c r="N56" s="35" t="str">
        <f t="shared" si="11"/>
        <v/>
      </c>
      <c r="O56" s="35"/>
      <c r="P56" s="43"/>
      <c r="Q56" s="150" t="str">
        <f t="shared" si="17"/>
        <v/>
      </c>
      <c r="R56" s="47" t="str">
        <f>IFERROR(INDEX(PRENOTAZIONI!$R:$R,SMALL(PRENOTAZIONI!$AA:$AA,53)),"")</f>
        <v/>
      </c>
      <c r="T56" s="78"/>
    </row>
    <row r="57" spans="1:20" ht="22" customHeight="1" x14ac:dyDescent="0.25">
      <c r="A57" s="31" t="str">
        <f>IFERROR(INDEX(PRENOTAZIONI!$A:$A,SMALL(PRENOTAZIONI!$AA:$AA,54)),"")</f>
        <v/>
      </c>
      <c r="B57" s="31" t="str">
        <f>IFERROR(INDEX(PRENOTAZIONI!$B:$B,SMALL(PRENOTAZIONI!$AA:$AA,54)),"")</f>
        <v/>
      </c>
      <c r="C57" s="32" t="str">
        <f t="shared" si="12"/>
        <v/>
      </c>
      <c r="D57" s="34" t="str">
        <f>IFERROR(INDEX(PRENOTAZIONI!$E:$E,SMALL(PRENOTAZIONI!$AA:$AA,54)),"")</f>
        <v/>
      </c>
      <c r="E57" s="34" t="str">
        <f>IFERROR(INDEX(PRENOTAZIONI!$F:$F,SMALL(PRENOTAZIONI!$AA:$AA,54)),"")</f>
        <v/>
      </c>
      <c r="F57" s="34" t="str">
        <f>IFERROR(INDEX(PRENOTAZIONI!$G:$G,SMALL(PRENOTAZIONI!$AA:$AA,54)),"")</f>
        <v/>
      </c>
      <c r="G57" s="35" t="str">
        <f>IFERROR(INDEX(PRENOTAZIONI!$H:$H,SMALL(PRENOTAZIONI!$AA:$AA,54)),"")</f>
        <v/>
      </c>
      <c r="H57" s="146" t="str">
        <f t="shared" si="13"/>
        <v/>
      </c>
      <c r="I57" s="35" t="str">
        <f t="shared" si="14"/>
        <v/>
      </c>
      <c r="J57" s="149" t="str">
        <f t="shared" si="15"/>
        <v/>
      </c>
      <c r="K57" s="34" t="str">
        <f>IFERROR(INDEX(PRENOTAZIONI!$K:$K,SMALL(PRENOTAZIONI!$AA:$AA,54)),"")</f>
        <v/>
      </c>
      <c r="L57" s="35" t="str">
        <f>IFERROR(INDEX(PRENOTAZIONI!$L:$L,SMALL(PRENOTAZIONI!$AA:$AA,54)),"")</f>
        <v/>
      </c>
      <c r="M57" s="150" t="str">
        <f t="shared" si="16"/>
        <v/>
      </c>
      <c r="N57" s="35" t="str">
        <f t="shared" si="11"/>
        <v/>
      </c>
      <c r="O57" s="35"/>
      <c r="P57" s="43"/>
      <c r="Q57" s="150" t="str">
        <f t="shared" si="17"/>
        <v/>
      </c>
      <c r="R57" s="47" t="str">
        <f>IFERROR(INDEX(PRENOTAZIONI!$R:$R,SMALL(PRENOTAZIONI!$AA:$AA,54)),"")</f>
        <v/>
      </c>
      <c r="T57" s="78"/>
    </row>
    <row r="58" spans="1:20" ht="22" customHeight="1" x14ac:dyDescent="0.25">
      <c r="A58" s="31" t="str">
        <f>IFERROR(INDEX(PRENOTAZIONI!$A:$A,SMALL(PRENOTAZIONI!$AA:$AA,55)),"")</f>
        <v/>
      </c>
      <c r="B58" s="31" t="str">
        <f>IFERROR(INDEX(PRENOTAZIONI!$B:$B,SMALL(PRENOTAZIONI!$AA:$AA,55)),"")</f>
        <v/>
      </c>
      <c r="C58" s="32" t="str">
        <f t="shared" si="12"/>
        <v/>
      </c>
      <c r="D58" s="34" t="str">
        <f>IFERROR(INDEX(PRENOTAZIONI!$E:$E,SMALL(PRENOTAZIONI!$AA:$AA,55)),"")</f>
        <v/>
      </c>
      <c r="E58" s="34" t="str">
        <f>IFERROR(INDEX(PRENOTAZIONI!$F:$F,SMALL(PRENOTAZIONI!$AA:$AA,55)),"")</f>
        <v/>
      </c>
      <c r="F58" s="34" t="str">
        <f>IFERROR(INDEX(PRENOTAZIONI!$G:$G,SMALL(PRENOTAZIONI!$AA:$AA,55)),"")</f>
        <v/>
      </c>
      <c r="G58" s="35" t="str">
        <f>IFERROR(INDEX(PRENOTAZIONI!$H:$H,SMALL(PRENOTAZIONI!$AA:$AA,55)),"")</f>
        <v/>
      </c>
      <c r="H58" s="146" t="str">
        <f t="shared" si="13"/>
        <v/>
      </c>
      <c r="I58" s="35" t="str">
        <f t="shared" si="14"/>
        <v/>
      </c>
      <c r="J58" s="149" t="str">
        <f t="shared" si="15"/>
        <v/>
      </c>
      <c r="K58" s="34" t="str">
        <f>IFERROR(INDEX(PRENOTAZIONI!$K:$K,SMALL(PRENOTAZIONI!$AA:$AA,55)),"")</f>
        <v/>
      </c>
      <c r="L58" s="35" t="str">
        <f>IFERROR(INDEX(PRENOTAZIONI!$L:$L,SMALL(PRENOTAZIONI!$AA:$AA,55)),"")</f>
        <v/>
      </c>
      <c r="M58" s="150" t="str">
        <f t="shared" si="16"/>
        <v/>
      </c>
      <c r="N58" s="35" t="str">
        <f t="shared" si="11"/>
        <v/>
      </c>
      <c r="O58" s="35"/>
      <c r="P58" s="43"/>
      <c r="Q58" s="150" t="str">
        <f t="shared" si="17"/>
        <v/>
      </c>
      <c r="R58" s="47" t="str">
        <f>IFERROR(INDEX(PRENOTAZIONI!$R:$R,SMALL(PRENOTAZIONI!$AA:$AA,55)),"")</f>
        <v/>
      </c>
      <c r="T58" s="78"/>
    </row>
    <row r="59" spans="1:20" ht="22" customHeight="1" x14ac:dyDescent="0.25">
      <c r="A59" s="31" t="str">
        <f>IFERROR(INDEX(PRENOTAZIONI!$A:$A,SMALL(PRENOTAZIONI!$AA:$AA,56)),"")</f>
        <v/>
      </c>
      <c r="B59" s="31" t="str">
        <f>IFERROR(INDEX(PRENOTAZIONI!$B:$B,SMALL(PRENOTAZIONI!$AA:$AA,56)),"")</f>
        <v/>
      </c>
      <c r="C59" s="32" t="str">
        <f t="shared" si="12"/>
        <v/>
      </c>
      <c r="D59" s="34" t="str">
        <f>IFERROR(INDEX(PRENOTAZIONI!$E:$E,SMALL(PRENOTAZIONI!$AA:$AA,56)),"")</f>
        <v/>
      </c>
      <c r="E59" s="34" t="str">
        <f>IFERROR(INDEX(PRENOTAZIONI!$F:$F,SMALL(PRENOTAZIONI!$AA:$AA,56)),"")</f>
        <v/>
      </c>
      <c r="F59" s="34" t="str">
        <f>IFERROR(INDEX(PRENOTAZIONI!$G:$G,SMALL(PRENOTAZIONI!$AA:$AA,56)),"")</f>
        <v/>
      </c>
      <c r="G59" s="35" t="str">
        <f>IFERROR(INDEX(PRENOTAZIONI!$H:$H,SMALL(PRENOTAZIONI!$AA:$AA,56)),"")</f>
        <v/>
      </c>
      <c r="H59" s="146" t="str">
        <f t="shared" si="13"/>
        <v/>
      </c>
      <c r="I59" s="35" t="str">
        <f t="shared" si="14"/>
        <v/>
      </c>
      <c r="J59" s="149" t="str">
        <f t="shared" si="15"/>
        <v/>
      </c>
      <c r="K59" s="34" t="str">
        <f>IFERROR(INDEX(PRENOTAZIONI!$K:$K,SMALL(PRENOTAZIONI!$AA:$AA,56)),"")</f>
        <v/>
      </c>
      <c r="L59" s="35" t="str">
        <f>IFERROR(INDEX(PRENOTAZIONI!$L:$L,SMALL(PRENOTAZIONI!$AA:$AA,56)),"")</f>
        <v/>
      </c>
      <c r="M59" s="150" t="str">
        <f t="shared" si="16"/>
        <v/>
      </c>
      <c r="N59" s="35" t="str">
        <f t="shared" si="11"/>
        <v/>
      </c>
      <c r="O59" s="35"/>
      <c r="P59" s="35"/>
      <c r="Q59" s="150" t="str">
        <f t="shared" si="17"/>
        <v/>
      </c>
      <c r="R59" s="47" t="str">
        <f>IFERROR(INDEX(PRENOTAZIONI!$R:$R,SMALL(PRENOTAZIONI!$AA:$AA,56)),"")</f>
        <v/>
      </c>
      <c r="T59" s="78"/>
    </row>
    <row r="60" spans="1:20" ht="22" customHeight="1" x14ac:dyDescent="0.25">
      <c r="A60" s="31" t="str">
        <f>IFERROR(INDEX(PRENOTAZIONI!$A:$A,SMALL(PRENOTAZIONI!$AA:$AA,57)),"")</f>
        <v/>
      </c>
      <c r="B60" s="31" t="str">
        <f>IFERROR(INDEX(PRENOTAZIONI!$B:$B,SMALL(PRENOTAZIONI!$AA:$AA,57)),"")</f>
        <v/>
      </c>
      <c r="C60" s="32" t="str">
        <f t="shared" si="12"/>
        <v/>
      </c>
      <c r="D60" s="34" t="str">
        <f>IFERROR(INDEX(PRENOTAZIONI!$E:$E,SMALL(PRENOTAZIONI!$AA:$AA,57)),"")</f>
        <v/>
      </c>
      <c r="E60" s="34" t="str">
        <f>IFERROR(INDEX(PRENOTAZIONI!$F:$F,SMALL(PRENOTAZIONI!$AA:$AA,57)),"")</f>
        <v/>
      </c>
      <c r="F60" s="34" t="str">
        <f>IFERROR(INDEX(PRENOTAZIONI!$G:$G,SMALL(PRENOTAZIONI!$AA:$AA,57)),"")</f>
        <v/>
      </c>
      <c r="G60" s="35" t="str">
        <f>IFERROR(INDEX(PRENOTAZIONI!$H:$H,SMALL(PRENOTAZIONI!$AA:$AA,57)),"")</f>
        <v/>
      </c>
      <c r="H60" s="146" t="str">
        <f t="shared" si="13"/>
        <v/>
      </c>
      <c r="I60" s="35" t="str">
        <f t="shared" si="14"/>
        <v/>
      </c>
      <c r="J60" s="149" t="str">
        <f t="shared" si="15"/>
        <v/>
      </c>
      <c r="K60" s="34" t="str">
        <f>IFERROR(INDEX(PRENOTAZIONI!$K:$K,SMALL(PRENOTAZIONI!$AA:$AA,57)),"")</f>
        <v/>
      </c>
      <c r="L60" s="35" t="str">
        <f>IFERROR(INDEX(PRENOTAZIONI!$L:$L,SMALL(PRENOTAZIONI!$AA:$AA,57)),"")</f>
        <v/>
      </c>
      <c r="M60" s="150" t="str">
        <f t="shared" si="16"/>
        <v/>
      </c>
      <c r="N60" s="35" t="str">
        <f t="shared" si="11"/>
        <v/>
      </c>
      <c r="O60" s="35"/>
      <c r="P60" s="35"/>
      <c r="Q60" s="150" t="str">
        <f t="shared" si="17"/>
        <v/>
      </c>
      <c r="R60" s="47" t="str">
        <f>IFERROR(INDEX(PRENOTAZIONI!$R:$R,SMALL(PRENOTAZIONI!$AA:$AA,57)),"")</f>
        <v/>
      </c>
      <c r="T60" s="78"/>
    </row>
    <row r="61" spans="1:20" ht="22" customHeight="1" x14ac:dyDescent="0.25">
      <c r="A61" s="31" t="str">
        <f>IFERROR(INDEX(PRENOTAZIONI!$A:$A,SMALL(PRENOTAZIONI!$AA:$AA,58)),"")</f>
        <v/>
      </c>
      <c r="B61" s="31" t="str">
        <f>IFERROR(INDEX(PRENOTAZIONI!$B:$B,SMALL(PRENOTAZIONI!$AA:$AA,58)),"")</f>
        <v/>
      </c>
      <c r="C61" s="32" t="str">
        <f t="shared" si="12"/>
        <v/>
      </c>
      <c r="D61" s="34" t="str">
        <f>IFERROR(INDEX(PRENOTAZIONI!$E:$E,SMALL(PRENOTAZIONI!$AA:$AA,58)),"")</f>
        <v/>
      </c>
      <c r="E61" s="34" t="str">
        <f>IFERROR(INDEX(PRENOTAZIONI!$F:$F,SMALL(PRENOTAZIONI!$AA:$AA,58)),"")</f>
        <v/>
      </c>
      <c r="F61" s="34" t="str">
        <f>IFERROR(INDEX(PRENOTAZIONI!$G:$G,SMALL(PRENOTAZIONI!$AA:$AA,58)),"")</f>
        <v/>
      </c>
      <c r="G61" s="35" t="str">
        <f>IFERROR(INDEX(PRENOTAZIONI!$H:$H,SMALL(PRENOTAZIONI!$AA:$AA,58)),"")</f>
        <v/>
      </c>
      <c r="H61" s="146" t="str">
        <f t="shared" si="13"/>
        <v/>
      </c>
      <c r="I61" s="35" t="str">
        <f t="shared" si="14"/>
        <v/>
      </c>
      <c r="J61" s="149" t="str">
        <f t="shared" si="15"/>
        <v/>
      </c>
      <c r="K61" s="34" t="str">
        <f>IFERROR(INDEX(PRENOTAZIONI!$K:$K,SMALL(PRENOTAZIONI!$AA:$AA,58)),"")</f>
        <v/>
      </c>
      <c r="L61" s="35" t="str">
        <f>IFERROR(INDEX(PRENOTAZIONI!$L:$L,SMALL(PRENOTAZIONI!$AA:$AA,58)),"")</f>
        <v/>
      </c>
      <c r="M61" s="150" t="str">
        <f t="shared" si="16"/>
        <v/>
      </c>
      <c r="N61" s="35" t="str">
        <f t="shared" si="11"/>
        <v/>
      </c>
      <c r="O61" s="35"/>
      <c r="P61" s="35"/>
      <c r="Q61" s="150" t="str">
        <f t="shared" si="17"/>
        <v/>
      </c>
      <c r="R61" s="47" t="str">
        <f>IFERROR(INDEX(PRENOTAZIONI!$R:$R,SMALL(PRENOTAZIONI!$AA:$AA,58)),"")</f>
        <v/>
      </c>
      <c r="T61" s="78"/>
    </row>
    <row r="62" spans="1:20" ht="22" customHeight="1" x14ac:dyDescent="0.25">
      <c r="A62" s="31" t="str">
        <f>IFERROR(INDEX(PRENOTAZIONI!$A:$A,SMALL(PRENOTAZIONI!$AA:$AA,59)),"")</f>
        <v/>
      </c>
      <c r="B62" s="31" t="str">
        <f>IFERROR(INDEX(PRENOTAZIONI!$B:$B,SMALL(PRENOTAZIONI!$AA:$AA,59)),"")</f>
        <v/>
      </c>
      <c r="C62" s="32" t="str">
        <f t="shared" si="12"/>
        <v/>
      </c>
      <c r="D62" s="34" t="str">
        <f>IFERROR(INDEX(PRENOTAZIONI!$E:$E,SMALL(PRENOTAZIONI!$AA:$AA,59)),"")</f>
        <v/>
      </c>
      <c r="E62" s="34" t="str">
        <f>IFERROR(INDEX(PRENOTAZIONI!$F:$F,SMALL(PRENOTAZIONI!$AA:$AA,59)),"")</f>
        <v/>
      </c>
      <c r="F62" s="34" t="str">
        <f>IFERROR(INDEX(PRENOTAZIONI!$G:$G,SMALL(PRENOTAZIONI!$AA:$AA,59)),"")</f>
        <v/>
      </c>
      <c r="G62" s="35" t="str">
        <f>IFERROR(INDEX(PRENOTAZIONI!$H:$H,SMALL(PRENOTAZIONI!$AA:$AA,59)),"")</f>
        <v/>
      </c>
      <c r="H62" s="146" t="str">
        <f t="shared" si="13"/>
        <v/>
      </c>
      <c r="I62" s="35" t="str">
        <f t="shared" si="14"/>
        <v/>
      </c>
      <c r="J62" s="149" t="str">
        <f t="shared" si="15"/>
        <v/>
      </c>
      <c r="K62" s="34" t="str">
        <f>IFERROR(INDEX(PRENOTAZIONI!$K:$K,SMALL(PRENOTAZIONI!$AA:$AA,59)),"")</f>
        <v/>
      </c>
      <c r="L62" s="35" t="str">
        <f>IFERROR(INDEX(PRENOTAZIONI!$L:$L,SMALL(PRENOTAZIONI!$AA:$AA,59)),"")</f>
        <v/>
      </c>
      <c r="M62" s="150" t="str">
        <f t="shared" si="16"/>
        <v/>
      </c>
      <c r="N62" s="35" t="str">
        <f t="shared" si="11"/>
        <v/>
      </c>
      <c r="O62" s="35"/>
      <c r="P62" s="35"/>
      <c r="Q62" s="150" t="str">
        <f t="shared" si="17"/>
        <v/>
      </c>
      <c r="R62" s="47" t="str">
        <f>IFERROR(INDEX(PRENOTAZIONI!$R:$R,SMALL(PRENOTAZIONI!$AA:$AA,59)),"")</f>
        <v/>
      </c>
      <c r="T62" s="78"/>
    </row>
    <row r="63" spans="1:20" ht="22" customHeight="1" x14ac:dyDescent="0.25">
      <c r="A63" s="31" t="str">
        <f>IFERROR(INDEX(PRENOTAZIONI!$A:$A,SMALL(PRENOTAZIONI!$AA:$AA,60)),"")</f>
        <v/>
      </c>
      <c r="B63" s="31" t="str">
        <f>IFERROR(INDEX(PRENOTAZIONI!$B:$B,SMALL(PRENOTAZIONI!$AA:$AA,60)),"")</f>
        <v/>
      </c>
      <c r="C63" s="32" t="str">
        <f t="shared" si="12"/>
        <v/>
      </c>
      <c r="D63" s="34" t="str">
        <f>IFERROR(INDEX(PRENOTAZIONI!$E:$E,SMALL(PRENOTAZIONI!$AA:$AA,60)),"")</f>
        <v/>
      </c>
      <c r="E63" s="34" t="str">
        <f>IFERROR(INDEX(PRENOTAZIONI!$F:$F,SMALL(PRENOTAZIONI!$AA:$AA,60)),"")</f>
        <v/>
      </c>
      <c r="F63" s="34" t="str">
        <f>IFERROR(INDEX(PRENOTAZIONI!$G:$G,SMALL(PRENOTAZIONI!$AA:$AA,60)),"")</f>
        <v/>
      </c>
      <c r="G63" s="35" t="str">
        <f>IFERROR(INDEX(PRENOTAZIONI!$H:$H,SMALL(PRENOTAZIONI!$AA:$AA,60)),"")</f>
        <v/>
      </c>
      <c r="H63" s="146" t="str">
        <f t="shared" si="13"/>
        <v/>
      </c>
      <c r="I63" s="35" t="str">
        <f t="shared" si="14"/>
        <v/>
      </c>
      <c r="J63" s="149" t="str">
        <f t="shared" si="15"/>
        <v/>
      </c>
      <c r="K63" s="34" t="str">
        <f>IFERROR(INDEX(PRENOTAZIONI!$K:$K,SMALL(PRENOTAZIONI!$AA:$AA,60)),"")</f>
        <v/>
      </c>
      <c r="L63" s="35" t="str">
        <f>IFERROR(INDEX(PRENOTAZIONI!$L:$L,SMALL(PRENOTAZIONI!$AA:$AA,60)),"")</f>
        <v/>
      </c>
      <c r="M63" s="150" t="str">
        <f t="shared" si="16"/>
        <v/>
      </c>
      <c r="N63" s="35" t="str">
        <f t="shared" si="11"/>
        <v/>
      </c>
      <c r="O63" s="35"/>
      <c r="P63" s="35"/>
      <c r="Q63" s="150" t="str">
        <f t="shared" si="17"/>
        <v/>
      </c>
      <c r="R63" s="47" t="str">
        <f>IFERROR(INDEX(PRENOTAZIONI!$R:$R,SMALL(PRENOTAZIONI!$AA:$AA,60)),"")</f>
        <v/>
      </c>
      <c r="T63" s="78"/>
    </row>
    <row r="64" spans="1:20" ht="19" customHeight="1" x14ac:dyDescent="0.25">
      <c r="T64" s="78"/>
    </row>
    <row r="65" spans="20:20" ht="19" customHeight="1" x14ac:dyDescent="0.25">
      <c r="T65" s="78"/>
    </row>
  </sheetData>
  <pageMargins left="0.75" right="0.75" top="1" bottom="1" header="0.5" footer="0.5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56082"/>
  </sheetPr>
  <dimension ref="A1:BG65"/>
  <sheetViews>
    <sheetView topLeftCell="Y1" workbookViewId="0">
      <pane ySplit="3" topLeftCell="A4" activePane="bottomLeft" state="frozen"/>
      <selection pane="bottomLeft" activeCell="X4" sqref="X4:X5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9" width="11" customWidth="1"/>
    <col min="10" max="10" width="10" customWidth="1"/>
    <col min="11" max="11" width="14.6640625" bestFit="1" customWidth="1"/>
    <col min="12" max="12" width="10" customWidth="1"/>
    <col min="13" max="13" width="10.6640625" customWidth="1"/>
    <col min="14" max="14" width="11.6640625" customWidth="1"/>
    <col min="15" max="15" width="16.33203125" bestFit="1" customWidth="1"/>
    <col min="16" max="16" width="18" style="93" customWidth="1"/>
    <col min="17" max="17" width="48.83203125" style="93" bestFit="1" customWidth="1"/>
    <col min="18" max="18" width="53.6640625" style="93" bestFit="1" customWidth="1"/>
    <col min="19" max="19" width="13.1640625" bestFit="1" customWidth="1"/>
    <col min="20" max="20" width="11.5" bestFit="1" customWidth="1"/>
    <col min="21" max="21" width="20" customWidth="1"/>
    <col min="22" max="22" width="10.83203125" bestFit="1" customWidth="1"/>
    <col min="23" max="23" width="11" customWidth="1"/>
    <col min="24" max="24" width="12" customWidth="1"/>
    <col min="25" max="25" width="12" bestFit="1" customWidth="1"/>
    <col min="26" max="26" width="10" customWidth="1"/>
    <col min="27" max="28" width="12" customWidth="1"/>
    <col min="29" max="29" width="13" customWidth="1"/>
    <col min="30" max="30" width="2" customWidth="1"/>
    <col min="31" max="31" width="13" customWidth="1"/>
    <col min="32" max="32" width="8.83203125" bestFit="1" customWidth="1"/>
    <col min="33" max="33" width="9" bestFit="1" customWidth="1"/>
    <col min="34" max="35" width="13.33203125" bestFit="1" customWidth="1"/>
    <col min="36" max="36" width="12.1640625" bestFit="1" customWidth="1"/>
    <col min="37" max="37" width="11.83203125" bestFit="1" customWidth="1"/>
    <col min="38" max="38" width="11" bestFit="1" customWidth="1"/>
    <col min="39" max="40" width="11" customWidth="1"/>
    <col min="41" max="41" width="14.5" bestFit="1" customWidth="1"/>
  </cols>
  <sheetData>
    <row r="1" spans="1:59" ht="28" customHeight="1" thickBot="1" x14ac:dyDescent="0.3">
      <c r="A1" s="1" t="s">
        <v>283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92"/>
      <c r="S1" s="78"/>
      <c r="AE1" s="38"/>
      <c r="AF1" s="110" t="s">
        <v>284</v>
      </c>
      <c r="AG1" s="108"/>
      <c r="AH1" s="108"/>
      <c r="AI1" s="108"/>
      <c r="AJ1" s="108"/>
      <c r="AK1" s="108"/>
      <c r="AL1" s="108"/>
      <c r="AM1" s="108"/>
      <c r="AN1" s="109"/>
      <c r="AO1" s="109"/>
    </row>
    <row r="2" spans="1:59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7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</row>
    <row r="3" spans="1:59" ht="35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12</v>
      </c>
      <c r="L3" s="139" t="s">
        <v>251</v>
      </c>
      <c r="M3" s="139" t="s">
        <v>285</v>
      </c>
      <c r="N3" s="139" t="s">
        <v>253</v>
      </c>
      <c r="O3" s="139" t="s">
        <v>254</v>
      </c>
      <c r="P3" s="139" t="s">
        <v>255</v>
      </c>
      <c r="Q3" s="156" t="s">
        <v>18</v>
      </c>
      <c r="R3" s="100"/>
      <c r="S3" s="98" t="s">
        <v>1</v>
      </c>
      <c r="T3" s="3" t="s">
        <v>2</v>
      </c>
      <c r="U3" s="3" t="s">
        <v>3</v>
      </c>
      <c r="V3" s="3" t="s">
        <v>5</v>
      </c>
      <c r="W3" s="3" t="s">
        <v>248</v>
      </c>
      <c r="X3" s="3" t="s">
        <v>8</v>
      </c>
      <c r="Y3" s="3" t="s">
        <v>11</v>
      </c>
      <c r="Z3" s="3" t="s">
        <v>256</v>
      </c>
      <c r="AA3" s="3" t="s">
        <v>257</v>
      </c>
      <c r="AB3" s="3" t="s">
        <v>252</v>
      </c>
      <c r="AC3" s="3" t="s">
        <v>255</v>
      </c>
      <c r="AE3" s="44"/>
      <c r="AF3" s="111" t="s">
        <v>175</v>
      </c>
      <c r="AG3" s="111" t="s">
        <v>258</v>
      </c>
      <c r="AH3" s="111" t="s">
        <v>179</v>
      </c>
      <c r="AI3" s="111" t="s">
        <v>176</v>
      </c>
      <c r="AJ3" s="111" t="s">
        <v>259</v>
      </c>
      <c r="AK3" s="111" t="s">
        <v>260</v>
      </c>
      <c r="AL3" s="111" t="s">
        <v>261</v>
      </c>
      <c r="AM3" s="107" t="s">
        <v>251</v>
      </c>
      <c r="AN3" s="107" t="s">
        <v>250</v>
      </c>
      <c r="AO3" s="112" t="s">
        <v>262</v>
      </c>
    </row>
    <row r="4" spans="1:59" ht="20" customHeight="1" thickBot="1" x14ac:dyDescent="0.25">
      <c r="A4" s="164">
        <f>IFERROR(INDEX(PRENOTAZIONI!$A:$A,SMALL(PRENOTAZIONI!$W:$W,1)),"")</f>
        <v>46053</v>
      </c>
      <c r="B4" s="165">
        <f>IFERROR(INDEX(PRENOTAZIONI!$B:$B,SMALL(PRENOTAZIONI!$W:$W,1)),"")</f>
        <v>46055</v>
      </c>
      <c r="C4" s="166">
        <f t="shared" ref="C4:C35" si="0">IF(A4&lt;&gt;"",B4-A4,"")</f>
        <v>2</v>
      </c>
      <c r="D4" s="167" t="str">
        <f>IFERROR(INDEX(PRENOTAZIONI!$E:$E,SMALL(PRENOTAZIONI!$W:$W,1)),"")</f>
        <v>Maria Proietti</v>
      </c>
      <c r="E4" s="167" t="str">
        <f>IFERROR(INDEX(PRENOTAZIONI!$F:$F,SMALL(PRENOTAZIONI!$W:$W,1)),"")</f>
        <v xml:space="preserve">2 ad </v>
      </c>
      <c r="F4" s="167" t="str">
        <f>IFERROR(INDEX(PRENOTAZIONI!$G:$G,SMALL(PRENOTAZIONI!$W:$W,1)),"")</f>
        <v>booking.com</v>
      </c>
      <c r="G4" s="168">
        <f>IFERROR(INDEX(PRENOTAZIONI!$H:$H,SMALL(PRENOTAZIONI!$W:$W,1)),"")</f>
        <v>192.3</v>
      </c>
      <c r="H4" s="213">
        <f t="shared" ref="H4:H35" si="1">IF(AND(G4&lt;&gt;"",C4&lt;&gt;"",C4&lt;&gt;0),G4/C4,"")</f>
        <v>96.15</v>
      </c>
      <c r="I4" s="168">
        <f>IF(G4="","",IF(NOT(ISERROR(SEARCH("diretta",F4))),0,IF(NOT(ISERROR(SEARCH("booking",F4))),G4*0.165,IF(NOT(ISERROR(SEARCH("airbnb",F4))),G4*0.155,""))))</f>
        <v>31.729500000000005</v>
      </c>
      <c r="J4" s="169">
        <f>IF(I4&lt;&gt;"",I4*0.22,"")</f>
        <v>6.9804900000000014</v>
      </c>
      <c r="K4" s="168">
        <f>IFERROR(INDEX(PRENOTAZIONI!$L:$L,SMALL(PRENOTAZIONI!$W:$W,1)),"")</f>
        <v>4</v>
      </c>
      <c r="L4" s="170">
        <f t="shared" ref="L4:L35" si="2">IF(G4&lt;&gt;"",G4*0.21,"")</f>
        <v>40.383000000000003</v>
      </c>
      <c r="M4" s="168">
        <f t="shared" ref="M4:M12" si="3">IF(G4&lt;&gt;"",G4*0.1,"")</f>
        <v>19.230000000000004</v>
      </c>
      <c r="N4" s="168"/>
      <c r="O4" s="171"/>
      <c r="P4" s="170">
        <f t="shared" ref="P4:P35" si="4">IF(G4&lt;&gt;"",G4-I4-J4-L4-M4-N4,"")</f>
        <v>93.977009999999993</v>
      </c>
      <c r="Q4" s="210">
        <f>IFERROR(INDEX(PRENOTAZIONI!$R:$R,SMALL(PRENOTAZIONI!$W:$W,1)),"")</f>
        <v>0</v>
      </c>
      <c r="R4" s="214" t="s">
        <v>286</v>
      </c>
      <c r="S4" s="99">
        <f>IFERROR(INDEX(PRENOTAZIONI!$A:$A,SMALL(PRENOTAZIONI!$AK:$AK,1)),"")</f>
        <v>46213</v>
      </c>
      <c r="T4" s="31">
        <f>IFERROR(INDEX(PRENOTAZIONI!$B:$B,SMALL(PRENOTAZIONI!$AK:$AK,1)),"")</f>
        <v>46216</v>
      </c>
      <c r="U4" s="32">
        <f t="shared" ref="U4:U33" si="5">IF(S4&lt;&gt;"",T4-S4,"")</f>
        <v>3</v>
      </c>
      <c r="V4" s="34" t="str">
        <f>IFERROR(INDEX(PRENOTAZIONI!$E:$E,SMALL(PRENOTAZIONI!$AK:$AK,1)),"")</f>
        <v>Mario Ucci</v>
      </c>
      <c r="W4" s="34" t="str">
        <f>IFERROR(INDEX(PRENOTAZIONI!$F:$F,SMALL(PRENOTAZIONI!$AK:$AK,1)),"")</f>
        <v>2 ad</v>
      </c>
      <c r="X4" s="35">
        <f>IFERROR(INDEX(PRENOTAZIONI!$H:$H,SMALL(PRENOTAZIONI!$AK:$AK,1)),"")</f>
        <v>320</v>
      </c>
      <c r="Y4" s="34">
        <f>IFERROR(INDEX(PRENOTAZIONI!$K:$K,SMALL(PRENOTAZIONI!$AK:$AK,1)),"")</f>
        <v>0</v>
      </c>
      <c r="Z4" s="34"/>
      <c r="AA4" s="34"/>
      <c r="AB4" s="40">
        <f t="shared" ref="AB4:AB33" si="6">IF(X4&lt;&gt;"",X4*0.1,"")</f>
        <v>32</v>
      </c>
      <c r="AC4" s="41">
        <f t="shared" ref="AC4:AC33" si="7">IF(X4&lt;&gt;"",X4-AB4,"")</f>
        <v>288</v>
      </c>
      <c r="AE4" s="38"/>
      <c r="AF4" s="113" t="s">
        <v>174</v>
      </c>
      <c r="AG4" s="114">
        <f>SUMPRODUCT((MONTH(PRENOTAZIONI!$A$3:$A$262)=1)*(YEAR(PRENOTAZIONI!$A$3:$A$262)=2026)*(PRENOTAZIONI!$D$3:$D$262="Via San Rocco"))</f>
        <v>1</v>
      </c>
      <c r="AH4" s="114">
        <f>SUMPRODUCT((PRENOTAZIONI!$A$3:$A$262&lt;DATE(2026,2,1))*(PRENOTAZIONI!$B$3:$B$262&gt;DATE(2026,1,1))*(YEAR(PRENOTAZIONI!$A$3:$A$262)=2026)*(PRENOTAZIONI!$D$3:$D$262="Via San Rocco")*((PRENOTAZIONI!$B$3:$B$262*(PRENOTAZIONI!$B$3:$B$262&lt;DATE(2026,2,1))+DATE(2026,2,1)*(PRENOTAZIONI!$B$3:$B$262&gt;=DATE(2026,2,1)))-(PRENOTAZIONI!$A$3:$A$262*(PRENOTAZIONI!$A$3:$A$262&gt;DATE(2026,1,1))+DATE(2026,1,1)*(PRENOTAZIONI!$A$3:$A$262&lt;=DATE(2026,1,1)))))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1</v>
      </c>
      <c r="AI4" s="151">
        <f>SUMIF(A4:A33,"&gt;="&amp;DATE(2026,1,1),G4:G33)-SUMIF(A4:A33,"&gt;="&amp;DATE(2026,2,1),G4:G33)</f>
        <v>192.29999999999927</v>
      </c>
      <c r="AJ4" s="151">
        <f>SUMIF(A4:A33,"&gt;="&amp;DATE(2026,1,1),I4:I33)-SUMIF(A4:A33,"&gt;="&amp;DATE(2026,2,1),I4:I33)</f>
        <v>31.72950000000003</v>
      </c>
      <c r="AK4" s="151">
        <f>SUMIF(A4:A33,"&gt;="&amp;DATE(2026,1,1),K4:K33)-SUMIF(A4:A33,"&gt;="&amp;DATE(2026,2,1),K4:K33)</f>
        <v>4</v>
      </c>
      <c r="AL4" s="151">
        <f>SUMIF(A4:A33,"&gt;="&amp;DATE(2026,1,1),M4:M33)-SUMIF(A4:A33,"&gt;="&amp;DATE(2026,2,1),M4:M33)</f>
        <v>19.230000000000018</v>
      </c>
      <c r="AM4" s="152">
        <f>SUMIF(A4:A33,"&gt;="&amp;DATE(2026,1,1),L4:L33)-SUMIF(A4:A33,"&gt;="&amp;DATE(2026,2,1),L4:L33)</f>
        <v>40.383000000000038</v>
      </c>
      <c r="AN4" s="152">
        <f>SUMIF(A4:A33,"&gt;="&amp;DATE(2026,1,1),J4:J33)-SUMIF(A4:A33,"&gt;="&amp;DATE(2026,2,1),J4:J33)</f>
        <v>6.9804900000000032</v>
      </c>
      <c r="AO4" s="153">
        <f>SUMIF(A4:A33,"&gt;="&amp;DATE(2026,1,1),P4:P33)-SUMIF(A4:A33,"&gt;="&amp;DATE(2026,2,1),P4:P33)</f>
        <v>93.977010000000064</v>
      </c>
    </row>
    <row r="5" spans="1:59" ht="20" customHeight="1" x14ac:dyDescent="0.2">
      <c r="A5" s="174">
        <f>IFERROR(INDEX(PRENOTAZIONI!$A:$A,SMALL(PRENOTAZIONI!$W:$W,2)),"")</f>
        <v>46107</v>
      </c>
      <c r="B5" s="175">
        <f>IFERROR(INDEX(PRENOTAZIONI!$B:$B,SMALL(PRENOTAZIONI!$W:$W,2)),"")</f>
        <v>46110</v>
      </c>
      <c r="C5" s="176">
        <f t="shared" si="0"/>
        <v>3</v>
      </c>
      <c r="D5" s="177" t="str">
        <f>IFERROR(INDEX(PRENOTAZIONI!$E:$E,SMALL(PRENOTAZIONI!$W:$W,2)),"")</f>
        <v>Simeno Riccomob</v>
      </c>
      <c r="E5" s="177" t="str">
        <f>IFERROR(INDEX(PRENOTAZIONI!$F:$F,SMALL(PRENOTAZIONI!$W:$W,2)),"")</f>
        <v>1 ad</v>
      </c>
      <c r="F5" s="177" t="str">
        <f>IFERROR(INDEX(PRENOTAZIONI!$G:$G,SMALL(PRENOTAZIONI!$W:$W,2)),"")</f>
        <v>diretta</v>
      </c>
      <c r="G5" s="178">
        <f>IFERROR(INDEX(PRENOTAZIONI!$H:$H,SMALL(PRENOTAZIONI!$W:$W,2)),"")</f>
        <v>225</v>
      </c>
      <c r="H5" s="215">
        <f t="shared" si="1"/>
        <v>75</v>
      </c>
      <c r="I5" s="178">
        <v>0</v>
      </c>
      <c r="J5" s="179">
        <v>0</v>
      </c>
      <c r="K5" s="178">
        <f>IFERROR(INDEX(PRENOTAZIONI!$L:$L,SMALL(PRENOTAZIONI!$W:$W,2)),"")</f>
        <v>2</v>
      </c>
      <c r="L5" s="180">
        <f t="shared" si="2"/>
        <v>47.25</v>
      </c>
      <c r="M5" s="178">
        <f t="shared" si="3"/>
        <v>22.5</v>
      </c>
      <c r="N5" s="178"/>
      <c r="O5" s="181"/>
      <c r="P5" s="180">
        <f t="shared" si="4"/>
        <v>155.25</v>
      </c>
      <c r="Q5" s="216">
        <f>IFERROR(INDEX(PRENOTAZIONI!$R:$R,SMALL(PRENOTAZIONI!$W:$W,2)),"")</f>
        <v>0</v>
      </c>
      <c r="R5" s="221" t="s">
        <v>322</v>
      </c>
      <c r="S5" s="99">
        <f>IFERROR(INDEX(PRENOTAZIONI!$A:$A,SMALL(PRENOTAZIONI!$AK:$AK,2)),"")</f>
        <v>46220</v>
      </c>
      <c r="T5" s="31">
        <f>IFERROR(INDEX(PRENOTAZIONI!$B:$B,SMALL(PRENOTAZIONI!$AK:$AK,2)),"")</f>
        <v>46223</v>
      </c>
      <c r="U5" s="32">
        <f t="shared" si="5"/>
        <v>3</v>
      </c>
      <c r="V5" s="34" t="str">
        <f>IFERROR(INDEX(PRENOTAZIONI!$E:$E,SMALL(PRENOTAZIONI!$AK:$AK,2)),"")</f>
        <v>Mario Ucci</v>
      </c>
      <c r="W5" s="34" t="str">
        <f>IFERROR(INDEX(PRENOTAZIONI!$F:$F,SMALL(PRENOTAZIONI!$AK:$AK,2)),"")</f>
        <v>2 ad</v>
      </c>
      <c r="X5" s="35">
        <f>IFERROR(INDEX(PRENOTAZIONI!$H:$H,SMALL(PRENOTAZIONI!$AK:$AK,2)),"")</f>
        <v>240</v>
      </c>
      <c r="Y5" s="34">
        <f>IFERROR(INDEX(PRENOTAZIONI!$K:$K,SMALL(PRENOTAZIONI!$AK:$AK,2)),"")</f>
        <v>0</v>
      </c>
      <c r="Z5" s="34"/>
      <c r="AA5" s="34"/>
      <c r="AB5" s="40">
        <f t="shared" si="6"/>
        <v>24</v>
      </c>
      <c r="AC5" s="41">
        <f t="shared" si="7"/>
        <v>216</v>
      </c>
      <c r="AE5" s="38"/>
      <c r="AF5" s="113" t="s">
        <v>182</v>
      </c>
      <c r="AG5" s="114">
        <f>SUMPRODUCT((MONTH(PRENOTAZIONI!$A$3:$A$262)=2)*(YEAR(PRENOTAZIONI!$A$3:$A$262)=2026)*(PRENOTAZIONI!$D$3:$D$262="Via San Rocco"))</f>
        <v>0</v>
      </c>
      <c r="AH5" s="114">
        <f>SUMPRODUCT((PRENOTAZIONI!$A$3:$A$262&lt;DATE(2026,3,1))*(PRENOTAZIONI!$B$3:$B$262&gt;DATE(2026,2,1))*(YEAR(PRENOTAZIONI!$A$3:$A$262)=2026)*(PRENOTAZIONI!$D$3:$D$262="Via San Rocco")*((PRENOTAZIONI!$B$3:$B$262*(PRENOTAZIONI!$B$3:$B$262&lt;DATE(2026,3,1))+DATE(2026,3,1)*(PRENOTAZIONI!$B$3:$B$262&gt;=DATE(2026,3,1)))-(PRENOTAZIONI!$A$3:$A$262*(PRENOTAZIONI!$A$3:$A$262&gt;DATE(2026,2,1))+DATE(2026,2,1)*(PRENOTAZIONI!$A$3:$A$262&lt;=DATE(2026,2,1)))))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1</v>
      </c>
      <c r="AI5" s="151">
        <f>SUMIF(A4:A33,"&gt;="&amp;DATE(2026,2,1),G4:G33)-SUMIF(A4:A33,"&gt;="&amp;DATE(2026,3,1),G4:G33)</f>
        <v>0</v>
      </c>
      <c r="AJ5" s="151">
        <f>SUMIF(A4:A33,"&gt;="&amp;DATE(2026,2,1),I4:I33)-SUMIF(A4:A33,"&gt;="&amp;DATE(2026,3,1),I4:I33)</f>
        <v>0</v>
      </c>
      <c r="AK5" s="151">
        <f>SUMIF(A4:A33,"&gt;="&amp;DATE(2026,2,1),K4:K33)-SUMIF(A4:A33,"&gt;="&amp;DATE(2026,3,1),K4:K33)</f>
        <v>0</v>
      </c>
      <c r="AL5" s="151">
        <f>SUMIF(A4:A33,"&gt;="&amp;DATE(2026,2,1),M4:M33)-SUMIF(A4:A33,"&gt;="&amp;DATE(2026,3,1),M4:M33)</f>
        <v>0</v>
      </c>
      <c r="AM5" s="152">
        <f>SUMIF(A4:A33,"&gt;="&amp;DATE(2026,2,1),L4:L33)-SUMIF(A4:A33,"&gt;="&amp;DATE(2026,3,1),L4:L33)</f>
        <v>0</v>
      </c>
      <c r="AN5" s="152">
        <f>SUMIF(A4:A33,"&gt;="&amp;DATE(2026,2,1),J4:J33)-SUMIF(A4:A33,"&gt;="&amp;DATE(2026,3,1),J4:J33)</f>
        <v>0</v>
      </c>
      <c r="AO5" s="153">
        <f>SUMIF(A4:A33,"&gt;="&amp;DATE(2026,2,1),P4:P33)-SUMIF(A4:A33,"&gt;="&amp;DATE(2026,3,1),P4:P33)</f>
        <v>0</v>
      </c>
    </row>
    <row r="6" spans="1:59" ht="20" customHeight="1" x14ac:dyDescent="0.2">
      <c r="A6" s="183">
        <f>IFERROR(INDEX(PRENOTAZIONI!$A:$A,SMALL(PRENOTAZIONI!$W:$W,3)),"")</f>
        <v>46116</v>
      </c>
      <c r="B6" s="184">
        <f>IFERROR(INDEX(PRENOTAZIONI!$B:$B,SMALL(PRENOTAZIONI!$W:$W,3)),"")</f>
        <v>46119</v>
      </c>
      <c r="C6" s="185">
        <f t="shared" si="0"/>
        <v>3</v>
      </c>
      <c r="D6" s="186" t="str">
        <f>IFERROR(INDEX(PRENOTAZIONI!$E:$E,SMALL(PRENOTAZIONI!$W:$W,3)),"")</f>
        <v>Sharon Ilaria Zangirolami</v>
      </c>
      <c r="E6" s="186" t="str">
        <f>IFERROR(INDEX(PRENOTAZIONI!$F:$F,SMALL(PRENOTAZIONI!$W:$W,3)),"")</f>
        <v>2 ad 1 b</v>
      </c>
      <c r="F6" s="186" t="str">
        <f>IFERROR(INDEX(PRENOTAZIONI!$G:$G,SMALL(PRENOTAZIONI!$W:$W,3)),"")</f>
        <v>booking.com</v>
      </c>
      <c r="G6" s="147">
        <f>IFERROR(INDEX(PRENOTAZIONI!$H:$H,SMALL(PRENOTAZIONI!$W:$W,3)),"")</f>
        <v>328.22</v>
      </c>
      <c r="H6" s="223">
        <f t="shared" si="1"/>
        <v>109.40666666666668</v>
      </c>
      <c r="I6" s="147">
        <f>IF(G6="","",IF(NOT(ISERROR(SEARCH("diretta",F6))),0,IF(NOT(ISERROR(SEARCH("booking",F6))),G6*0.165,IF(NOT(ISERROR(SEARCH("airbnb",F6))),G6*0.155,""))))</f>
        <v>54.156300000000009</v>
      </c>
      <c r="J6" s="187">
        <f>IF(I6&lt;&gt;"",I6*0.22,"")</f>
        <v>11.914386000000002</v>
      </c>
      <c r="K6" s="147">
        <f>IFERROR(INDEX(PRENOTAZIONI!$L:$L,SMALL(PRENOTAZIONI!$W:$W,3)),"")</f>
        <v>4</v>
      </c>
      <c r="L6" s="188">
        <f t="shared" si="2"/>
        <v>68.926200000000009</v>
      </c>
      <c r="M6" s="147">
        <f t="shared" si="3"/>
        <v>32.822000000000003</v>
      </c>
      <c r="N6" s="147"/>
      <c r="O6" s="189"/>
      <c r="P6" s="188">
        <f t="shared" si="4"/>
        <v>160.40111400000006</v>
      </c>
      <c r="Q6" s="47">
        <f>IFERROR(INDEX(PRENOTAZIONI!$R:$R,SMALL(PRENOTAZIONI!$W:$W,3)),"")</f>
        <v>0</v>
      </c>
      <c r="R6" s="224"/>
      <c r="S6" s="99" t="str">
        <f>IFERROR(INDEX(PRENOTAZIONI!$A:$A,SMALL(PRENOTAZIONI!$AK:$AK,3)),"")</f>
        <v/>
      </c>
      <c r="T6" s="31" t="str">
        <f>IFERROR(INDEX(PRENOTAZIONI!$B:$B,SMALL(PRENOTAZIONI!$AK:$AK,3)),"")</f>
        <v/>
      </c>
      <c r="U6" s="32" t="str">
        <f t="shared" si="5"/>
        <v/>
      </c>
      <c r="V6" s="34" t="str">
        <f>IFERROR(INDEX(PRENOTAZIONI!$E:$E,SMALL(PRENOTAZIONI!$AK:$AK,3)),"")</f>
        <v/>
      </c>
      <c r="W6" s="34" t="str">
        <f>IFERROR(INDEX(PRENOTAZIONI!$F:$F,SMALL(PRENOTAZIONI!$AK:$AK,3)),"")</f>
        <v/>
      </c>
      <c r="X6" s="35" t="str">
        <f>IFERROR(INDEX(PRENOTAZIONI!$H:$H,SMALL(PRENOTAZIONI!$AK:$AK,3)),"")</f>
        <v/>
      </c>
      <c r="Y6" s="34" t="str">
        <f>IFERROR(INDEX(PRENOTAZIONI!$K:$K,SMALL(PRENOTAZIONI!$AK:$AK,3)),"")</f>
        <v/>
      </c>
      <c r="Z6" s="34"/>
      <c r="AA6" s="34"/>
      <c r="AB6" s="40" t="str">
        <f t="shared" si="6"/>
        <v/>
      </c>
      <c r="AC6" s="41" t="str">
        <f t="shared" si="7"/>
        <v/>
      </c>
      <c r="AE6" s="38"/>
      <c r="AF6" s="113" t="s">
        <v>183</v>
      </c>
      <c r="AG6" s="114">
        <f>SUMPRODUCT((MONTH(PRENOTAZIONI!$A$3:$A$262)=3)*(YEAR(PRENOTAZIONI!$A$3:$A$262)=2026)*(PRENOTAZIONI!$D$3:$D$262="Via San Rocco"))</f>
        <v>1</v>
      </c>
      <c r="AH6" s="114">
        <f>SUMPRODUCT((PRENOTAZIONI!$A$3:$A$262&lt;DATE(2026,4,1))*(PRENOTAZIONI!$B$3:$B$262&gt;DATE(2026,3,1))*(YEAR(PRENOTAZIONI!$A$3:$A$262)=2026)*(PRENOTAZIONI!$D$3:$D$262="Via San Rocco")*((PRENOTAZIONI!$B$3:$B$262*(PRENOTAZIONI!$B$3:$B$262&lt;DATE(2026,4,1))+DATE(2026,4,1)*(PRENOTAZIONI!$B$3:$B$262&gt;=DATE(2026,4,1)))-(PRENOTAZIONI!$A$3:$A$262*(PRENOTAZIONI!$A$3:$A$262&gt;DATE(2026,3,1))+DATE(2026,3,1)*(PRENOTAZIONI!$A$3:$A$262&lt;=DATE(2026,3,1)))))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3</v>
      </c>
      <c r="AI6" s="151">
        <f>SUMIF(A4:A33,"&gt;="&amp;DATE(2026,3,1),G4:G33)-SUMIF(A4:A33,"&gt;="&amp;DATE(2026,4,1),G4:G33)</f>
        <v>225</v>
      </c>
      <c r="AJ6" s="151">
        <f>SUMIF(A4:A33,"&gt;="&amp;DATE(2026,3,1),I4:I33)-SUMIF(A4:A33,"&gt;="&amp;DATE(2026,4,1),I4:I33)</f>
        <v>0</v>
      </c>
      <c r="AK6" s="151">
        <f>SUMIF(A4:A33,"&gt;="&amp;DATE(2026,3,1),K4:K33)-SUMIF(A4:A33,"&gt;="&amp;DATE(2026,4,1),K4:K33)</f>
        <v>2</v>
      </c>
      <c r="AL6" s="151">
        <f>SUMIF(A4:A33,"&gt;="&amp;DATE(2026,3,1),M4:M33)-SUMIF(A4:A33,"&gt;="&amp;DATE(2026,4,1),M4:M33)</f>
        <v>22.5</v>
      </c>
      <c r="AM6" s="152">
        <f>SUMIF(A4:A33,"&gt;="&amp;DATE(2026,3,1),L4:L33)-SUMIF(A4:A33,"&gt;="&amp;DATE(2026,4,1),L4:L33)</f>
        <v>47.25</v>
      </c>
      <c r="AN6" s="152">
        <f>SUMIF(A4:A33,"&gt;="&amp;DATE(2026,3,1),J4:J33)-SUMIF(A4:A33,"&gt;="&amp;DATE(2026,4,1),J4:J33)</f>
        <v>0</v>
      </c>
      <c r="AO6" s="153">
        <f>SUMIF(A4:A33,"&gt;="&amp;DATE(2026,3,1),P4:P33)-SUMIF(A4:A33,"&gt;="&amp;DATE(2026,4,1),P4:P33)</f>
        <v>155.25</v>
      </c>
    </row>
    <row r="7" spans="1:59" ht="20" customHeight="1" thickBot="1" x14ac:dyDescent="0.25">
      <c r="A7" s="191">
        <f>IFERROR(INDEX(PRENOTAZIONI!$A:$A,SMALL(PRENOTAZIONI!$W:$W,4)),"")</f>
        <v>46123</v>
      </c>
      <c r="B7" s="192">
        <f>IFERROR(INDEX(PRENOTAZIONI!$B:$B,SMALL(PRENOTAZIONI!$W:$W,4)),"")</f>
        <v>46136</v>
      </c>
      <c r="C7" s="193">
        <f t="shared" si="0"/>
        <v>13</v>
      </c>
      <c r="D7" s="194" t="str">
        <f>IFERROR(INDEX(PRENOTAZIONI!$E:$E,SMALL(PRENOTAZIONI!$W:$W,4)),"")</f>
        <v>Concetta D'Orsogna</v>
      </c>
      <c r="E7" s="194" t="str">
        <f>IFERROR(INDEX(PRENOTAZIONI!$F:$F,SMALL(PRENOTAZIONI!$W:$W,4)),"")</f>
        <v>2 ad</v>
      </c>
      <c r="F7" s="194" t="str">
        <f>IFERROR(INDEX(PRENOTAZIONI!$G:$G,SMALL(PRENOTAZIONI!$W:$W,4)),"")</f>
        <v>diretta</v>
      </c>
      <c r="G7" s="195">
        <f>IFERROR(INDEX(PRENOTAZIONI!$H:$H,SMALL(PRENOTAZIONI!$W:$W,4)),"")</f>
        <v>1105</v>
      </c>
      <c r="H7" s="218">
        <f t="shared" si="1"/>
        <v>85</v>
      </c>
      <c r="I7" s="195">
        <v>0</v>
      </c>
      <c r="J7" s="196"/>
      <c r="K7" s="195">
        <f>IFERROR(INDEX(PRENOTAZIONI!$L:$L,SMALL(PRENOTAZIONI!$W:$W,4)),"")</f>
        <v>4</v>
      </c>
      <c r="L7" s="197">
        <f t="shared" si="2"/>
        <v>232.04999999999998</v>
      </c>
      <c r="M7" s="195">
        <f t="shared" si="3"/>
        <v>110.5</v>
      </c>
      <c r="N7" s="195"/>
      <c r="O7" s="198"/>
      <c r="P7" s="197">
        <f t="shared" si="4"/>
        <v>762.45</v>
      </c>
      <c r="Q7" s="219">
        <f>IFERROR(INDEX(PRENOTAZIONI!$R:$R,SMALL(PRENOTAZIONI!$W:$W,4)),"")</f>
        <v>0</v>
      </c>
      <c r="R7" s="222"/>
      <c r="S7" s="99" t="str">
        <f>IFERROR(INDEX(PRENOTAZIONI!$A:$A,SMALL(PRENOTAZIONI!$AK:$AK,4)),"")</f>
        <v/>
      </c>
      <c r="T7" s="31" t="str">
        <f>IFERROR(INDEX(PRENOTAZIONI!$B:$B,SMALL(PRENOTAZIONI!$AK:$AK,4)),"")</f>
        <v/>
      </c>
      <c r="U7" s="32" t="str">
        <f t="shared" si="5"/>
        <v/>
      </c>
      <c r="V7" s="34" t="str">
        <f>IFERROR(INDEX(PRENOTAZIONI!$E:$E,SMALL(PRENOTAZIONI!$AK:$AK,4)),"")</f>
        <v/>
      </c>
      <c r="W7" s="34" t="str">
        <f>IFERROR(INDEX(PRENOTAZIONI!$F:$F,SMALL(PRENOTAZIONI!$AK:$AK,4)),"")</f>
        <v/>
      </c>
      <c r="X7" s="35" t="str">
        <f>IFERROR(INDEX(PRENOTAZIONI!$H:$H,SMALL(PRENOTAZIONI!$AK:$AK,4)),"")</f>
        <v/>
      </c>
      <c r="Y7" s="34" t="str">
        <f>IFERROR(INDEX(PRENOTAZIONI!$K:$K,SMALL(PRENOTAZIONI!$AK:$AK,4)),"")</f>
        <v/>
      </c>
      <c r="Z7" s="34"/>
      <c r="AA7" s="34"/>
      <c r="AB7" s="40" t="str">
        <f t="shared" si="6"/>
        <v/>
      </c>
      <c r="AC7" s="41" t="str">
        <f t="shared" si="7"/>
        <v/>
      </c>
      <c r="AE7" s="38"/>
      <c r="AF7" s="113" t="s">
        <v>184</v>
      </c>
      <c r="AG7" s="114">
        <f>SUMPRODUCT((MONTH(PRENOTAZIONI!$A$3:$A$262)=4)*(YEAR(PRENOTAZIONI!$A$3:$A$262)=2026)*(PRENOTAZIONI!$D$3:$D$262="Via San Rocco"))</f>
        <v>2</v>
      </c>
      <c r="AH7" s="114">
        <f>SUMPRODUCT((PRENOTAZIONI!$A$3:$A$262&lt;DATE(2026,5,1))*(PRENOTAZIONI!$B$3:$B$262&gt;DATE(2026,4,1))*(YEAR(PRENOTAZIONI!$A$3:$A$262)=2026)*(PRENOTAZIONI!$D$3:$D$262="Via San Rocco")*((PRENOTAZIONI!$B$3:$B$262*(PRENOTAZIONI!$B$3:$B$262&lt;DATE(2026,5,1))+DATE(2026,5,1)*(PRENOTAZIONI!$B$3:$B$262&gt;=DATE(2026,5,1)))-(PRENOTAZIONI!$A$3:$A$262*(PRENOTAZIONI!$A$3:$A$262&gt;DATE(2026,4,1))+DATE(2026,4,1)*(PRENOTAZIONI!$A$3:$A$262&lt;=DATE(2026,4,1)))))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16</v>
      </c>
      <c r="AI7" s="151">
        <f>SUMIF(A4:A33,"&gt;="&amp;DATE(2026,4,1),G4:G33)-SUMIF(A4:A33,"&gt;="&amp;DATE(2026,5,1),G4:G33)</f>
        <v>1433.2200000000003</v>
      </c>
      <c r="AJ7" s="151">
        <f>SUMIF(A4:A33,"&gt;="&amp;DATE(2026,4,1),I4:I33)-SUMIF(A4:A33,"&gt;="&amp;DATE(2026,5,1),I4:I33)</f>
        <v>54.156299999999987</v>
      </c>
      <c r="AK7" s="151">
        <f>SUMIF(A4:A33,"&gt;="&amp;DATE(2026,4,1),K4:K33)-SUMIF(A4:A33,"&gt;="&amp;DATE(2026,5,1),K4:K33)</f>
        <v>8</v>
      </c>
      <c r="AL7" s="151">
        <f>SUMIF(A4:A33,"&gt;="&amp;DATE(2026,4,1),M4:M33)-SUMIF(A4:A33,"&gt;="&amp;DATE(2026,5,1),M4:M33)</f>
        <v>143.32200000000006</v>
      </c>
      <c r="AM7" s="152">
        <f>SUMIF(A4:A33,"&gt;="&amp;DATE(2026,4,1),L4:L33)-SUMIF(A4:A33,"&gt;="&amp;DATE(2026,5,1),L4:L33)</f>
        <v>300.97619999999995</v>
      </c>
      <c r="AN7" s="152">
        <f>SUMIF(A4:A33,"&gt;="&amp;DATE(2026,4,1),J4:J33)-SUMIF(A4:A33,"&gt;="&amp;DATE(2026,5,1),J4:J33)</f>
        <v>11.914385999999979</v>
      </c>
      <c r="AO7" s="153">
        <f>SUMIF(A4:A33,"&gt;="&amp;DATE(2026,4,1),P4:P33)-SUMIF(A4:A33,"&gt;="&amp;DATE(2026,5,1),P4:P33)</f>
        <v>922.85111400000005</v>
      </c>
    </row>
    <row r="8" spans="1:59" ht="20" customHeight="1" x14ac:dyDescent="0.2">
      <c r="A8" s="157">
        <f>IFERROR(INDEX(PRENOTAZIONI!$A:$A,SMALL(PRENOTAZIONI!$W:$W,5)),"")</f>
        <v>46152</v>
      </c>
      <c r="B8" s="157">
        <f>IFERROR(INDEX(PRENOTAZIONI!$B:$B,SMALL(PRENOTAZIONI!$W:$W,5)),"")</f>
        <v>46157</v>
      </c>
      <c r="C8" s="158">
        <f t="shared" si="0"/>
        <v>5</v>
      </c>
      <c r="D8" s="159" t="str">
        <f>IFERROR(INDEX(PRENOTAZIONI!$E:$E,SMALL(PRENOTAZIONI!$W:$W,5)),"")</f>
        <v xml:space="preserve">Korkrum kerri </v>
      </c>
      <c r="E8" s="159" t="str">
        <f>IFERROR(INDEX(PRENOTAZIONI!$F:$F,SMALL(PRENOTAZIONI!$W:$W,5)),"")</f>
        <v>2 ad</v>
      </c>
      <c r="F8" s="159" t="str">
        <f>IFERROR(INDEX(PRENOTAZIONI!$G:$G,SMALL(PRENOTAZIONI!$W:$W,5)),"")</f>
        <v>booking.com</v>
      </c>
      <c r="G8" s="160">
        <f>IFERROR(INDEX(PRENOTAZIONI!$H:$H,SMALL(PRENOTAZIONI!$W:$W,5)),"")</f>
        <v>433.4</v>
      </c>
      <c r="H8" s="212">
        <f t="shared" si="1"/>
        <v>86.679999999999993</v>
      </c>
      <c r="I8" s="160">
        <f>IF(G8="","",IF(NOT(ISERROR(SEARCH("diretta",F8))),0,IF(NOT(ISERROR(SEARCH("booking",F8))),G8*0.165,IF(NOT(ISERROR(SEARCH("airbnb",F8))),G8*0.155,""))))</f>
        <v>71.510999999999996</v>
      </c>
      <c r="J8" s="161">
        <f>IF(I8&lt;&gt;"",I8*0.22,"")</f>
        <v>15.732419999999999</v>
      </c>
      <c r="K8" s="160">
        <f>IFERROR(INDEX(PRENOTAZIONI!$L:$L,SMALL(PRENOTAZIONI!$W:$W,5)),"")</f>
        <v>4</v>
      </c>
      <c r="L8" s="154">
        <f t="shared" si="2"/>
        <v>91.013999999999996</v>
      </c>
      <c r="M8" s="160">
        <f t="shared" si="3"/>
        <v>43.34</v>
      </c>
      <c r="N8" s="160"/>
      <c r="O8" s="162"/>
      <c r="P8" s="154">
        <f t="shared" si="4"/>
        <v>211.80258000000001</v>
      </c>
      <c r="Q8" s="209">
        <f>IFERROR(INDEX(PRENOTAZIONI!$R:$R,SMALL(PRENOTAZIONI!$W:$W,5)),"")</f>
        <v>0</v>
      </c>
      <c r="R8" s="101"/>
      <c r="S8" s="99" t="str">
        <f>IFERROR(INDEX(PRENOTAZIONI!$A:$A,SMALL(PRENOTAZIONI!$AK:$AK,5)),"")</f>
        <v/>
      </c>
      <c r="T8" s="31" t="str">
        <f>IFERROR(INDEX(PRENOTAZIONI!$B:$B,SMALL(PRENOTAZIONI!$AK:$AK,5)),"")</f>
        <v/>
      </c>
      <c r="U8" s="32" t="str">
        <f t="shared" si="5"/>
        <v/>
      </c>
      <c r="V8" s="34" t="str">
        <f>IFERROR(INDEX(PRENOTAZIONI!$E:$E,SMALL(PRENOTAZIONI!$AK:$AK,5)),"")</f>
        <v/>
      </c>
      <c r="W8" s="34" t="str">
        <f>IFERROR(INDEX(PRENOTAZIONI!$F:$F,SMALL(PRENOTAZIONI!$AK:$AK,5)),"")</f>
        <v/>
      </c>
      <c r="X8" s="35" t="str">
        <f>IFERROR(INDEX(PRENOTAZIONI!$H:$H,SMALL(PRENOTAZIONI!$AK:$AK,5)),"")</f>
        <v/>
      </c>
      <c r="Y8" s="34" t="str">
        <f>IFERROR(INDEX(PRENOTAZIONI!$K:$K,SMALL(PRENOTAZIONI!$AK:$AK,5)),"")</f>
        <v/>
      </c>
      <c r="Z8" s="34"/>
      <c r="AA8" s="34"/>
      <c r="AB8" s="40" t="str">
        <f t="shared" si="6"/>
        <v/>
      </c>
      <c r="AC8" s="41" t="str">
        <f t="shared" si="7"/>
        <v/>
      </c>
      <c r="AE8" s="38"/>
      <c r="AF8" s="113" t="s">
        <v>185</v>
      </c>
      <c r="AG8" s="114">
        <f>SUMPRODUCT((MONTH(PRENOTAZIONI!$A$3:$A$262)=5)*(YEAR(PRENOTAZIONI!$A$3:$A$262)=2026)*(PRENOTAZIONI!$D$3:$D$262="Via San Rocco"))</f>
        <v>2</v>
      </c>
      <c r="AH8" s="114">
        <f>SUMPRODUCT((PRENOTAZIONI!$A$3:$A$262&lt;DATE(2026,6,1))*(PRENOTAZIONI!$B$3:$B$262&gt;DATE(2026,5,1))*(YEAR(PRENOTAZIONI!$A$3:$A$262)=2026)*(PRENOTAZIONI!$D$3:$D$262="Via San Rocco")*((PRENOTAZIONI!$B$3:$B$262*(PRENOTAZIONI!$B$3:$B$262&lt;DATE(2026,6,1))+DATE(2026,6,1)*(PRENOTAZIONI!$B$3:$B$262&gt;=DATE(2026,6,1)))-(PRENOTAZIONI!$A$3:$A$262*(PRENOTAZIONI!$A$3:$A$262&gt;DATE(2026,5,1))+DATE(2026,5,1)*(PRENOTAZIONI!$A$3:$A$262&lt;=DATE(2026,5,1)))))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7</v>
      </c>
      <c r="AI8" s="151">
        <f>SUMIF(A4:A33,"&gt;="&amp;DATE(2026,5,1),G4:G33)-SUMIF(A4:A33,"&gt;="&amp;DATE(2026,6,1),G4:G33)</f>
        <v>648.18000000000029</v>
      </c>
      <c r="AJ8" s="151">
        <f>SUMIF(A4:A33,"&gt;="&amp;DATE(2026,5,1),I4:I33)-SUMIF(A4:A33,"&gt;="&amp;DATE(2026,6,1),I4:I33)</f>
        <v>106.94970000000001</v>
      </c>
      <c r="AK8" s="151">
        <f>SUMIF(A4:A33,"&gt;="&amp;DATE(2026,5,1),K4:K33)-SUMIF(A4:A33,"&gt;="&amp;DATE(2026,6,1),K4:K33)</f>
        <v>8</v>
      </c>
      <c r="AL8" s="151">
        <f>SUMIF(A4:A33,"&gt;="&amp;DATE(2026,5,1),M4:M33)-SUMIF(A4:A33,"&gt;="&amp;DATE(2026,6,1),M4:M33)</f>
        <v>64.81800000000004</v>
      </c>
      <c r="AM8" s="152">
        <f>SUMIF(A4:A33,"&gt;="&amp;DATE(2026,5,1),L4:L33)-SUMIF(A4:A33,"&gt;="&amp;DATE(2026,6,1),L4:L33)</f>
        <v>136.11779999999999</v>
      </c>
      <c r="AN8" s="152">
        <f>SUMIF(A4:A33,"&gt;="&amp;DATE(2026,5,1),J4:J33)-SUMIF(A4:A33,"&gt;="&amp;DATE(2026,6,1),J4:J33)</f>
        <v>23.528933999999992</v>
      </c>
      <c r="AO8" s="153">
        <f>SUMIF(A4:A33,"&gt;="&amp;DATE(2026,5,1),P4:P33)-SUMIF(A4:A33,"&gt;="&amp;DATE(2026,6,1),P4:P33)</f>
        <v>316.76556600000004</v>
      </c>
    </row>
    <row r="9" spans="1:59" ht="20" customHeight="1" x14ac:dyDescent="0.2">
      <c r="A9" s="31">
        <f>IFERROR(INDEX(PRENOTAZIONI!$A:$A,SMALL(PRENOTAZIONI!$W:$W,6)),"")</f>
        <v>46170</v>
      </c>
      <c r="B9" s="31">
        <f>IFERROR(INDEX(PRENOTAZIONI!$B:$B,SMALL(PRENOTAZIONI!$W:$W,6)),"")</f>
        <v>46172</v>
      </c>
      <c r="C9" s="32">
        <f t="shared" si="0"/>
        <v>2</v>
      </c>
      <c r="D9" s="34" t="str">
        <f>IFERROR(INDEX(PRENOTAZIONI!$E:$E,SMALL(PRENOTAZIONI!$W:$W,6)),"")</f>
        <v>Mirella Bonomelli</v>
      </c>
      <c r="E9" s="34" t="str">
        <f>IFERROR(INDEX(PRENOTAZIONI!$F:$F,SMALL(PRENOTAZIONI!$W:$W,6)),"")</f>
        <v>2 ad</v>
      </c>
      <c r="F9" s="34" t="str">
        <f>IFERROR(INDEX(PRENOTAZIONI!$G:$G,SMALL(PRENOTAZIONI!$W:$W,6)),"")</f>
        <v>booking.com</v>
      </c>
      <c r="G9" s="35">
        <f>IFERROR(INDEX(PRENOTAZIONI!$H:$H,SMALL(PRENOTAZIONI!$W:$W,6)),"")</f>
        <v>214.78</v>
      </c>
      <c r="H9" s="146">
        <f t="shared" si="1"/>
        <v>107.39</v>
      </c>
      <c r="I9" s="35">
        <f>IF(G9="","",IF(NOT(ISERROR(SEARCH("diretta",F9))),0,IF(NOT(ISERROR(SEARCH("booking",F9))),G9*0.165,IF(NOT(ISERROR(SEARCH("airbnb",F9))),G9*0.155,""))))</f>
        <v>35.438700000000004</v>
      </c>
      <c r="J9" s="149">
        <f>IF(I9&lt;&gt;"",I9*0.22,"")</f>
        <v>7.7965140000000011</v>
      </c>
      <c r="K9" s="35">
        <f>IFERROR(INDEX(PRENOTAZIONI!$L:$L,SMALL(PRENOTAZIONI!$W:$W,6)),"")</f>
        <v>4</v>
      </c>
      <c r="L9" s="150">
        <f t="shared" si="2"/>
        <v>45.1038</v>
      </c>
      <c r="M9" s="35">
        <f t="shared" si="3"/>
        <v>21.478000000000002</v>
      </c>
      <c r="N9" s="35"/>
      <c r="O9" s="43"/>
      <c r="P9" s="150">
        <f t="shared" si="4"/>
        <v>104.96298599999997</v>
      </c>
      <c r="Q9" s="47">
        <f>IFERROR(INDEX(PRENOTAZIONI!$R:$R,SMALL(PRENOTAZIONI!$W:$W,6)),"")</f>
        <v>0</v>
      </c>
      <c r="R9" s="101"/>
      <c r="S9" s="99" t="str">
        <f>IFERROR(INDEX(PRENOTAZIONI!$A:$A,SMALL(PRENOTAZIONI!$AK:$AK,6)),"")</f>
        <v/>
      </c>
      <c r="T9" s="31" t="str">
        <f>IFERROR(INDEX(PRENOTAZIONI!$B:$B,SMALL(PRENOTAZIONI!$AK:$AK,6)),"")</f>
        <v/>
      </c>
      <c r="U9" s="32" t="str">
        <f t="shared" si="5"/>
        <v/>
      </c>
      <c r="V9" s="34" t="str">
        <f>IFERROR(INDEX(PRENOTAZIONI!$E:$E,SMALL(PRENOTAZIONI!$AK:$AK,6)),"")</f>
        <v/>
      </c>
      <c r="W9" s="34" t="str">
        <f>IFERROR(INDEX(PRENOTAZIONI!$F:$F,SMALL(PRENOTAZIONI!$AK:$AK,6)),"")</f>
        <v/>
      </c>
      <c r="X9" s="35" t="str">
        <f>IFERROR(INDEX(PRENOTAZIONI!$H:$H,SMALL(PRENOTAZIONI!$AK:$AK,6)),"")</f>
        <v/>
      </c>
      <c r="Y9" s="34" t="str">
        <f>IFERROR(INDEX(PRENOTAZIONI!$K:$K,SMALL(PRENOTAZIONI!$AK:$AK,6)),"")</f>
        <v/>
      </c>
      <c r="Z9" s="34"/>
      <c r="AA9" s="34"/>
      <c r="AB9" s="40" t="str">
        <f t="shared" si="6"/>
        <v/>
      </c>
      <c r="AC9" s="41" t="str">
        <f t="shared" si="7"/>
        <v/>
      </c>
      <c r="AE9" s="38"/>
      <c r="AF9" s="113" t="s">
        <v>186</v>
      </c>
      <c r="AG9" s="114">
        <f>SUMPRODUCT((MONTH(PRENOTAZIONI!$A$3:$A$262)=6)*(YEAR(PRENOTAZIONI!$A$3:$A$262)=2026)*(PRENOTAZIONI!$D$3:$D$262="Via San Rocco"))</f>
        <v>1</v>
      </c>
      <c r="AH9" s="114">
        <f>SUMPRODUCT((PRENOTAZIONI!$A$3:$A$262&lt;DATE(2026,7,1))*(PRENOTAZIONI!$B$3:$B$262&gt;DATE(2026,6,1))*(YEAR(PRENOTAZIONI!$A$3:$A$262)=2026)*(PRENOTAZIONI!$D$3:$D$262="Via San Rocco")*((PRENOTAZIONI!$B$3:$B$262*(PRENOTAZIONI!$B$3:$B$262&lt;DATE(2026,7,1))+DATE(2026,7,1)*(PRENOTAZIONI!$B$3:$B$262&gt;=DATE(2026,7,1)))-(PRENOTAZIONI!$A$3:$A$262*(PRENOTAZIONI!$A$3:$A$262&gt;DATE(2026,6,1))+DATE(2026,6,1)*(PRENOTAZIONI!$A$3:$A$262&lt;=DATE(2026,6,1)))))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3</v>
      </c>
      <c r="AI9" s="151">
        <f>SUMIF(A4:A33,"&gt;="&amp;DATE(2026,6,1),G4:G33)-SUMIF(A4:A33,"&gt;="&amp;DATE(2026,7,1),G4:G33)</f>
        <v>331.17000000000007</v>
      </c>
      <c r="AJ9" s="151">
        <f>SUMIF(A4:A33,"&gt;="&amp;DATE(2026,6,1),I4:I33)-SUMIF(A4:A33,"&gt;="&amp;DATE(2026,7,1),I4:I33)</f>
        <v>54.643049999999988</v>
      </c>
      <c r="AK9" s="151">
        <f>SUMIF(A4:A33,"&gt;="&amp;DATE(2026,6,1),K4:K33)-SUMIF(A4:A33,"&gt;="&amp;DATE(2026,7,1),K4:K33)</f>
        <v>4</v>
      </c>
      <c r="AL9" s="151">
        <f>SUMIF(A4:A33,"&gt;="&amp;DATE(2026,6,1),M4:M33)-SUMIF(A4:A33,"&gt;="&amp;DATE(2026,7,1),M4:M33)</f>
        <v>33.116999999999962</v>
      </c>
      <c r="AM9" s="152">
        <f>SUMIF(A4:A33,"&gt;="&amp;DATE(2026,6,1),L4:L33)-SUMIF(A4:A33,"&gt;="&amp;DATE(2026,7,1),L4:L33)</f>
        <v>69.545700000000011</v>
      </c>
      <c r="AN9" s="152">
        <f>SUMIF(A4:A33,"&gt;="&amp;DATE(2026,6,1),J4:J33)-SUMIF(A4:A33,"&gt;="&amp;DATE(2026,7,1),J4:J33)</f>
        <v>12.021471000000005</v>
      </c>
      <c r="AO9" s="153">
        <f>SUMIF(A4:A33,"&gt;="&amp;DATE(2026,6,1),P4:P33)-SUMIF(A4:A33,"&gt;="&amp;DATE(2026,7,1),P4:P33)</f>
        <v>161.84277900000006</v>
      </c>
    </row>
    <row r="10" spans="1:59" ht="20" customHeight="1" x14ac:dyDescent="0.2">
      <c r="A10" s="31">
        <f>IFERROR(INDEX(PRENOTAZIONI!$A:$A,SMALL(PRENOTAZIONI!$W:$W,7)),"")</f>
        <v>46183</v>
      </c>
      <c r="B10" s="31">
        <f>IFERROR(INDEX(PRENOTAZIONI!$B:$B,SMALL(PRENOTAZIONI!$W:$W,7)),"")</f>
        <v>46186</v>
      </c>
      <c r="C10" s="32">
        <f t="shared" si="0"/>
        <v>3</v>
      </c>
      <c r="D10" s="34" t="str">
        <f>IFERROR(INDEX(PRENOTAZIONI!$E:$E,SMALL(PRENOTAZIONI!$W:$W,7)),"")</f>
        <v>Illia Tushin</v>
      </c>
      <c r="E10" s="34" t="str">
        <f>IFERROR(INDEX(PRENOTAZIONI!$F:$F,SMALL(PRENOTAZIONI!$W:$W,7)),"")</f>
        <v>2 ad</v>
      </c>
      <c r="F10" s="34" t="str">
        <f>IFERROR(INDEX(PRENOTAZIONI!$G:$G,SMALL(PRENOTAZIONI!$W:$W,7)),"")</f>
        <v>booking.com</v>
      </c>
      <c r="G10" s="35">
        <f>IFERROR(INDEX(PRENOTAZIONI!$H:$H,SMALL(PRENOTAZIONI!$W:$W,7)),"")</f>
        <v>331.17</v>
      </c>
      <c r="H10" s="146">
        <f t="shared" si="1"/>
        <v>110.39</v>
      </c>
      <c r="I10" s="35">
        <f>IF(G10="","",IF(NOT(ISERROR(SEARCH("diretta",F10))),0,IF(NOT(ISERROR(SEARCH("booking",F10))),G10*0.165,IF(NOT(ISERROR(SEARCH("airbnb",F10))),G10*0.155,""))))</f>
        <v>54.643050000000002</v>
      </c>
      <c r="J10" s="149">
        <f>IF(I10&lt;&gt;"",I10*0.22,"")</f>
        <v>12.021471</v>
      </c>
      <c r="K10" s="35">
        <f>IFERROR(INDEX(PRENOTAZIONI!$L:$L,SMALL(PRENOTAZIONI!$W:$W,7)),"")</f>
        <v>4</v>
      </c>
      <c r="L10" s="150">
        <f t="shared" si="2"/>
        <v>69.545699999999997</v>
      </c>
      <c r="M10" s="35">
        <f t="shared" si="3"/>
        <v>33.117000000000004</v>
      </c>
      <c r="N10" s="35"/>
      <c r="O10" s="43"/>
      <c r="P10" s="150">
        <f t="shared" si="4"/>
        <v>161.84277899999995</v>
      </c>
      <c r="Q10" s="47">
        <f>IFERROR(INDEX(PRENOTAZIONI!$R:$R,SMALL(PRENOTAZIONI!$W:$W,7)),"")</f>
        <v>0</v>
      </c>
      <c r="R10" s="101"/>
      <c r="S10" s="99" t="str">
        <f>IFERROR(INDEX(PRENOTAZIONI!$A:$A,SMALL(PRENOTAZIONI!$AK:$AK,7)),"")</f>
        <v/>
      </c>
      <c r="T10" s="31" t="str">
        <f>IFERROR(INDEX(PRENOTAZIONI!$B:$B,SMALL(PRENOTAZIONI!$AK:$AK,7)),"")</f>
        <v/>
      </c>
      <c r="U10" s="32" t="str">
        <f t="shared" si="5"/>
        <v/>
      </c>
      <c r="V10" s="34" t="str">
        <f>IFERROR(INDEX(PRENOTAZIONI!$E:$E,SMALL(PRENOTAZIONI!$AK:$AK,7)),"")</f>
        <v/>
      </c>
      <c r="W10" s="34" t="str">
        <f>IFERROR(INDEX(PRENOTAZIONI!$F:$F,SMALL(PRENOTAZIONI!$AK:$AK,7)),"")</f>
        <v/>
      </c>
      <c r="X10" s="35" t="str">
        <f>IFERROR(INDEX(PRENOTAZIONI!$H:$H,SMALL(PRENOTAZIONI!$AK:$AK,7)),"")</f>
        <v/>
      </c>
      <c r="Y10" s="34" t="str">
        <f>IFERROR(INDEX(PRENOTAZIONI!$K:$K,SMALL(PRENOTAZIONI!$AK:$AK,7)),"")</f>
        <v/>
      </c>
      <c r="Z10" s="34"/>
      <c r="AA10" s="34"/>
      <c r="AB10" s="40" t="str">
        <f t="shared" si="6"/>
        <v/>
      </c>
      <c r="AC10" s="41" t="str">
        <f t="shared" si="7"/>
        <v/>
      </c>
      <c r="AE10" s="38"/>
      <c r="AF10" s="113" t="s">
        <v>187</v>
      </c>
      <c r="AG10" s="114">
        <f>SUMPRODUCT((MONTH(PRENOTAZIONI!$A$3:$A$262)=7)*(YEAR(PRENOTAZIONI!$A$3:$A$262)=2026)*(PRENOTAZIONI!$D$3:$D$262="Via San Rocco"))</f>
        <v>4</v>
      </c>
      <c r="AH10" s="114">
        <f>SUMPRODUCT((PRENOTAZIONI!$A$3:$A$262&lt;DATE(2026,8,1))*(PRENOTAZIONI!$B$3:$B$262&gt;DATE(2026,7,1))*(YEAR(PRENOTAZIONI!$A$3:$A$262)=2026)*(PRENOTAZIONI!$D$3:$D$262="Via San Rocco")*((PRENOTAZIONI!$B$3:$B$262*(PRENOTAZIONI!$B$3:$B$262&lt;DATE(2026,8,1))+DATE(2026,8,1)*(PRENOTAZIONI!$B$3:$B$262&gt;=DATE(2026,8,1)))-(PRENOTAZIONI!$A$3:$A$262*(PRENOTAZIONI!$A$3:$A$262&gt;DATE(2026,7,1))+DATE(2026,7,1)*(PRENOTAZIONI!$A$3:$A$262&lt;=DATE(2026,7,1)))))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14</v>
      </c>
      <c r="AI10" s="151">
        <f>SUMIF(A4:A33,"&gt;="&amp;DATE(2026,7,1),G4:G33)-SUMIF(A4:A33,"&gt;="&amp;DATE(2026,8,1),G4:G33)</f>
        <v>1013.1199999999999</v>
      </c>
      <c r="AJ10" s="151">
        <f>SUMIF(A4:A33,"&gt;="&amp;DATE(2026,7,1),I4:I33)-SUMIF(A4:A33,"&gt;="&amp;DATE(2026,8,1),I4:I33)</f>
        <v>0</v>
      </c>
      <c r="AK10" s="151">
        <f>SUMIF(A4:A33,"&gt;="&amp;DATE(2026,7,1),K4:K33)-SUMIF(A4:A33,"&gt;="&amp;DATE(2026,8,1),K4:K33)</f>
        <v>4</v>
      </c>
      <c r="AL10" s="151">
        <f>SUMIF(A4:A33,"&gt;="&amp;DATE(2026,7,1),M4:M33)-SUMIF(A4:A33,"&gt;="&amp;DATE(2026,8,1),M4:M33)</f>
        <v>101.31200000000001</v>
      </c>
      <c r="AM10" s="152">
        <f>SUMIF(A4:A33,"&gt;="&amp;DATE(2026,7,1),L4:L33)-SUMIF(A4:A33,"&gt;="&amp;DATE(2026,8,1),L4:L33)</f>
        <v>212.75520000000012</v>
      </c>
      <c r="AN10" s="152">
        <f>SUMIF(A4:A33,"&gt;="&amp;DATE(2026,7,1),J4:J33)-SUMIF(A4:A33,"&gt;="&amp;DATE(2026,8,1),J4:J33)</f>
        <v>0</v>
      </c>
      <c r="AO10" s="153">
        <f>SUMIF(A4:A33,"&gt;="&amp;DATE(2026,7,1),P4:P33)-SUMIF(A4:A33,"&gt;="&amp;DATE(2026,8,1),P4:P33)</f>
        <v>699.05279999999948</v>
      </c>
    </row>
    <row r="11" spans="1:59" ht="20" customHeight="1" x14ac:dyDescent="0.2">
      <c r="A11" s="31">
        <f>IFERROR(INDEX(PRENOTAZIONI!$A:$A,SMALL(PRENOTAZIONI!$W:$W,8)),"")</f>
        <v>46224</v>
      </c>
      <c r="B11" s="31">
        <f>IFERROR(INDEX(PRENOTAZIONI!$B:$B,SMALL(PRENOTAZIONI!$W:$W,8)),"")</f>
        <v>46229</v>
      </c>
      <c r="C11" s="32">
        <f t="shared" si="0"/>
        <v>5</v>
      </c>
      <c r="D11" s="34" t="str">
        <f>IFERROR(INDEX(PRENOTAZIONI!$E:$E,SMALL(PRENOTAZIONI!$W:$W,8)),"")</f>
        <v>Luigi Vinci</v>
      </c>
      <c r="E11" s="34" t="str">
        <f>IFERROR(INDEX(PRENOTAZIONI!$F:$F,SMALL(PRENOTAZIONI!$W:$W,8)),"")</f>
        <v>2 ad 1 b</v>
      </c>
      <c r="F11" s="34" t="str">
        <f>IFERROR(INDEX(PRENOTAZIONI!$G:$G,SMALL(PRENOTAZIONI!$W:$W,8)),"")</f>
        <v>booking.com</v>
      </c>
      <c r="G11" s="35">
        <f>IFERROR(INDEX(PRENOTAZIONI!$H:$H,SMALL(PRENOTAZIONI!$W:$W,8)),"")</f>
        <v>538.12</v>
      </c>
      <c r="H11" s="146">
        <f t="shared" si="1"/>
        <v>107.624</v>
      </c>
      <c r="I11" s="35">
        <v>0</v>
      </c>
      <c r="J11" s="149">
        <v>0</v>
      </c>
      <c r="K11" s="35">
        <f>IFERROR(INDEX(PRENOTAZIONI!$L:$L,SMALL(PRENOTAZIONI!$W:$W,8)),"")</f>
        <v>4</v>
      </c>
      <c r="L11" s="150">
        <f t="shared" si="2"/>
        <v>113.0052</v>
      </c>
      <c r="M11" s="35">
        <f t="shared" si="3"/>
        <v>53.812000000000005</v>
      </c>
      <c r="N11" s="35"/>
      <c r="O11" s="43"/>
      <c r="P11" s="150">
        <f t="shared" si="4"/>
        <v>371.30279999999999</v>
      </c>
      <c r="Q11" s="47">
        <f>IFERROR(INDEX(PRENOTAZIONI!$R:$R,SMALL(PRENOTAZIONI!$W:$W,8)),"")</f>
        <v>0</v>
      </c>
      <c r="R11" s="101"/>
      <c r="S11" s="99" t="str">
        <f>IFERROR(INDEX(PRENOTAZIONI!$A:$A,SMALL(PRENOTAZIONI!$AK:$AK,8)),"")</f>
        <v/>
      </c>
      <c r="T11" s="31" t="str">
        <f>IFERROR(INDEX(PRENOTAZIONI!$B:$B,SMALL(PRENOTAZIONI!$AK:$AK,8)),"")</f>
        <v/>
      </c>
      <c r="U11" s="32" t="str">
        <f t="shared" si="5"/>
        <v/>
      </c>
      <c r="V11" s="34" t="str">
        <f>IFERROR(INDEX(PRENOTAZIONI!$E:$E,SMALL(PRENOTAZIONI!$AK:$AK,8)),"")</f>
        <v/>
      </c>
      <c r="W11" s="34" t="str">
        <f>IFERROR(INDEX(PRENOTAZIONI!$F:$F,SMALL(PRENOTAZIONI!$AK:$AK,8)),"")</f>
        <v/>
      </c>
      <c r="X11" s="35" t="str">
        <f>IFERROR(INDEX(PRENOTAZIONI!$H:$H,SMALL(PRENOTAZIONI!$AK:$AK,8)),"")</f>
        <v/>
      </c>
      <c r="Y11" s="34" t="str">
        <f>IFERROR(INDEX(PRENOTAZIONI!$K:$K,SMALL(PRENOTAZIONI!$AK:$AK,8)),"")</f>
        <v/>
      </c>
      <c r="Z11" s="34"/>
      <c r="AA11" s="34"/>
      <c r="AB11" s="40" t="str">
        <f t="shared" si="6"/>
        <v/>
      </c>
      <c r="AC11" s="41" t="str">
        <f t="shared" si="7"/>
        <v/>
      </c>
      <c r="AE11" s="38"/>
      <c r="AF11" s="113" t="s">
        <v>188</v>
      </c>
      <c r="AG11" s="114">
        <f>SUMPRODUCT((MONTH(PRENOTAZIONI!$A$3:$A$262)=8)*(YEAR(PRENOTAZIONI!$A$3:$A$262)=2026)*(PRENOTAZIONI!$D$3:$D$262="Via San Rocco"))</f>
        <v>3</v>
      </c>
      <c r="AH11" s="114">
        <f>SUMPRODUCT((PRENOTAZIONI!$A$3:$A$262&lt;DATE(2026,9,1))*(PRENOTAZIONI!$B$3:$B$262&gt;DATE(2026,8,1))*(YEAR(PRENOTAZIONI!$A$3:$A$262)=2026)*(PRENOTAZIONI!$D$3:$D$262="Via San Rocco")*((PRENOTAZIONI!$B$3:$B$262*(PRENOTAZIONI!$B$3:$B$262&lt;DATE(2026,9,1))+DATE(2026,9,1)*(PRENOTAZIONI!$B$3:$B$262&gt;=DATE(2026,9,1)))-(PRENOTAZIONI!$A$3:$A$262*(PRENOTAZIONI!$A$3:$A$262&gt;DATE(2026,8,1))+DATE(2026,8,1)*(PRENOTAZIONI!$A$3:$A$262&lt;=DATE(2026,8,1)))))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20</v>
      </c>
      <c r="AI11" s="151">
        <f>SUMIF(A4:A33,"&gt;="&amp;DATE(2026,8,1),G4:G33)-SUMIF(A4:A33,"&gt;="&amp;DATE(2026,9,1),G4:G33)</f>
        <v>1996.9899999999998</v>
      </c>
      <c r="AJ11" s="151">
        <f>SUMIF(A4:A33,"&gt;="&amp;DATE(2026,8,1),I4:I33)-SUMIF(A4:A33,"&gt;="&amp;DATE(2026,9,1),I4:I33)</f>
        <v>154.60335000000001</v>
      </c>
      <c r="AK11" s="151">
        <f>SUMIF(A4:A33,"&gt;="&amp;DATE(2026,8,1),K4:K33)-SUMIF(A4:A33,"&gt;="&amp;DATE(2026,9,1),K4:K33)</f>
        <v>0</v>
      </c>
      <c r="AL11" s="151">
        <f>SUMIF(A4:A33,"&gt;="&amp;DATE(2026,8,1),M4:M33)-SUMIF(A4:A33,"&gt;="&amp;DATE(2026,9,1),M4:M33)</f>
        <v>264.54849999999999</v>
      </c>
      <c r="AM11" s="152">
        <f>SUMIF(A4:A33,"&gt;="&amp;DATE(2026,8,1),L4:L33)-SUMIF(A4:A33,"&gt;="&amp;DATE(2026,9,1),L4:L33)</f>
        <v>419.36789999999996</v>
      </c>
      <c r="AN11" s="152">
        <f>SUMIF(A4:A33,"&gt;="&amp;DATE(2026,8,1),J4:J33)-SUMIF(A4:A33,"&gt;="&amp;DATE(2026,9,1),J4:J33)</f>
        <v>71.248257142857142</v>
      </c>
      <c r="AO11" s="153">
        <f>SUMIF(A4:A33,"&gt;="&amp;DATE(2026,8,1),P4:P33)-SUMIF(A4:A33,"&gt;="&amp;DATE(2026,9,1),P4:P33)</f>
        <v>1087.2219928571431</v>
      </c>
    </row>
    <row r="12" spans="1:59" ht="20" customHeight="1" x14ac:dyDescent="0.2">
      <c r="A12" s="31">
        <f>IFERROR(INDEX(PRENOTAZIONI!$A:$A,SMALL(PRENOTAZIONI!$W:$W,9)),"")</f>
        <v>46232</v>
      </c>
      <c r="B12" s="31">
        <f>IFERROR(INDEX(PRENOTAZIONI!$B:$B,SMALL(PRENOTAZIONI!$W:$W,9)),"")</f>
        <v>46237</v>
      </c>
      <c r="C12" s="32">
        <f t="shared" si="0"/>
        <v>5</v>
      </c>
      <c r="D12" s="34" t="str">
        <f>IFERROR(INDEX(PRENOTAZIONI!$E:$E,SMALL(PRENOTAZIONI!$W:$W,9)),"")</f>
        <v>Luigi Piovano</v>
      </c>
      <c r="E12" s="34" t="str">
        <f>IFERROR(INDEX(PRENOTAZIONI!$F:$F,SMALL(PRENOTAZIONI!$W:$W,9)),"")</f>
        <v>2 ad</v>
      </c>
      <c r="F12" s="34" t="str">
        <f>IFERROR(INDEX(PRENOTAZIONI!$G:$G,SMALL(PRENOTAZIONI!$W:$W,9)),"")</f>
        <v>diretta</v>
      </c>
      <c r="G12" s="35">
        <f>IFERROR(INDEX(PRENOTAZIONI!$H:$H,SMALL(PRENOTAZIONI!$W:$W,9)),"")</f>
        <v>475</v>
      </c>
      <c r="H12" s="146">
        <f t="shared" si="1"/>
        <v>95</v>
      </c>
      <c r="I12" s="35">
        <f t="shared" ref="I12:I43" si="8">IF(G12="","",IF(NOT(ISERROR(SEARCH("diretta",F12))),0,IF(NOT(ISERROR(SEARCH("booking",F12))),G12*0.165,IF(NOT(ISERROR(SEARCH("airbnb",F12))),G12*0.155,""))))</f>
        <v>0</v>
      </c>
      <c r="J12" s="149">
        <f>IF(I12&lt;&gt;"",I12*0.22,"")</f>
        <v>0</v>
      </c>
      <c r="K12" s="35">
        <f>IFERROR(INDEX(PRENOTAZIONI!$L:$L,SMALL(PRENOTAZIONI!$W:$W,9)),"")</f>
        <v>0</v>
      </c>
      <c r="L12" s="150">
        <f t="shared" si="2"/>
        <v>99.75</v>
      </c>
      <c r="M12" s="35">
        <f t="shared" si="3"/>
        <v>47.5</v>
      </c>
      <c r="N12" s="35"/>
      <c r="O12" s="43"/>
      <c r="P12" s="150">
        <f t="shared" si="4"/>
        <v>327.75</v>
      </c>
      <c r="Q12" s="47">
        <f>IFERROR(INDEX(PRENOTAZIONI!$R:$R,SMALL(PRENOTAZIONI!$W:$W,9)),"")</f>
        <v>0</v>
      </c>
      <c r="R12" s="101"/>
      <c r="S12" s="99" t="str">
        <f>IFERROR(INDEX(PRENOTAZIONI!$A:$A,SMALL(PRENOTAZIONI!$AK:$AK,9)),"")</f>
        <v/>
      </c>
      <c r="T12" s="31" t="str">
        <f>IFERROR(INDEX(PRENOTAZIONI!$B:$B,SMALL(PRENOTAZIONI!$AK:$AK,9)),"")</f>
        <v/>
      </c>
      <c r="U12" s="32" t="str">
        <f t="shared" si="5"/>
        <v/>
      </c>
      <c r="V12" s="34" t="str">
        <f>IFERROR(INDEX(PRENOTAZIONI!$E:$E,SMALL(PRENOTAZIONI!$AK:$AK,9)),"")</f>
        <v/>
      </c>
      <c r="W12" s="34" t="str">
        <f>IFERROR(INDEX(PRENOTAZIONI!$F:$F,SMALL(PRENOTAZIONI!$AK:$AK,9)),"")</f>
        <v/>
      </c>
      <c r="X12" s="35" t="str">
        <f>IFERROR(INDEX(PRENOTAZIONI!$H:$H,SMALL(PRENOTAZIONI!$AK:$AK,9)),"")</f>
        <v/>
      </c>
      <c r="Y12" s="34" t="str">
        <f>IFERROR(INDEX(PRENOTAZIONI!$K:$K,SMALL(PRENOTAZIONI!$AK:$AK,9)),"")</f>
        <v/>
      </c>
      <c r="Z12" s="34"/>
      <c r="AA12" s="34"/>
      <c r="AB12" s="40" t="str">
        <f t="shared" si="6"/>
        <v/>
      </c>
      <c r="AC12" s="41" t="str">
        <f t="shared" si="7"/>
        <v/>
      </c>
      <c r="AE12" s="38"/>
      <c r="AF12" s="113" t="s">
        <v>189</v>
      </c>
      <c r="AG12" s="114">
        <f>SUMPRODUCT((MONTH(PRENOTAZIONI!$A$3:$A$262)=9)*(YEAR(PRENOTAZIONI!$A$3:$A$262)=2026)*(PRENOTAZIONI!$D$3:$D$262="Via San Rocco"))</f>
        <v>0</v>
      </c>
      <c r="AH12" s="114">
        <f>SUMPRODUCT((PRENOTAZIONI!$A$3:$A$262&lt;DATE(2026,10,1))*(PRENOTAZIONI!$B$3:$B$262&gt;DATE(2026,9,1))*(YEAR(PRENOTAZIONI!$A$3:$A$262)=2026)*(PRENOTAZIONI!$D$3:$D$262="Via San Rocco")*((PRENOTAZIONI!$B$3:$B$262*(PRENOTAZIONI!$B$3:$B$262&lt;DATE(2026,10,1))+DATE(2026,10,1)*(PRENOTAZIONI!$B$3:$B$262&gt;=DATE(2026,10,1)))-(PRENOTAZIONI!$A$3:$A$262*(PRENOTAZIONI!$A$3:$A$262&gt;DATE(2026,9,1))+DATE(2026,9,1)*(PRENOTAZIONI!$A$3:$A$262&lt;=DATE(2026,9,1)))))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I12" s="151">
        <f>SUMIF(A4:A33,"&gt;="&amp;DATE(2026,9,1),G4:G33)-SUMIF(A4:A33,"&gt;="&amp;DATE(2026,10,1),G4:G33)</f>
        <v>0</v>
      </c>
      <c r="AJ12" s="151">
        <f>SUMIF(A4:A33,"&gt;="&amp;DATE(2026,9,1),I4:I33)-SUMIF(A4:A33,"&gt;="&amp;DATE(2026,10,1),I4:I33)</f>
        <v>0</v>
      </c>
      <c r="AK12" s="151">
        <f>SUMIF(A4:A33,"&gt;="&amp;DATE(2026,9,1),K4:K33)-SUMIF(A4:A33,"&gt;="&amp;DATE(2026,10,1),K4:K33)</f>
        <v>0</v>
      </c>
      <c r="AL12" s="151">
        <f>SUMIF(A4:A33,"&gt;="&amp;DATE(2026,9,1),M4:M33)-SUMIF(A4:A33,"&gt;="&amp;DATE(2026,10,1),M4:M33)</f>
        <v>0</v>
      </c>
      <c r="AM12" s="152">
        <f>SUMIF(A4:A33,"&gt;="&amp;DATE(2026,9,1),L4:L33)-SUMIF(A4:A33,"&gt;="&amp;DATE(2026,10,1),L4:L33)</f>
        <v>0</v>
      </c>
      <c r="AN12" s="152">
        <f>SUMIF(A4:A33,"&gt;="&amp;DATE(2026,9,1),J4:J33)-SUMIF(A4:A33,"&gt;="&amp;DATE(2026,10,1),J4:J33)</f>
        <v>0</v>
      </c>
      <c r="AO12" s="153">
        <f>SUMIF(A4:A33,"&gt;="&amp;DATE(2026,9,1),P4:P33)-SUMIF(A4:A33,"&gt;="&amp;DATE(2026,10,1),P4:P33)</f>
        <v>0</v>
      </c>
    </row>
    <row r="13" spans="1:59" ht="20" customHeight="1" x14ac:dyDescent="0.2">
      <c r="A13" s="31">
        <f>IFERROR(INDEX(PRENOTAZIONI!$A:$A,SMALL(PRENOTAZIONI!$W:$W,10)),"")</f>
        <v>46243</v>
      </c>
      <c r="B13" s="31">
        <f>IFERROR(INDEX(PRENOTAZIONI!$B:$B,SMALL(PRENOTAZIONI!$W:$W,10)),"")</f>
        <v>46250</v>
      </c>
      <c r="C13" s="32">
        <f t="shared" si="0"/>
        <v>7</v>
      </c>
      <c r="D13" s="34" t="str">
        <f>IFERROR(INDEX(PRENOTAZIONI!$E:$E,SMALL(PRENOTAZIONI!$W:$W,10)),"")</f>
        <v>Loredana Benassi</v>
      </c>
      <c r="E13" s="34" t="str">
        <f>IFERROR(INDEX(PRENOTAZIONI!$F:$F,SMALL(PRENOTAZIONI!$W:$W,10)),"")</f>
        <v>2 ad</v>
      </c>
      <c r="F13" s="34" t="str">
        <f>IFERROR(INDEX(PRENOTAZIONI!$G:$G,SMALL(PRENOTAZIONI!$W:$W,10)),"")</f>
        <v>diretta</v>
      </c>
      <c r="G13" s="35">
        <f>IFERROR(INDEX(PRENOTAZIONI!$H:$H,SMALL(PRENOTAZIONI!$W:$W,10)),"")</f>
        <v>700</v>
      </c>
      <c r="H13" s="146">
        <f t="shared" si="1"/>
        <v>100</v>
      </c>
      <c r="I13" s="35">
        <f t="shared" si="8"/>
        <v>0</v>
      </c>
      <c r="J13" s="149">
        <f t="shared" ref="J13:J37" si="9">IF(H13&lt;&gt;"",H13*0.22,"")</f>
        <v>22</v>
      </c>
      <c r="K13" s="35">
        <f>IFERROR(INDEX(PRENOTAZIONI!$L:$L,SMALL(PRENOTAZIONI!$W:$W,10)),"")</f>
        <v>0</v>
      </c>
      <c r="L13" s="150">
        <f t="shared" si="2"/>
        <v>147</v>
      </c>
      <c r="M13" s="35">
        <f>IF(G13&lt;&gt;"",G13*0.1,"")</f>
        <v>70</v>
      </c>
      <c r="N13" s="35"/>
      <c r="O13" s="43"/>
      <c r="P13" s="150">
        <f t="shared" si="4"/>
        <v>461</v>
      </c>
      <c r="Q13" s="47">
        <f>IFERROR(INDEX(PRENOTAZIONI!$R:$R,SMALL(PRENOTAZIONI!$W:$W,10)),"")</f>
        <v>0</v>
      </c>
      <c r="R13" s="101"/>
      <c r="S13" s="99" t="str">
        <f>IFERROR(INDEX(PRENOTAZIONI!$A:$A,SMALL(PRENOTAZIONI!$AK:$AK,10)),"")</f>
        <v/>
      </c>
      <c r="T13" s="31" t="str">
        <f>IFERROR(INDEX(PRENOTAZIONI!$B:$B,SMALL(PRENOTAZIONI!$AK:$AK,10)),"")</f>
        <v/>
      </c>
      <c r="U13" s="32" t="str">
        <f t="shared" si="5"/>
        <v/>
      </c>
      <c r="V13" s="34" t="str">
        <f>IFERROR(INDEX(PRENOTAZIONI!$E:$E,SMALL(PRENOTAZIONI!$AK:$AK,10)),"")</f>
        <v/>
      </c>
      <c r="W13" s="34" t="str">
        <f>IFERROR(INDEX(PRENOTAZIONI!$F:$F,SMALL(PRENOTAZIONI!$AK:$AK,10)),"")</f>
        <v/>
      </c>
      <c r="X13" s="35" t="str">
        <f>IFERROR(INDEX(PRENOTAZIONI!$H:$H,SMALL(PRENOTAZIONI!$AK:$AK,10)),"")</f>
        <v/>
      </c>
      <c r="Y13" s="34" t="str">
        <f>IFERROR(INDEX(PRENOTAZIONI!$K:$K,SMALL(PRENOTAZIONI!$AK:$AK,10)),"")</f>
        <v/>
      </c>
      <c r="Z13" s="34"/>
      <c r="AA13" s="34"/>
      <c r="AB13" s="40" t="str">
        <f t="shared" si="6"/>
        <v/>
      </c>
      <c r="AC13" s="41" t="str">
        <f t="shared" si="7"/>
        <v/>
      </c>
      <c r="AE13" s="38"/>
      <c r="AF13" s="113" t="s">
        <v>190</v>
      </c>
      <c r="AG13" s="114">
        <f>SUMPRODUCT((MONTH(PRENOTAZIONI!$A$3:$A$262)=10)*(YEAR(PRENOTAZIONI!$A$3:$A$262)=2026)*(PRENOTAZIONI!$D$3:$D$262="Via San Rocco"))</f>
        <v>1</v>
      </c>
      <c r="AH13" s="114">
        <f>SUMPRODUCT((PRENOTAZIONI!$A$3:$A$262&lt;DATE(2026,11,1))*(PRENOTAZIONI!$B$3:$B$262&gt;DATE(2026,10,1))*(YEAR(PRENOTAZIONI!$A$3:$A$262)=2026)*(PRENOTAZIONI!$D$3:$D$262="Via San Rocco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2</v>
      </c>
      <c r="AI13" s="151">
        <f>SUMIF(A4:A33,"&gt;="&amp;DATE(2026,10,1),G4:G33)-SUMIF(A4:A33,"&gt;="&amp;DATE(2026,11,1),G4:G33)</f>
        <v>170</v>
      </c>
      <c r="AJ13" s="151">
        <f>SUMIF(A4:A33,"&gt;="&amp;DATE(2026,10,1),I4:I33)-SUMIF(A4:A33,"&gt;="&amp;DATE(2026,11,1),I4:I33)</f>
        <v>0</v>
      </c>
      <c r="AK13" s="151">
        <f>SUMIF(A4:A33,"&gt;="&amp;DATE(2026,10,1),K4:K33)-SUMIF(A4:A33,"&gt;="&amp;DATE(2026,11,1),K4:K33)</f>
        <v>0</v>
      </c>
      <c r="AL13" s="151">
        <f>SUMIF(A4:A33,"&gt;="&amp;DATE(2026,10,1),M4:M33)-SUMIF(A4:A33,"&gt;="&amp;DATE(2026,11,1),M4:M33)</f>
        <v>25.5</v>
      </c>
      <c r="AM13" s="152">
        <f>SUMIF(A4:A33,"&gt;="&amp;DATE(2026,10,1),L4:L33)-SUMIF(A4:A33,"&gt;="&amp;DATE(2026,11,1),L4:L33)</f>
        <v>35.699999999999996</v>
      </c>
      <c r="AN13" s="152">
        <f>SUMIF(A4:A33,"&gt;="&amp;DATE(2026,10,1),J4:J33)-SUMIF(A4:A33,"&gt;="&amp;DATE(2026,11,1),J4:J33)</f>
        <v>18.7</v>
      </c>
      <c r="AO13" s="153">
        <f>SUMIF(A4:A33,"&gt;="&amp;DATE(2026,10,1),P4:P33)-SUMIF(A4:A33,"&gt;="&amp;DATE(2026,11,1),P4:P33)</f>
        <v>90.100000000000023</v>
      </c>
    </row>
    <row r="14" spans="1:59" ht="20" customHeight="1" x14ac:dyDescent="0.2">
      <c r="A14" s="31">
        <f>IFERROR(INDEX(PRENOTAZIONI!$A:$A,SMALL(PRENOTAZIONI!$W:$W,11)),"")</f>
        <v>46252</v>
      </c>
      <c r="B14" s="31">
        <f>IFERROR(INDEX(PRENOTAZIONI!$B:$B,SMALL(PRENOTAZIONI!$W:$W,11)),"")</f>
        <v>46259</v>
      </c>
      <c r="C14" s="32">
        <f t="shared" si="0"/>
        <v>7</v>
      </c>
      <c r="D14" s="34" t="str">
        <f>IFERROR(INDEX(PRENOTAZIONI!$E:$E,SMALL(PRENOTAZIONI!$W:$W,11)),"")</f>
        <v>Giulia Attenasio</v>
      </c>
      <c r="E14" s="34" t="str">
        <f>IFERROR(INDEX(PRENOTAZIONI!$F:$F,SMALL(PRENOTAZIONI!$W:$W,11)),"")</f>
        <v>2 ad</v>
      </c>
      <c r="F14" s="34" t="str">
        <f>IFERROR(INDEX(PRENOTAZIONI!$G:$G,SMALL(PRENOTAZIONI!$W:$W,11)),"")</f>
        <v>booking.com</v>
      </c>
      <c r="G14" s="35">
        <f>IFERROR(INDEX(PRENOTAZIONI!$H:$H,SMALL(PRENOTAZIONI!$W:$W,11)),"")</f>
        <v>936.99</v>
      </c>
      <c r="H14" s="146">
        <f t="shared" si="1"/>
        <v>133.8557142857143</v>
      </c>
      <c r="I14" s="35">
        <f t="shared" si="8"/>
        <v>154.60335000000001</v>
      </c>
      <c r="J14" s="149">
        <f t="shared" si="9"/>
        <v>29.448257142857145</v>
      </c>
      <c r="K14" s="35">
        <f>IFERROR(INDEX(PRENOTAZIONI!$L:$L,SMALL(PRENOTAZIONI!$W:$W,11)),"")</f>
        <v>0</v>
      </c>
      <c r="L14" s="150">
        <f t="shared" si="2"/>
        <v>196.7679</v>
      </c>
      <c r="M14" s="35">
        <f t="shared" ref="M14:M44" si="10">IF(G14&lt;&gt;"",G14*0.15,"")</f>
        <v>140.54849999999999</v>
      </c>
      <c r="N14" s="35"/>
      <c r="O14" s="43"/>
      <c r="P14" s="150">
        <f t="shared" si="4"/>
        <v>415.6219928571428</v>
      </c>
      <c r="Q14" s="47">
        <f>IFERROR(INDEX(PRENOTAZIONI!$R:$R,SMALL(PRENOTAZIONI!$W:$W,11)),"")</f>
        <v>0</v>
      </c>
      <c r="R14" s="101"/>
      <c r="S14" s="99" t="str">
        <f>IFERROR(INDEX(PRENOTAZIONI!$A:$A,SMALL(PRENOTAZIONI!$AK:$AK,11)),"")</f>
        <v/>
      </c>
      <c r="T14" s="31" t="str">
        <f>IFERROR(INDEX(PRENOTAZIONI!$B:$B,SMALL(PRENOTAZIONI!$AK:$AK,11)),"")</f>
        <v/>
      </c>
      <c r="U14" s="32" t="str">
        <f t="shared" si="5"/>
        <v/>
      </c>
      <c r="V14" s="34" t="str">
        <f>IFERROR(INDEX(PRENOTAZIONI!$E:$E,SMALL(PRENOTAZIONI!$AK:$AK,11)),"")</f>
        <v/>
      </c>
      <c r="W14" s="34" t="str">
        <f>IFERROR(INDEX(PRENOTAZIONI!$F:$F,SMALL(PRENOTAZIONI!$AK:$AK,11)),"")</f>
        <v/>
      </c>
      <c r="X14" s="35" t="str">
        <f>IFERROR(INDEX(PRENOTAZIONI!$H:$H,SMALL(PRENOTAZIONI!$AK:$AK,11)),"")</f>
        <v/>
      </c>
      <c r="Y14" s="34" t="str">
        <f>IFERROR(INDEX(PRENOTAZIONI!$K:$K,SMALL(PRENOTAZIONI!$AK:$AK,11)),"")</f>
        <v/>
      </c>
      <c r="Z14" s="34"/>
      <c r="AA14" s="34"/>
      <c r="AB14" s="40" t="str">
        <f t="shared" si="6"/>
        <v/>
      </c>
      <c r="AC14" s="41" t="str">
        <f t="shared" si="7"/>
        <v/>
      </c>
      <c r="AE14" s="38"/>
      <c r="AF14" s="113" t="s">
        <v>191</v>
      </c>
      <c r="AG14" s="114">
        <f>SUMPRODUCT((MONTH(PRENOTAZIONI!$A$3:$A$262)=11)*(YEAR(PRENOTAZIONI!$A$3:$A$262)=2026)*(PRENOTAZIONI!$D$3:$D$262="Via San Rocco"))</f>
        <v>0</v>
      </c>
      <c r="AH14" s="114">
        <f>SUMPRODUCT((PRENOTAZIONI!$A$3:$A$262&lt;DATE(2026,12,1))*(PRENOTAZIONI!$B$3:$B$262&gt;DATE(2026,11,1))*(YEAR(PRENOTAZIONI!$A$3:$A$262)=2026)*(PRENOTAZIONI!$D$3:$D$262="Via San Rocco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I14" s="151">
        <f>SUMIF(A4:A33,"&gt;="&amp;DATE(2026,11,1),G4:G33)-SUMIF(A4:A33,"&gt;="&amp;DATE(2026,12,1),G4:G33)</f>
        <v>0</v>
      </c>
      <c r="AJ14" s="151">
        <f>SUMIF(A4:A33,"&gt;="&amp;DATE(2026,11,1),I4:I33)-SUMIF(A4:A33,"&gt;="&amp;DATE(2026,12,1),I4:I33)</f>
        <v>0</v>
      </c>
      <c r="AK14" s="151">
        <f>SUMIF(A4:A33,"&gt;="&amp;DATE(2026,11,1),K4:K33)-SUMIF(A4:A33,"&gt;="&amp;DATE(2026,12,1),K4:K33)</f>
        <v>0</v>
      </c>
      <c r="AL14" s="151">
        <f>SUMIF(A4:A33,"&gt;="&amp;DATE(2026,11,1),M4:M33)-SUMIF(A4:A33,"&gt;="&amp;DATE(2026,12,1),M4:M33)</f>
        <v>0</v>
      </c>
      <c r="AM14" s="152">
        <f>SUMIF(A4:A33,"&gt;="&amp;DATE(2026,11,1),L4:L33)-SUMIF(A4:A33,"&gt;="&amp;DATE(2026,12,1),L4:L33)</f>
        <v>0</v>
      </c>
      <c r="AN14" s="152">
        <f>SUMIF(A4:A33,"&gt;="&amp;DATE(2026,11,1),J4:J33)-SUMIF(A4:A33,"&gt;="&amp;DATE(2026,12,1),J4:J33)</f>
        <v>0</v>
      </c>
      <c r="AO14" s="153">
        <f>SUMIF(A4:A33,"&gt;="&amp;DATE(2026,11,1),P4:P33)-SUMIF(A4:A33,"&gt;="&amp;DATE(2026,12,1),P4:P33)</f>
        <v>0</v>
      </c>
    </row>
    <row r="15" spans="1:59" ht="20" customHeight="1" x14ac:dyDescent="0.2">
      <c r="A15" s="31">
        <f>IFERROR(INDEX(PRENOTAZIONI!$A:$A,SMALL(PRENOTAZIONI!$W:$W,12)),"")</f>
        <v>46260</v>
      </c>
      <c r="B15" s="31">
        <f>IFERROR(INDEX(PRENOTAZIONI!$B:$B,SMALL(PRENOTAZIONI!$W:$W,12)),"")</f>
        <v>46264</v>
      </c>
      <c r="C15" s="32">
        <f t="shared" si="0"/>
        <v>4</v>
      </c>
      <c r="D15" s="34" t="str">
        <f>IFERROR(INDEX(PRENOTAZIONI!$E:$E,SMALL(PRENOTAZIONI!$W:$W,12)),"")</f>
        <v>Gianluca Mastrocola</v>
      </c>
      <c r="E15" s="34" t="str">
        <f>IFERROR(INDEX(PRENOTAZIONI!$F:$F,SMALL(PRENOTAZIONI!$W:$W,12)),"")</f>
        <v>2 ad</v>
      </c>
      <c r="F15" s="34" t="str">
        <f>IFERROR(INDEX(PRENOTAZIONI!$G:$G,SMALL(PRENOTAZIONI!$W:$W,12)),"")</f>
        <v>diretta</v>
      </c>
      <c r="G15" s="35">
        <f>IFERROR(INDEX(PRENOTAZIONI!$H:$H,SMALL(PRENOTAZIONI!$W:$W,12)),"")</f>
        <v>360</v>
      </c>
      <c r="H15" s="146">
        <f t="shared" si="1"/>
        <v>90</v>
      </c>
      <c r="I15" s="35">
        <f t="shared" si="8"/>
        <v>0</v>
      </c>
      <c r="J15" s="149">
        <f t="shared" si="9"/>
        <v>19.8</v>
      </c>
      <c r="K15" s="35">
        <f>IFERROR(INDEX(PRENOTAZIONI!$L:$L,SMALL(PRENOTAZIONI!$W:$W,12)),"")</f>
        <v>0</v>
      </c>
      <c r="L15" s="150">
        <f t="shared" si="2"/>
        <v>75.599999999999994</v>
      </c>
      <c r="M15" s="35">
        <f t="shared" si="10"/>
        <v>54</v>
      </c>
      <c r="N15" s="35"/>
      <c r="O15" s="43"/>
      <c r="P15" s="150">
        <f t="shared" si="4"/>
        <v>210.60000000000002</v>
      </c>
      <c r="Q15" s="47">
        <f>IFERROR(INDEX(PRENOTAZIONI!$R:$R,SMALL(PRENOTAZIONI!$W:$W,12)),"")</f>
        <v>0</v>
      </c>
      <c r="R15" s="101"/>
      <c r="S15" s="99" t="str">
        <f>IFERROR(INDEX(PRENOTAZIONI!$A:$A,SMALL(PRENOTAZIONI!$AK:$AK,12)),"")</f>
        <v/>
      </c>
      <c r="T15" s="31" t="str">
        <f>IFERROR(INDEX(PRENOTAZIONI!$B:$B,SMALL(PRENOTAZIONI!$AK:$AK,12)),"")</f>
        <v/>
      </c>
      <c r="U15" s="32" t="str">
        <f t="shared" si="5"/>
        <v/>
      </c>
      <c r="V15" s="34" t="str">
        <f>IFERROR(INDEX(PRENOTAZIONI!$E:$E,SMALL(PRENOTAZIONI!$AK:$AK,12)),"")</f>
        <v/>
      </c>
      <c r="W15" s="34" t="str">
        <f>IFERROR(INDEX(PRENOTAZIONI!$F:$F,SMALL(PRENOTAZIONI!$AK:$AK,12)),"")</f>
        <v/>
      </c>
      <c r="X15" s="35" t="str">
        <f>IFERROR(INDEX(PRENOTAZIONI!$H:$H,SMALL(PRENOTAZIONI!$AK:$AK,12)),"")</f>
        <v/>
      </c>
      <c r="Y15" s="34" t="str">
        <f>IFERROR(INDEX(PRENOTAZIONI!$K:$K,SMALL(PRENOTAZIONI!$AK:$AK,12)),"")</f>
        <v/>
      </c>
      <c r="Z15" s="34"/>
      <c r="AA15" s="34"/>
      <c r="AB15" s="40" t="str">
        <f t="shared" si="6"/>
        <v/>
      </c>
      <c r="AC15" s="41" t="str">
        <f t="shared" si="7"/>
        <v/>
      </c>
      <c r="AE15" s="38"/>
      <c r="AF15" s="113" t="s">
        <v>192</v>
      </c>
      <c r="AG15" s="114">
        <f>SUMPRODUCT((MONTH(PRENOTAZIONI!$A$3:$A$262)=12)*(YEAR(PRENOTAZIONI!$A$3:$A$262)=2026)*(PRENOTAZIONI!$D$3:$D$262="Via San Rocco"))</f>
        <v>0</v>
      </c>
      <c r="AH15" s="114">
        <f>SUMPRODUCT((PRENOTAZIONI!$A$3:$A$262&lt;DATE(2027,1,1))*(PRENOTAZIONI!$B$3:$B$262&gt;DATE(2026,12,1))*(YEAR(PRENOTAZIONI!$A$3:$A$262)=2026)*(PRENOTAZIONI!$D$3:$D$262="Via San Rocco")*((PRENOTAZIONI!$B$3:$B$262*(PRENOTAZIONI!$B$3:$B$262&lt;DATE(2027,1,1))+DATE(2027,1,1)*(PRENOTAZIONI!$B$3:$B$262&gt;=DATE(2027,1,1)))-(PRENOTAZIONI!$A$3:$A$262*(PRENOTAZIONI!$A$3:$A$262&gt;DATE(2026,12,1))+DATE(2026,12,1)*(PRENOTAZIONI!$A$3:$A$262&lt;=DATE(2026,12,1)))))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I15" s="151">
        <f>SUMIF(A4:A33,"&gt;="&amp;DATE(2026,12,1),G4:G33)-SUMIF(A4:A33,"&gt;="&amp;DATE(2027,1,1),G4:G33)</f>
        <v>0</v>
      </c>
      <c r="AJ15" s="151">
        <f>SUMIF(A4:A33,"&gt;="&amp;DATE(2026,12,1),I4:I33)-SUMIF(A4:A33,"&gt;="&amp;DATE(2027,1,1),I4:I33)</f>
        <v>0</v>
      </c>
      <c r="AK15" s="151">
        <f>SUMIF(A4:A33,"&gt;="&amp;DATE(2026,12,1),K4:K33)-SUMIF(A4:A33,"&gt;="&amp;DATE(2027,1,1),K4:K33)</f>
        <v>0</v>
      </c>
      <c r="AL15" s="151">
        <f>SUMIF(A4:A33,"&gt;="&amp;DATE(2026,12,1),M4:M33)-SUMIF(A4:A33,"&gt;="&amp;DATE(2027,1,1),M4:M33)</f>
        <v>0</v>
      </c>
      <c r="AM15" s="152">
        <f>SUMIF(A4:A33,"&gt;="&amp;DATE(2026,12,1),L4:L33)-SUMIF(A4:A33,"&gt;="&amp;DATE(2027,1,1),L4:L33)</f>
        <v>0</v>
      </c>
      <c r="AN15" s="152">
        <f>SUMIF(A4:A33,"&gt;="&amp;DATE(2026,12,1),J4:J33)-SUMIF(A4:A33,"&gt;="&amp;DATE(2027,1,1),J4:J33)</f>
        <v>0</v>
      </c>
      <c r="AO15" s="153">
        <f>SUMIF(A4:A33,"&gt;="&amp;DATE(2026,12,1),P4:P33)-SUMIF(A4:A33,"&gt;="&amp;DATE(2027,1,1),P4:P33)</f>
        <v>0</v>
      </c>
    </row>
    <row r="16" spans="1:59" ht="26" customHeight="1" thickBot="1" x14ac:dyDescent="0.25">
      <c r="A16" s="31">
        <f>IFERROR(INDEX(PRENOTAZIONI!$A:$A,SMALL(PRENOTAZIONI!$W:$W,13)),"")</f>
        <v>46316</v>
      </c>
      <c r="B16" s="31">
        <f>IFERROR(INDEX(PRENOTAZIONI!$B:$B,SMALL(PRENOTAZIONI!$W:$W,13)),"")</f>
        <v>46318</v>
      </c>
      <c r="C16" s="32">
        <f t="shared" si="0"/>
        <v>2</v>
      </c>
      <c r="D16" s="34" t="str">
        <f>IFERROR(INDEX(PRENOTAZIONI!$E:$E,SMALL(PRENOTAZIONI!$W:$W,13)),"")</f>
        <v>Mario Palmeiro</v>
      </c>
      <c r="E16" s="34" t="str">
        <f>IFERROR(INDEX(PRENOTAZIONI!$F:$F,SMALL(PRENOTAZIONI!$W:$W,13)),"")</f>
        <v>1 ad</v>
      </c>
      <c r="F16" s="34" t="str">
        <f>IFERROR(INDEX(PRENOTAZIONI!$G:$G,SMALL(PRENOTAZIONI!$W:$W,13)),"")</f>
        <v>diretta</v>
      </c>
      <c r="G16" s="35">
        <f>IFERROR(INDEX(PRENOTAZIONI!$H:$H,SMALL(PRENOTAZIONI!$W:$W,13)),"")</f>
        <v>170</v>
      </c>
      <c r="H16" s="146">
        <f t="shared" si="1"/>
        <v>85</v>
      </c>
      <c r="I16" s="35">
        <f t="shared" si="8"/>
        <v>0</v>
      </c>
      <c r="J16" s="149">
        <f t="shared" si="9"/>
        <v>18.7</v>
      </c>
      <c r="K16" s="35">
        <f>IFERROR(INDEX(PRENOTAZIONI!$L:$L,SMALL(PRENOTAZIONI!$W:$W,13)),"")</f>
        <v>0</v>
      </c>
      <c r="L16" s="150">
        <f t="shared" si="2"/>
        <v>35.699999999999996</v>
      </c>
      <c r="M16" s="35">
        <f t="shared" si="10"/>
        <v>25.5</v>
      </c>
      <c r="N16" s="35"/>
      <c r="O16" s="43"/>
      <c r="P16" s="150">
        <f t="shared" si="4"/>
        <v>90.100000000000023</v>
      </c>
      <c r="Q16" s="47">
        <f>IFERROR(INDEX(PRENOTAZIONI!$R:$R,SMALL(PRENOTAZIONI!$W:$W,13)),"")</f>
        <v>0</v>
      </c>
      <c r="R16" s="101"/>
      <c r="S16" s="99" t="str">
        <f>IFERROR(INDEX(PRENOTAZIONI!$A:$A,SMALL(PRENOTAZIONI!$AK:$AK,13)),"")</f>
        <v/>
      </c>
      <c r="T16" s="31" t="str">
        <f>IFERROR(INDEX(PRENOTAZIONI!$B:$B,SMALL(PRENOTAZIONI!$AK:$AK,13)),"")</f>
        <v/>
      </c>
      <c r="U16" s="32" t="str">
        <f t="shared" si="5"/>
        <v/>
      </c>
      <c r="V16" s="34" t="str">
        <f>IFERROR(INDEX(PRENOTAZIONI!$E:$E,SMALL(PRENOTAZIONI!$AK:$AK,13)),"")</f>
        <v/>
      </c>
      <c r="W16" s="34" t="str">
        <f>IFERROR(INDEX(PRENOTAZIONI!$F:$F,SMALL(PRENOTAZIONI!$AK:$AK,13)),"")</f>
        <v/>
      </c>
      <c r="X16" s="35" t="str">
        <f>IFERROR(INDEX(PRENOTAZIONI!$H:$H,SMALL(PRENOTAZIONI!$AK:$AK,13)),"")</f>
        <v/>
      </c>
      <c r="Y16" s="34" t="str">
        <f>IFERROR(INDEX(PRENOTAZIONI!$K:$K,SMALL(PRENOTAZIONI!$AK:$AK,13)),"")</f>
        <v/>
      </c>
      <c r="Z16" s="34"/>
      <c r="AA16" s="34"/>
      <c r="AB16" s="40" t="str">
        <f t="shared" si="6"/>
        <v/>
      </c>
      <c r="AC16" s="41" t="str">
        <f t="shared" si="7"/>
        <v/>
      </c>
      <c r="AE16" s="38"/>
      <c r="AF16" s="115" t="s">
        <v>196</v>
      </c>
      <c r="AG16" s="116">
        <f t="shared" ref="AG16:AO16" si="11">SUM(AG4:AG15)</f>
        <v>15</v>
      </c>
      <c r="AH16" s="116">
        <f t="shared" si="11"/>
        <v>67</v>
      </c>
      <c r="AI16" s="116">
        <f t="shared" si="11"/>
        <v>6009.98</v>
      </c>
      <c r="AJ16" s="116">
        <f t="shared" si="11"/>
        <v>402.08190000000002</v>
      </c>
      <c r="AK16" s="116">
        <f t="shared" si="11"/>
        <v>30</v>
      </c>
      <c r="AL16" s="116">
        <f t="shared" si="11"/>
        <v>674.34750000000008</v>
      </c>
      <c r="AM16" s="116">
        <f t="shared" si="11"/>
        <v>1262.0958000000001</v>
      </c>
      <c r="AN16" s="117">
        <f t="shared" si="11"/>
        <v>144.39353814285712</v>
      </c>
      <c r="AO16" s="117">
        <f t="shared" si="11"/>
        <v>3527.0612618571427</v>
      </c>
    </row>
    <row r="17" spans="1:41" ht="22" customHeight="1" x14ac:dyDescent="0.2">
      <c r="A17" s="31" t="str">
        <f>IFERROR(INDEX(PRENOTAZIONI!$A:$A,SMALL(PRENOTAZIONI!$W:$W,14)),"")</f>
        <v/>
      </c>
      <c r="B17" s="31" t="str">
        <f>IFERROR(INDEX(PRENOTAZIONI!$B:$B,SMALL(PRENOTAZIONI!$W:$W,14)),"")</f>
        <v/>
      </c>
      <c r="C17" s="32" t="str">
        <f t="shared" si="0"/>
        <v/>
      </c>
      <c r="D17" s="34" t="str">
        <f>IFERROR(INDEX(PRENOTAZIONI!$E:$E,SMALL(PRENOTAZIONI!$W:$W,14)),"")</f>
        <v/>
      </c>
      <c r="E17" s="34" t="str">
        <f>IFERROR(INDEX(PRENOTAZIONI!$F:$F,SMALL(PRENOTAZIONI!$W:$W,14)),"")</f>
        <v/>
      </c>
      <c r="F17" s="34" t="str">
        <f>IFERROR(INDEX(PRENOTAZIONI!$G:$G,SMALL(PRENOTAZIONI!$W:$W,14)),"")</f>
        <v/>
      </c>
      <c r="G17" s="35" t="str">
        <f>IFERROR(INDEX(PRENOTAZIONI!$H:$H,SMALL(PRENOTAZIONI!$W:$W,14)),"")</f>
        <v/>
      </c>
      <c r="H17" s="146" t="str">
        <f t="shared" si="1"/>
        <v/>
      </c>
      <c r="I17" s="35" t="str">
        <f t="shared" si="8"/>
        <v/>
      </c>
      <c r="J17" s="149" t="str">
        <f t="shared" si="9"/>
        <v/>
      </c>
      <c r="K17" s="35" t="str">
        <f>IFERROR(INDEX(PRENOTAZIONI!$L:$L,SMALL(PRENOTAZIONI!$W:$W,14)),"")</f>
        <v/>
      </c>
      <c r="L17" s="150" t="str">
        <f t="shared" si="2"/>
        <v/>
      </c>
      <c r="M17" s="35" t="str">
        <f t="shared" si="10"/>
        <v/>
      </c>
      <c r="N17" s="35"/>
      <c r="O17" s="43"/>
      <c r="P17" s="150" t="str">
        <f t="shared" si="4"/>
        <v/>
      </c>
      <c r="Q17" s="47" t="str">
        <f>IFERROR(INDEX(PRENOTAZIONI!$R:$R,SMALL(PRENOTAZIONI!$W:$W,14)),"")</f>
        <v/>
      </c>
      <c r="R17" s="101"/>
      <c r="S17" s="99" t="str">
        <f>IFERROR(INDEX(PRENOTAZIONI!$A:$A,SMALL(PRENOTAZIONI!$AK:$AK,14)),"")</f>
        <v/>
      </c>
      <c r="T17" s="31" t="str">
        <f>IFERROR(INDEX(PRENOTAZIONI!$B:$B,SMALL(PRENOTAZIONI!$AK:$AK,14)),"")</f>
        <v/>
      </c>
      <c r="U17" s="32" t="str">
        <f t="shared" si="5"/>
        <v/>
      </c>
      <c r="V17" s="34" t="str">
        <f>IFERROR(INDEX(PRENOTAZIONI!$E:$E,SMALL(PRENOTAZIONI!$AK:$AK,14)),"")</f>
        <v/>
      </c>
      <c r="W17" s="34" t="str">
        <f>IFERROR(INDEX(PRENOTAZIONI!$F:$F,SMALL(PRENOTAZIONI!$AK:$AK,14)),"")</f>
        <v/>
      </c>
      <c r="X17" s="35" t="str">
        <f>IFERROR(INDEX(PRENOTAZIONI!$H:$H,SMALL(PRENOTAZIONI!$AK:$AK,14)),"")</f>
        <v/>
      </c>
      <c r="Y17" s="34" t="str">
        <f>IFERROR(INDEX(PRENOTAZIONI!$K:$K,SMALL(PRENOTAZIONI!$AK:$AK,14)),"")</f>
        <v/>
      </c>
      <c r="Z17" s="34"/>
      <c r="AA17" s="34"/>
      <c r="AB17" s="40" t="str">
        <f t="shared" si="6"/>
        <v/>
      </c>
      <c r="AC17" s="41" t="str">
        <f t="shared" si="7"/>
        <v/>
      </c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 spans="1:41" ht="22" customHeight="1" x14ac:dyDescent="0.2">
      <c r="A18" s="31" t="str">
        <f>IFERROR(INDEX(PRENOTAZIONI!$A:$A,SMALL(PRENOTAZIONI!$W:$W,15)),"")</f>
        <v/>
      </c>
      <c r="B18" s="31" t="str">
        <f>IFERROR(INDEX(PRENOTAZIONI!$B:$B,SMALL(PRENOTAZIONI!$W:$W,15)),"")</f>
        <v/>
      </c>
      <c r="C18" s="32" t="str">
        <f t="shared" si="0"/>
        <v/>
      </c>
      <c r="D18" s="34" t="str">
        <f>IFERROR(INDEX(PRENOTAZIONI!$E:$E,SMALL(PRENOTAZIONI!$W:$W,15)),"")</f>
        <v/>
      </c>
      <c r="E18" s="34" t="str">
        <f>IFERROR(INDEX(PRENOTAZIONI!$F:$F,SMALL(PRENOTAZIONI!$W:$W,15)),"")</f>
        <v/>
      </c>
      <c r="F18" s="34" t="str">
        <f>IFERROR(INDEX(PRENOTAZIONI!$G:$G,SMALL(PRENOTAZIONI!$W:$W,15)),"")</f>
        <v/>
      </c>
      <c r="G18" s="35" t="str">
        <f>IFERROR(INDEX(PRENOTAZIONI!$H:$H,SMALL(PRENOTAZIONI!$W:$W,15)),"")</f>
        <v/>
      </c>
      <c r="H18" s="146" t="str">
        <f t="shared" si="1"/>
        <v/>
      </c>
      <c r="I18" s="35" t="str">
        <f t="shared" si="8"/>
        <v/>
      </c>
      <c r="J18" s="149" t="str">
        <f t="shared" si="9"/>
        <v/>
      </c>
      <c r="K18" s="35" t="str">
        <f>IFERROR(INDEX(PRENOTAZIONI!$L:$L,SMALL(PRENOTAZIONI!$W:$W,15)),"")</f>
        <v/>
      </c>
      <c r="L18" s="150" t="str">
        <f t="shared" si="2"/>
        <v/>
      </c>
      <c r="M18" s="35" t="str">
        <f t="shared" si="10"/>
        <v/>
      </c>
      <c r="N18" s="35"/>
      <c r="O18" s="43"/>
      <c r="P18" s="150" t="str">
        <f t="shared" si="4"/>
        <v/>
      </c>
      <c r="Q18" s="47" t="str">
        <f>IFERROR(INDEX(PRENOTAZIONI!$R:$R,SMALL(PRENOTAZIONI!$W:$W,15)),"")</f>
        <v/>
      </c>
      <c r="R18" s="101"/>
      <c r="S18" s="99" t="str">
        <f>IFERROR(INDEX(PRENOTAZIONI!$A:$A,SMALL(PRENOTAZIONI!$AK:$AK,15)),"")</f>
        <v/>
      </c>
      <c r="T18" s="31" t="str">
        <f>IFERROR(INDEX(PRENOTAZIONI!$B:$B,SMALL(PRENOTAZIONI!$AK:$AK,15)),"")</f>
        <v/>
      </c>
      <c r="U18" s="32" t="str">
        <f t="shared" si="5"/>
        <v/>
      </c>
      <c r="V18" s="34" t="str">
        <f>IFERROR(INDEX(PRENOTAZIONI!$E:$E,SMALL(PRENOTAZIONI!$AK:$AK,15)),"")</f>
        <v/>
      </c>
      <c r="W18" s="34" t="str">
        <f>IFERROR(INDEX(PRENOTAZIONI!$F:$F,SMALL(PRENOTAZIONI!$AK:$AK,15)),"")</f>
        <v/>
      </c>
      <c r="X18" s="35" t="str">
        <f>IFERROR(INDEX(PRENOTAZIONI!$H:$H,SMALL(PRENOTAZIONI!$AK:$AK,15)),"")</f>
        <v/>
      </c>
      <c r="Y18" s="34" t="str">
        <f>IFERROR(INDEX(PRENOTAZIONI!$K:$K,SMALL(PRENOTAZIONI!$AK:$AK,15)),"")</f>
        <v/>
      </c>
      <c r="Z18" s="34"/>
      <c r="AA18" s="34"/>
      <c r="AB18" s="40" t="str">
        <f t="shared" si="6"/>
        <v/>
      </c>
      <c r="AC18" s="41" t="str">
        <f t="shared" si="7"/>
        <v/>
      </c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</row>
    <row r="19" spans="1:41" ht="22" customHeight="1" x14ac:dyDescent="0.2">
      <c r="A19" s="31" t="str">
        <f>IFERROR(INDEX(PRENOTAZIONI!$A:$A,SMALL(PRENOTAZIONI!$W:$W,16)),"")</f>
        <v/>
      </c>
      <c r="B19" s="31" t="str">
        <f>IFERROR(INDEX(PRENOTAZIONI!$B:$B,SMALL(PRENOTAZIONI!$W:$W,16)),"")</f>
        <v/>
      </c>
      <c r="C19" s="32" t="str">
        <f t="shared" si="0"/>
        <v/>
      </c>
      <c r="D19" s="34" t="str">
        <f>IFERROR(INDEX(PRENOTAZIONI!$E:$E,SMALL(PRENOTAZIONI!$W:$W,16)),"")</f>
        <v/>
      </c>
      <c r="E19" s="34" t="str">
        <f>IFERROR(INDEX(PRENOTAZIONI!$F:$F,SMALL(PRENOTAZIONI!$W:$W,16)),"")</f>
        <v/>
      </c>
      <c r="F19" s="34" t="str">
        <f>IFERROR(INDEX(PRENOTAZIONI!$G:$G,SMALL(PRENOTAZIONI!$W:$W,16)),"")</f>
        <v/>
      </c>
      <c r="G19" s="35" t="str">
        <f>IFERROR(INDEX(PRENOTAZIONI!$H:$H,SMALL(PRENOTAZIONI!$W:$W,16)),"")</f>
        <v/>
      </c>
      <c r="H19" s="146" t="str">
        <f t="shared" si="1"/>
        <v/>
      </c>
      <c r="I19" s="35" t="str">
        <f t="shared" si="8"/>
        <v/>
      </c>
      <c r="J19" s="149" t="str">
        <f t="shared" si="9"/>
        <v/>
      </c>
      <c r="K19" s="35" t="str">
        <f>IFERROR(INDEX(PRENOTAZIONI!$L:$L,SMALL(PRENOTAZIONI!$W:$W,16)),"")</f>
        <v/>
      </c>
      <c r="L19" s="150" t="str">
        <f t="shared" si="2"/>
        <v/>
      </c>
      <c r="M19" s="35" t="str">
        <f t="shared" si="10"/>
        <v/>
      </c>
      <c r="N19" s="35"/>
      <c r="O19" s="43"/>
      <c r="P19" s="150" t="str">
        <f t="shared" si="4"/>
        <v/>
      </c>
      <c r="Q19" s="47" t="str">
        <f>IFERROR(INDEX(PRENOTAZIONI!$R:$R,SMALL(PRENOTAZIONI!$W:$W,16)),"")</f>
        <v/>
      </c>
      <c r="R19" s="101"/>
      <c r="S19" s="99" t="str">
        <f>IFERROR(INDEX(PRENOTAZIONI!$A:$A,SMALL(PRENOTAZIONI!$AK:$AK,16)),"")</f>
        <v/>
      </c>
      <c r="T19" s="31" t="str">
        <f>IFERROR(INDEX(PRENOTAZIONI!$B:$B,SMALL(PRENOTAZIONI!$AK:$AK,16)),"")</f>
        <v/>
      </c>
      <c r="U19" s="32" t="str">
        <f t="shared" si="5"/>
        <v/>
      </c>
      <c r="V19" s="34" t="str">
        <f>IFERROR(INDEX(PRENOTAZIONI!$E:$E,SMALL(PRENOTAZIONI!$AK:$AK,16)),"")</f>
        <v/>
      </c>
      <c r="W19" s="34" t="str">
        <f>IFERROR(INDEX(PRENOTAZIONI!$F:$F,SMALL(PRENOTAZIONI!$AK:$AK,16)),"")</f>
        <v/>
      </c>
      <c r="X19" s="35" t="str">
        <f>IFERROR(INDEX(PRENOTAZIONI!$H:$H,SMALL(PRENOTAZIONI!$AK:$AK,16)),"")</f>
        <v/>
      </c>
      <c r="Y19" s="34" t="str">
        <f>IFERROR(INDEX(PRENOTAZIONI!$K:$K,SMALL(PRENOTAZIONI!$AK:$AK,16)),"")</f>
        <v/>
      </c>
      <c r="Z19" s="34"/>
      <c r="AA19" s="34"/>
      <c r="AB19" s="40" t="str">
        <f t="shared" si="6"/>
        <v/>
      </c>
      <c r="AC19" s="41" t="str">
        <f t="shared" si="7"/>
        <v/>
      </c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</row>
    <row r="20" spans="1:41" ht="22" customHeight="1" x14ac:dyDescent="0.2">
      <c r="A20" s="31" t="str">
        <f>IFERROR(INDEX(PRENOTAZIONI!$A:$A,SMALL(PRENOTAZIONI!$W:$W,17)),"")</f>
        <v/>
      </c>
      <c r="B20" s="31" t="str">
        <f>IFERROR(INDEX(PRENOTAZIONI!$B:$B,SMALL(PRENOTAZIONI!$W:$W,17)),"")</f>
        <v/>
      </c>
      <c r="C20" s="32" t="str">
        <f t="shared" si="0"/>
        <v/>
      </c>
      <c r="D20" s="34" t="str">
        <f>IFERROR(INDEX(PRENOTAZIONI!$E:$E,SMALL(PRENOTAZIONI!$W:$W,17)),"")</f>
        <v/>
      </c>
      <c r="E20" s="34" t="str">
        <f>IFERROR(INDEX(PRENOTAZIONI!$F:$F,SMALL(PRENOTAZIONI!$W:$W,17)),"")</f>
        <v/>
      </c>
      <c r="F20" s="34" t="str">
        <f>IFERROR(INDEX(PRENOTAZIONI!$G:$G,SMALL(PRENOTAZIONI!$W:$W,17)),"")</f>
        <v/>
      </c>
      <c r="G20" s="35" t="str">
        <f>IFERROR(INDEX(PRENOTAZIONI!$H:$H,SMALL(PRENOTAZIONI!$W:$W,17)),"")</f>
        <v/>
      </c>
      <c r="H20" s="146" t="str">
        <f t="shared" si="1"/>
        <v/>
      </c>
      <c r="I20" s="35" t="str">
        <f t="shared" si="8"/>
        <v/>
      </c>
      <c r="J20" s="149" t="str">
        <f t="shared" si="9"/>
        <v/>
      </c>
      <c r="K20" s="35" t="str">
        <f>IFERROR(INDEX(PRENOTAZIONI!$L:$L,SMALL(PRENOTAZIONI!$W:$W,17)),"")</f>
        <v/>
      </c>
      <c r="L20" s="150" t="str">
        <f t="shared" si="2"/>
        <v/>
      </c>
      <c r="M20" s="35" t="str">
        <f t="shared" si="10"/>
        <v/>
      </c>
      <c r="N20" s="35"/>
      <c r="O20" s="43"/>
      <c r="P20" s="150" t="str">
        <f t="shared" si="4"/>
        <v/>
      </c>
      <c r="Q20" s="47" t="str">
        <f>IFERROR(INDEX(PRENOTAZIONI!$R:$R,SMALL(PRENOTAZIONI!$W:$W,17)),"")</f>
        <v/>
      </c>
      <c r="R20" s="101"/>
      <c r="S20" s="99" t="str">
        <f>IFERROR(INDEX(PRENOTAZIONI!$A:$A,SMALL(PRENOTAZIONI!$AK:$AK,17)),"")</f>
        <v/>
      </c>
      <c r="T20" s="31" t="str">
        <f>IFERROR(INDEX(PRENOTAZIONI!$B:$B,SMALL(PRENOTAZIONI!$AK:$AK,17)),"")</f>
        <v/>
      </c>
      <c r="U20" s="32" t="str">
        <f t="shared" si="5"/>
        <v/>
      </c>
      <c r="V20" s="34" t="str">
        <f>IFERROR(INDEX(PRENOTAZIONI!$E:$E,SMALL(PRENOTAZIONI!$AK:$AK,17)),"")</f>
        <v/>
      </c>
      <c r="W20" s="34" t="str">
        <f>IFERROR(INDEX(PRENOTAZIONI!$F:$F,SMALL(PRENOTAZIONI!$AK:$AK,17)),"")</f>
        <v/>
      </c>
      <c r="X20" s="35" t="str">
        <f>IFERROR(INDEX(PRENOTAZIONI!$H:$H,SMALL(PRENOTAZIONI!$AK:$AK,17)),"")</f>
        <v/>
      </c>
      <c r="Y20" s="34" t="str">
        <f>IFERROR(INDEX(PRENOTAZIONI!$K:$K,SMALL(PRENOTAZIONI!$AK:$AK,17)),"")</f>
        <v/>
      </c>
      <c r="Z20" s="34"/>
      <c r="AA20" s="34"/>
      <c r="AB20" s="40" t="str">
        <f t="shared" si="6"/>
        <v/>
      </c>
      <c r="AC20" s="41" t="str">
        <f t="shared" si="7"/>
        <v/>
      </c>
    </row>
    <row r="21" spans="1:41" ht="22" customHeight="1" x14ac:dyDescent="0.2">
      <c r="A21" s="31" t="str">
        <f>IFERROR(INDEX(PRENOTAZIONI!$A:$A,SMALL(PRENOTAZIONI!$W:$W,18)),"")</f>
        <v/>
      </c>
      <c r="B21" s="31" t="str">
        <f>IFERROR(INDEX(PRENOTAZIONI!$B:$B,SMALL(PRENOTAZIONI!$W:$W,18)),"")</f>
        <v/>
      </c>
      <c r="C21" s="32" t="str">
        <f t="shared" si="0"/>
        <v/>
      </c>
      <c r="D21" s="34" t="str">
        <f>IFERROR(INDEX(PRENOTAZIONI!$E:$E,SMALL(PRENOTAZIONI!$W:$W,18)),"")</f>
        <v/>
      </c>
      <c r="E21" s="34" t="str">
        <f>IFERROR(INDEX(PRENOTAZIONI!$F:$F,SMALL(PRENOTAZIONI!$W:$W,18)),"")</f>
        <v/>
      </c>
      <c r="F21" s="34" t="str">
        <f>IFERROR(INDEX(PRENOTAZIONI!$G:$G,SMALL(PRENOTAZIONI!$W:$W,18)),"")</f>
        <v/>
      </c>
      <c r="G21" s="35" t="str">
        <f>IFERROR(INDEX(PRENOTAZIONI!$H:$H,SMALL(PRENOTAZIONI!$W:$W,18)),"")</f>
        <v/>
      </c>
      <c r="H21" s="146" t="str">
        <f t="shared" si="1"/>
        <v/>
      </c>
      <c r="I21" s="35" t="str">
        <f t="shared" si="8"/>
        <v/>
      </c>
      <c r="J21" s="149" t="str">
        <f t="shared" si="9"/>
        <v/>
      </c>
      <c r="K21" s="35" t="str">
        <f>IFERROR(INDEX(PRENOTAZIONI!$L:$L,SMALL(PRENOTAZIONI!$W:$W,18)),"")</f>
        <v/>
      </c>
      <c r="L21" s="150" t="str">
        <f t="shared" si="2"/>
        <v/>
      </c>
      <c r="M21" s="35" t="str">
        <f t="shared" si="10"/>
        <v/>
      </c>
      <c r="N21" s="35"/>
      <c r="O21" s="43"/>
      <c r="P21" s="150" t="str">
        <f t="shared" si="4"/>
        <v/>
      </c>
      <c r="Q21" s="47" t="str">
        <f>IFERROR(INDEX(PRENOTAZIONI!$R:$R,SMALL(PRENOTAZIONI!$W:$W,18)),"")</f>
        <v/>
      </c>
      <c r="R21" s="101"/>
      <c r="S21" s="99" t="str">
        <f>IFERROR(INDEX(PRENOTAZIONI!$A:$A,SMALL(PRENOTAZIONI!$AK:$AK,18)),"")</f>
        <v/>
      </c>
      <c r="T21" s="31" t="str">
        <f>IFERROR(INDEX(PRENOTAZIONI!$B:$B,SMALL(PRENOTAZIONI!$AK:$AK,18)),"")</f>
        <v/>
      </c>
      <c r="U21" s="32" t="str">
        <f t="shared" si="5"/>
        <v/>
      </c>
      <c r="V21" s="34" t="str">
        <f>IFERROR(INDEX(PRENOTAZIONI!$E:$E,SMALL(PRENOTAZIONI!$AK:$AK,18)),"")</f>
        <v/>
      </c>
      <c r="W21" s="34" t="str">
        <f>IFERROR(INDEX(PRENOTAZIONI!$F:$F,SMALL(PRENOTAZIONI!$AK:$AK,18)),"")</f>
        <v/>
      </c>
      <c r="X21" s="35" t="str">
        <f>IFERROR(INDEX(PRENOTAZIONI!$H:$H,SMALL(PRENOTAZIONI!$AK:$AK,18)),"")</f>
        <v/>
      </c>
      <c r="Y21" s="34" t="str">
        <f>IFERROR(INDEX(PRENOTAZIONI!$K:$K,SMALL(PRENOTAZIONI!$AK:$AK,18)),"")</f>
        <v/>
      </c>
      <c r="Z21" s="34"/>
      <c r="AA21" s="34"/>
      <c r="AB21" s="40" t="str">
        <f t="shared" si="6"/>
        <v/>
      </c>
      <c r="AC21" s="41" t="str">
        <f t="shared" si="7"/>
        <v/>
      </c>
    </row>
    <row r="22" spans="1:41" ht="22" customHeight="1" x14ac:dyDescent="0.2">
      <c r="A22" s="31" t="str">
        <f>IFERROR(INDEX(PRENOTAZIONI!$A:$A,SMALL(PRENOTAZIONI!$W:$W,19)),"")</f>
        <v/>
      </c>
      <c r="B22" s="31" t="str">
        <f>IFERROR(INDEX(PRENOTAZIONI!$B:$B,SMALL(PRENOTAZIONI!$W:$W,19)),"")</f>
        <v/>
      </c>
      <c r="C22" s="32" t="str">
        <f t="shared" si="0"/>
        <v/>
      </c>
      <c r="D22" s="34" t="str">
        <f>IFERROR(INDEX(PRENOTAZIONI!$E:$E,SMALL(PRENOTAZIONI!$W:$W,19)),"")</f>
        <v/>
      </c>
      <c r="E22" s="34" t="str">
        <f>IFERROR(INDEX(PRENOTAZIONI!$F:$F,SMALL(PRENOTAZIONI!$W:$W,19)),"")</f>
        <v/>
      </c>
      <c r="F22" s="34" t="str">
        <f>IFERROR(INDEX(PRENOTAZIONI!$G:$G,SMALL(PRENOTAZIONI!$W:$W,19)),"")</f>
        <v/>
      </c>
      <c r="G22" s="35" t="str">
        <f>IFERROR(INDEX(PRENOTAZIONI!$H:$H,SMALL(PRENOTAZIONI!$W:$W,19)),"")</f>
        <v/>
      </c>
      <c r="H22" s="146" t="str">
        <f t="shared" si="1"/>
        <v/>
      </c>
      <c r="I22" s="35" t="str">
        <f t="shared" si="8"/>
        <v/>
      </c>
      <c r="J22" s="149" t="str">
        <f t="shared" si="9"/>
        <v/>
      </c>
      <c r="K22" s="35" t="str">
        <f>IFERROR(INDEX(PRENOTAZIONI!$L:$L,SMALL(PRENOTAZIONI!$W:$W,19)),"")</f>
        <v/>
      </c>
      <c r="L22" s="150" t="str">
        <f t="shared" si="2"/>
        <v/>
      </c>
      <c r="M22" s="35" t="str">
        <f t="shared" si="10"/>
        <v/>
      </c>
      <c r="N22" s="35"/>
      <c r="O22" s="43"/>
      <c r="P22" s="150" t="str">
        <f t="shared" si="4"/>
        <v/>
      </c>
      <c r="Q22" s="47" t="str">
        <f>IFERROR(INDEX(PRENOTAZIONI!$R:$R,SMALL(PRENOTAZIONI!$W:$W,19)),"")</f>
        <v/>
      </c>
      <c r="R22" s="101"/>
      <c r="S22" s="99" t="str">
        <f>IFERROR(INDEX(PRENOTAZIONI!$A:$A,SMALL(PRENOTAZIONI!$AK:$AK,19)),"")</f>
        <v/>
      </c>
      <c r="T22" s="31" t="str">
        <f>IFERROR(INDEX(PRENOTAZIONI!$B:$B,SMALL(PRENOTAZIONI!$AK:$AK,19)),"")</f>
        <v/>
      </c>
      <c r="U22" s="32" t="str">
        <f t="shared" si="5"/>
        <v/>
      </c>
      <c r="V22" s="34" t="str">
        <f>IFERROR(INDEX(PRENOTAZIONI!$E:$E,SMALL(PRENOTAZIONI!$AK:$AK,19)),"")</f>
        <v/>
      </c>
      <c r="W22" s="34" t="str">
        <f>IFERROR(INDEX(PRENOTAZIONI!$F:$F,SMALL(PRENOTAZIONI!$AK:$AK,19)),"")</f>
        <v/>
      </c>
      <c r="X22" s="35" t="str">
        <f>IFERROR(INDEX(PRENOTAZIONI!$H:$H,SMALL(PRENOTAZIONI!$AK:$AK,19)),"")</f>
        <v/>
      </c>
      <c r="Y22" s="34" t="str">
        <f>IFERROR(INDEX(PRENOTAZIONI!$K:$K,SMALL(PRENOTAZIONI!$AK:$AK,19)),"")</f>
        <v/>
      </c>
      <c r="Z22" s="34"/>
      <c r="AA22" s="34"/>
      <c r="AB22" s="40" t="str">
        <f t="shared" si="6"/>
        <v/>
      </c>
      <c r="AC22" s="41" t="str">
        <f t="shared" si="7"/>
        <v/>
      </c>
    </row>
    <row r="23" spans="1:41" ht="22" customHeight="1" x14ac:dyDescent="0.2">
      <c r="A23" s="31" t="str">
        <f>IFERROR(INDEX(PRENOTAZIONI!$A:$A,SMALL(PRENOTAZIONI!$W:$W,20)),"")</f>
        <v/>
      </c>
      <c r="B23" s="31" t="str">
        <f>IFERROR(INDEX(PRENOTAZIONI!$B:$B,SMALL(PRENOTAZIONI!$W:$W,20)),"")</f>
        <v/>
      </c>
      <c r="C23" s="32" t="str">
        <f t="shared" si="0"/>
        <v/>
      </c>
      <c r="D23" s="34" t="str">
        <f>IFERROR(INDEX(PRENOTAZIONI!$E:$E,SMALL(PRENOTAZIONI!$W:$W,20)),"")</f>
        <v/>
      </c>
      <c r="E23" s="34" t="str">
        <f>IFERROR(INDEX(PRENOTAZIONI!$F:$F,SMALL(PRENOTAZIONI!$W:$W,20)),"")</f>
        <v/>
      </c>
      <c r="F23" s="34" t="str">
        <f>IFERROR(INDEX(PRENOTAZIONI!$G:$G,SMALL(PRENOTAZIONI!$W:$W,20)),"")</f>
        <v/>
      </c>
      <c r="G23" s="35" t="str">
        <f>IFERROR(INDEX(PRENOTAZIONI!$H:$H,SMALL(PRENOTAZIONI!$W:$W,20)),"")</f>
        <v/>
      </c>
      <c r="H23" s="146" t="str">
        <f t="shared" si="1"/>
        <v/>
      </c>
      <c r="I23" s="35" t="str">
        <f t="shared" si="8"/>
        <v/>
      </c>
      <c r="J23" s="149" t="str">
        <f t="shared" si="9"/>
        <v/>
      </c>
      <c r="K23" s="35" t="str">
        <f>IFERROR(INDEX(PRENOTAZIONI!$L:$L,SMALL(PRENOTAZIONI!$W:$W,20)),"")</f>
        <v/>
      </c>
      <c r="L23" s="150" t="str">
        <f t="shared" si="2"/>
        <v/>
      </c>
      <c r="M23" s="35" t="str">
        <f t="shared" si="10"/>
        <v/>
      </c>
      <c r="N23" s="35"/>
      <c r="O23" s="43"/>
      <c r="P23" s="150" t="str">
        <f t="shared" si="4"/>
        <v/>
      </c>
      <c r="Q23" s="47" t="str">
        <f>IFERROR(INDEX(PRENOTAZIONI!$R:$R,SMALL(PRENOTAZIONI!$W:$W,20)),"")</f>
        <v/>
      </c>
      <c r="R23" s="101"/>
      <c r="S23" s="99" t="str">
        <f>IFERROR(INDEX(PRENOTAZIONI!$A:$A,SMALL(PRENOTAZIONI!$AK:$AK,20)),"")</f>
        <v/>
      </c>
      <c r="T23" s="31" t="str">
        <f>IFERROR(INDEX(PRENOTAZIONI!$B:$B,SMALL(PRENOTAZIONI!$AK:$AK,20)),"")</f>
        <v/>
      </c>
      <c r="U23" s="32" t="str">
        <f t="shared" si="5"/>
        <v/>
      </c>
      <c r="V23" s="34" t="str">
        <f>IFERROR(INDEX(PRENOTAZIONI!$E:$E,SMALL(PRENOTAZIONI!$AK:$AK,20)),"")</f>
        <v/>
      </c>
      <c r="W23" s="34" t="str">
        <f>IFERROR(INDEX(PRENOTAZIONI!$F:$F,SMALL(PRENOTAZIONI!$AK:$AK,20)),"")</f>
        <v/>
      </c>
      <c r="X23" s="35" t="str">
        <f>IFERROR(INDEX(PRENOTAZIONI!$H:$H,SMALL(PRENOTAZIONI!$AK:$AK,20)),"")</f>
        <v/>
      </c>
      <c r="Y23" s="34" t="str">
        <f>IFERROR(INDEX(PRENOTAZIONI!$K:$K,SMALL(PRENOTAZIONI!$AK:$AK,20)),"")</f>
        <v/>
      </c>
      <c r="Z23" s="34"/>
      <c r="AA23" s="34"/>
      <c r="AB23" s="40" t="str">
        <f t="shared" si="6"/>
        <v/>
      </c>
      <c r="AC23" s="41" t="str">
        <f t="shared" si="7"/>
        <v/>
      </c>
    </row>
    <row r="24" spans="1:41" ht="22" customHeight="1" x14ac:dyDescent="0.2">
      <c r="A24" s="31" t="str">
        <f>IFERROR(INDEX(PRENOTAZIONI!$A:$A,SMALL(PRENOTAZIONI!$W:$W,21)),"")</f>
        <v/>
      </c>
      <c r="B24" s="31" t="str">
        <f>IFERROR(INDEX(PRENOTAZIONI!$B:$B,SMALL(PRENOTAZIONI!$W:$W,21)),"")</f>
        <v/>
      </c>
      <c r="C24" s="32" t="str">
        <f t="shared" si="0"/>
        <v/>
      </c>
      <c r="D24" s="34" t="str">
        <f>IFERROR(INDEX(PRENOTAZIONI!$E:$E,SMALL(PRENOTAZIONI!$W:$W,21)),"")</f>
        <v/>
      </c>
      <c r="E24" s="34" t="str">
        <f>IFERROR(INDEX(PRENOTAZIONI!$F:$F,SMALL(PRENOTAZIONI!$W:$W,21)),"")</f>
        <v/>
      </c>
      <c r="F24" s="34" t="str">
        <f>IFERROR(INDEX(PRENOTAZIONI!$G:$G,SMALL(PRENOTAZIONI!$W:$W,21)),"")</f>
        <v/>
      </c>
      <c r="G24" s="35" t="str">
        <f>IFERROR(INDEX(PRENOTAZIONI!$H:$H,SMALL(PRENOTAZIONI!$W:$W,21)),"")</f>
        <v/>
      </c>
      <c r="H24" s="146" t="str">
        <f t="shared" si="1"/>
        <v/>
      </c>
      <c r="I24" s="35" t="str">
        <f t="shared" si="8"/>
        <v/>
      </c>
      <c r="J24" s="149" t="str">
        <f t="shared" si="9"/>
        <v/>
      </c>
      <c r="K24" s="35" t="str">
        <f>IFERROR(INDEX(PRENOTAZIONI!$L:$L,SMALL(PRENOTAZIONI!$W:$W,21)),"")</f>
        <v/>
      </c>
      <c r="L24" s="150" t="str">
        <f t="shared" si="2"/>
        <v/>
      </c>
      <c r="M24" s="35" t="str">
        <f t="shared" si="10"/>
        <v/>
      </c>
      <c r="N24" s="35"/>
      <c r="O24" s="43"/>
      <c r="P24" s="150" t="str">
        <f t="shared" si="4"/>
        <v/>
      </c>
      <c r="Q24" s="47" t="str">
        <f>IFERROR(INDEX(PRENOTAZIONI!$R:$R,SMALL(PRENOTAZIONI!$W:$W,21)),"")</f>
        <v/>
      </c>
      <c r="R24" s="101"/>
      <c r="S24" s="99" t="str">
        <f>IFERROR(INDEX(PRENOTAZIONI!$A:$A,SMALL(PRENOTAZIONI!$AK:$AK,21)),"")</f>
        <v/>
      </c>
      <c r="T24" s="31" t="str">
        <f>IFERROR(INDEX(PRENOTAZIONI!$B:$B,SMALL(PRENOTAZIONI!$AK:$AK,21)),"")</f>
        <v/>
      </c>
      <c r="U24" s="32" t="str">
        <f t="shared" si="5"/>
        <v/>
      </c>
      <c r="V24" s="34" t="str">
        <f>IFERROR(INDEX(PRENOTAZIONI!$E:$E,SMALL(PRENOTAZIONI!$AK:$AK,21)),"")</f>
        <v/>
      </c>
      <c r="W24" s="34" t="str">
        <f>IFERROR(INDEX(PRENOTAZIONI!$F:$F,SMALL(PRENOTAZIONI!$AK:$AK,21)),"")</f>
        <v/>
      </c>
      <c r="X24" s="35" t="str">
        <f>IFERROR(INDEX(PRENOTAZIONI!$H:$H,SMALL(PRENOTAZIONI!$AK:$AK,21)),"")</f>
        <v/>
      </c>
      <c r="Y24" s="34" t="str">
        <f>IFERROR(INDEX(PRENOTAZIONI!$K:$K,SMALL(PRENOTAZIONI!$AK:$AK,21)),"")</f>
        <v/>
      </c>
      <c r="Z24" s="34"/>
      <c r="AA24" s="34"/>
      <c r="AB24" s="40" t="str">
        <f t="shared" si="6"/>
        <v/>
      </c>
      <c r="AC24" s="41" t="str">
        <f t="shared" si="7"/>
        <v/>
      </c>
    </row>
    <row r="25" spans="1:41" ht="22" customHeight="1" x14ac:dyDescent="0.2">
      <c r="A25" s="31" t="str">
        <f>IFERROR(INDEX(PRENOTAZIONI!$A:$A,SMALL(PRENOTAZIONI!$W:$W,22)),"")</f>
        <v/>
      </c>
      <c r="B25" s="31" t="str">
        <f>IFERROR(INDEX(PRENOTAZIONI!$B:$B,SMALL(PRENOTAZIONI!$W:$W,22)),"")</f>
        <v/>
      </c>
      <c r="C25" s="32" t="str">
        <f t="shared" si="0"/>
        <v/>
      </c>
      <c r="D25" s="34" t="str">
        <f>IFERROR(INDEX(PRENOTAZIONI!$E:$E,SMALL(PRENOTAZIONI!$W:$W,22)),"")</f>
        <v/>
      </c>
      <c r="E25" s="34" t="str">
        <f>IFERROR(INDEX(PRENOTAZIONI!$F:$F,SMALL(PRENOTAZIONI!$W:$W,22)),"")</f>
        <v/>
      </c>
      <c r="F25" s="34" t="str">
        <f>IFERROR(INDEX(PRENOTAZIONI!$G:$G,SMALL(PRENOTAZIONI!$W:$W,22)),"")</f>
        <v/>
      </c>
      <c r="G25" s="35" t="str">
        <f>IFERROR(INDEX(PRENOTAZIONI!$H:$H,SMALL(PRENOTAZIONI!$W:$W,22)),"")</f>
        <v/>
      </c>
      <c r="H25" s="146" t="str">
        <f t="shared" si="1"/>
        <v/>
      </c>
      <c r="I25" s="35" t="str">
        <f t="shared" si="8"/>
        <v/>
      </c>
      <c r="J25" s="149" t="str">
        <f t="shared" si="9"/>
        <v/>
      </c>
      <c r="K25" s="35" t="str">
        <f>IFERROR(INDEX(PRENOTAZIONI!$L:$L,SMALL(PRENOTAZIONI!$W:$W,22)),"")</f>
        <v/>
      </c>
      <c r="L25" s="150" t="str">
        <f t="shared" si="2"/>
        <v/>
      </c>
      <c r="M25" s="35" t="str">
        <f t="shared" si="10"/>
        <v/>
      </c>
      <c r="N25" s="35"/>
      <c r="O25" s="43"/>
      <c r="P25" s="150" t="str">
        <f t="shared" si="4"/>
        <v/>
      </c>
      <c r="Q25" s="47" t="str">
        <f>IFERROR(INDEX(PRENOTAZIONI!$R:$R,SMALL(PRENOTAZIONI!$W:$W,22)),"")</f>
        <v/>
      </c>
      <c r="R25" s="101"/>
      <c r="S25" s="99" t="str">
        <f>IFERROR(INDEX(PRENOTAZIONI!$A:$A,SMALL(PRENOTAZIONI!$AK:$AK,22)),"")</f>
        <v/>
      </c>
      <c r="T25" s="31" t="str">
        <f>IFERROR(INDEX(PRENOTAZIONI!$B:$B,SMALL(PRENOTAZIONI!$AK:$AK,22)),"")</f>
        <v/>
      </c>
      <c r="U25" s="32" t="str">
        <f t="shared" si="5"/>
        <v/>
      </c>
      <c r="V25" s="34" t="str">
        <f>IFERROR(INDEX(PRENOTAZIONI!$E:$E,SMALL(PRENOTAZIONI!$AK:$AK,22)),"")</f>
        <v/>
      </c>
      <c r="W25" s="34" t="str">
        <f>IFERROR(INDEX(PRENOTAZIONI!$F:$F,SMALL(PRENOTAZIONI!$AK:$AK,22)),"")</f>
        <v/>
      </c>
      <c r="X25" s="35" t="str">
        <f>IFERROR(INDEX(PRENOTAZIONI!$H:$H,SMALL(PRENOTAZIONI!$AK:$AK,22)),"")</f>
        <v/>
      </c>
      <c r="Y25" s="34" t="str">
        <f>IFERROR(INDEX(PRENOTAZIONI!$K:$K,SMALL(PRENOTAZIONI!$AK:$AK,22)),"")</f>
        <v/>
      </c>
      <c r="Z25" s="34"/>
      <c r="AA25" s="34"/>
      <c r="AB25" s="40" t="str">
        <f t="shared" si="6"/>
        <v/>
      </c>
      <c r="AC25" s="41" t="str">
        <f t="shared" si="7"/>
        <v/>
      </c>
    </row>
    <row r="26" spans="1:41" ht="22" customHeight="1" x14ac:dyDescent="0.2">
      <c r="A26" s="31" t="str">
        <f>IFERROR(INDEX(PRENOTAZIONI!$A:$A,SMALL(PRENOTAZIONI!$W:$W,23)),"")</f>
        <v/>
      </c>
      <c r="B26" s="31" t="str">
        <f>IFERROR(INDEX(PRENOTAZIONI!$B:$B,SMALL(PRENOTAZIONI!$W:$W,23)),"")</f>
        <v/>
      </c>
      <c r="C26" s="32" t="str">
        <f t="shared" si="0"/>
        <v/>
      </c>
      <c r="D26" s="34" t="str">
        <f>IFERROR(INDEX(PRENOTAZIONI!$E:$E,SMALL(PRENOTAZIONI!$W:$W,23)),"")</f>
        <v/>
      </c>
      <c r="E26" s="34" t="str">
        <f>IFERROR(INDEX(PRENOTAZIONI!$F:$F,SMALL(PRENOTAZIONI!$W:$W,23)),"")</f>
        <v/>
      </c>
      <c r="F26" s="34" t="str">
        <f>IFERROR(INDEX(PRENOTAZIONI!$G:$G,SMALL(PRENOTAZIONI!$W:$W,23)),"")</f>
        <v/>
      </c>
      <c r="G26" s="35" t="str">
        <f>IFERROR(INDEX(PRENOTAZIONI!$H:$H,SMALL(PRENOTAZIONI!$W:$W,23)),"")</f>
        <v/>
      </c>
      <c r="H26" s="146" t="str">
        <f t="shared" si="1"/>
        <v/>
      </c>
      <c r="I26" s="35" t="str">
        <f t="shared" si="8"/>
        <v/>
      </c>
      <c r="J26" s="149" t="str">
        <f t="shared" si="9"/>
        <v/>
      </c>
      <c r="K26" s="35" t="str">
        <f>IFERROR(INDEX(PRENOTAZIONI!$L:$L,SMALL(PRENOTAZIONI!$W:$W,23)),"")</f>
        <v/>
      </c>
      <c r="L26" s="150" t="str">
        <f t="shared" si="2"/>
        <v/>
      </c>
      <c r="M26" s="35" t="str">
        <f t="shared" si="10"/>
        <v/>
      </c>
      <c r="N26" s="35"/>
      <c r="O26" s="43"/>
      <c r="P26" s="150" t="str">
        <f t="shared" si="4"/>
        <v/>
      </c>
      <c r="Q26" s="47" t="str">
        <f>IFERROR(INDEX(PRENOTAZIONI!$R:$R,SMALL(PRENOTAZIONI!$W:$W,23)),"")</f>
        <v/>
      </c>
      <c r="R26" s="101"/>
      <c r="S26" s="99" t="str">
        <f>IFERROR(INDEX(PRENOTAZIONI!$A:$A,SMALL(PRENOTAZIONI!$AK:$AK,23)),"")</f>
        <v/>
      </c>
      <c r="T26" s="31" t="str">
        <f>IFERROR(INDEX(PRENOTAZIONI!$B:$B,SMALL(PRENOTAZIONI!$AK:$AK,23)),"")</f>
        <v/>
      </c>
      <c r="U26" s="32" t="str">
        <f t="shared" si="5"/>
        <v/>
      </c>
      <c r="V26" s="34" t="str">
        <f>IFERROR(INDEX(PRENOTAZIONI!$E:$E,SMALL(PRENOTAZIONI!$AK:$AK,23)),"")</f>
        <v/>
      </c>
      <c r="W26" s="34" t="str">
        <f>IFERROR(INDEX(PRENOTAZIONI!$F:$F,SMALL(PRENOTAZIONI!$AK:$AK,23)),"")</f>
        <v/>
      </c>
      <c r="X26" s="35" t="str">
        <f>IFERROR(INDEX(PRENOTAZIONI!$H:$H,SMALL(PRENOTAZIONI!$AK:$AK,23)),"")</f>
        <v/>
      </c>
      <c r="Y26" s="34" t="str">
        <f>IFERROR(INDEX(PRENOTAZIONI!$K:$K,SMALL(PRENOTAZIONI!$AK:$AK,23)),"")</f>
        <v/>
      </c>
      <c r="Z26" s="34"/>
      <c r="AA26" s="34"/>
      <c r="AB26" s="40" t="str">
        <f t="shared" si="6"/>
        <v/>
      </c>
      <c r="AC26" s="41" t="str">
        <f t="shared" si="7"/>
        <v/>
      </c>
    </row>
    <row r="27" spans="1:41" ht="22" customHeight="1" x14ac:dyDescent="0.2">
      <c r="A27" s="31" t="str">
        <f>IFERROR(INDEX(PRENOTAZIONI!$A:$A,SMALL(PRENOTAZIONI!$W:$W,24)),"")</f>
        <v/>
      </c>
      <c r="B27" s="31" t="str">
        <f>IFERROR(INDEX(PRENOTAZIONI!$B:$B,SMALL(PRENOTAZIONI!$W:$W,24)),"")</f>
        <v/>
      </c>
      <c r="C27" s="32" t="str">
        <f t="shared" si="0"/>
        <v/>
      </c>
      <c r="D27" s="34" t="str">
        <f>IFERROR(INDEX(PRENOTAZIONI!$E:$E,SMALL(PRENOTAZIONI!$W:$W,24)),"")</f>
        <v/>
      </c>
      <c r="E27" s="34" t="str">
        <f>IFERROR(INDEX(PRENOTAZIONI!$F:$F,SMALL(PRENOTAZIONI!$W:$W,24)),"")</f>
        <v/>
      </c>
      <c r="F27" s="34" t="str">
        <f>IFERROR(INDEX(PRENOTAZIONI!$G:$G,SMALL(PRENOTAZIONI!$W:$W,24)),"")</f>
        <v/>
      </c>
      <c r="G27" s="35" t="str">
        <f>IFERROR(INDEX(PRENOTAZIONI!$H:$H,SMALL(PRENOTAZIONI!$W:$W,24)),"")</f>
        <v/>
      </c>
      <c r="H27" s="146" t="str">
        <f t="shared" si="1"/>
        <v/>
      </c>
      <c r="I27" s="35" t="str">
        <f t="shared" si="8"/>
        <v/>
      </c>
      <c r="J27" s="149" t="str">
        <f t="shared" si="9"/>
        <v/>
      </c>
      <c r="K27" s="35" t="str">
        <f>IFERROR(INDEX(PRENOTAZIONI!$L:$L,SMALL(PRENOTAZIONI!$W:$W,24)),"")</f>
        <v/>
      </c>
      <c r="L27" s="150" t="str">
        <f t="shared" si="2"/>
        <v/>
      </c>
      <c r="M27" s="35" t="str">
        <f t="shared" si="10"/>
        <v/>
      </c>
      <c r="N27" s="35"/>
      <c r="O27" s="43"/>
      <c r="P27" s="150" t="str">
        <f t="shared" si="4"/>
        <v/>
      </c>
      <c r="Q27" s="47" t="str">
        <f>IFERROR(INDEX(PRENOTAZIONI!$R:$R,SMALL(PRENOTAZIONI!$W:$W,24)),"")</f>
        <v/>
      </c>
      <c r="R27" s="101"/>
      <c r="S27" s="99" t="str">
        <f>IFERROR(INDEX(PRENOTAZIONI!$A:$A,SMALL(PRENOTAZIONI!$AK:$AK,24)),"")</f>
        <v/>
      </c>
      <c r="T27" s="31" t="str">
        <f>IFERROR(INDEX(PRENOTAZIONI!$B:$B,SMALL(PRENOTAZIONI!$AK:$AK,24)),"")</f>
        <v/>
      </c>
      <c r="U27" s="32" t="str">
        <f t="shared" si="5"/>
        <v/>
      </c>
      <c r="V27" s="34" t="str">
        <f>IFERROR(INDEX(PRENOTAZIONI!$E:$E,SMALL(PRENOTAZIONI!$AK:$AK,24)),"")</f>
        <v/>
      </c>
      <c r="W27" s="34" t="str">
        <f>IFERROR(INDEX(PRENOTAZIONI!$F:$F,SMALL(PRENOTAZIONI!$AK:$AK,24)),"")</f>
        <v/>
      </c>
      <c r="X27" s="35" t="str">
        <f>IFERROR(INDEX(PRENOTAZIONI!$H:$H,SMALL(PRENOTAZIONI!$AK:$AK,24)),"")</f>
        <v/>
      </c>
      <c r="Y27" s="34" t="str">
        <f>IFERROR(INDEX(PRENOTAZIONI!$K:$K,SMALL(PRENOTAZIONI!$AK:$AK,24)),"")</f>
        <v/>
      </c>
      <c r="Z27" s="34"/>
      <c r="AA27" s="34"/>
      <c r="AB27" s="40" t="str">
        <f t="shared" si="6"/>
        <v/>
      </c>
      <c r="AC27" s="41" t="str">
        <f t="shared" si="7"/>
        <v/>
      </c>
    </row>
    <row r="28" spans="1:41" ht="22" customHeight="1" x14ac:dyDescent="0.2">
      <c r="A28" s="31" t="str">
        <f>IFERROR(INDEX(PRENOTAZIONI!$A:$A,SMALL(PRENOTAZIONI!$W:$W,25)),"")</f>
        <v/>
      </c>
      <c r="B28" s="31" t="str">
        <f>IFERROR(INDEX(PRENOTAZIONI!$B:$B,SMALL(PRENOTAZIONI!$W:$W,25)),"")</f>
        <v/>
      </c>
      <c r="C28" s="32" t="str">
        <f t="shared" si="0"/>
        <v/>
      </c>
      <c r="D28" s="34" t="str">
        <f>IFERROR(INDEX(PRENOTAZIONI!$E:$E,SMALL(PRENOTAZIONI!$W:$W,25)),"")</f>
        <v/>
      </c>
      <c r="E28" s="34" t="str">
        <f>IFERROR(INDEX(PRENOTAZIONI!$F:$F,SMALL(PRENOTAZIONI!$W:$W,25)),"")</f>
        <v/>
      </c>
      <c r="F28" s="34" t="str">
        <f>IFERROR(INDEX(PRENOTAZIONI!$G:$G,SMALL(PRENOTAZIONI!$W:$W,25)),"")</f>
        <v/>
      </c>
      <c r="G28" s="35" t="str">
        <f>IFERROR(INDEX(PRENOTAZIONI!$H:$H,SMALL(PRENOTAZIONI!$W:$W,25)),"")</f>
        <v/>
      </c>
      <c r="H28" s="146" t="str">
        <f t="shared" si="1"/>
        <v/>
      </c>
      <c r="I28" s="35" t="str">
        <f t="shared" si="8"/>
        <v/>
      </c>
      <c r="J28" s="149" t="str">
        <f t="shared" si="9"/>
        <v/>
      </c>
      <c r="K28" s="35" t="str">
        <f>IFERROR(INDEX(PRENOTAZIONI!$L:$L,SMALL(PRENOTAZIONI!$W:$W,25)),"")</f>
        <v/>
      </c>
      <c r="L28" s="150" t="str">
        <f t="shared" si="2"/>
        <v/>
      </c>
      <c r="M28" s="35" t="str">
        <f t="shared" si="10"/>
        <v/>
      </c>
      <c r="N28" s="35"/>
      <c r="O28" s="43"/>
      <c r="P28" s="150" t="str">
        <f t="shared" si="4"/>
        <v/>
      </c>
      <c r="Q28" s="47" t="str">
        <f>IFERROR(INDEX(PRENOTAZIONI!$R:$R,SMALL(PRENOTAZIONI!$W:$W,25)),"")</f>
        <v/>
      </c>
      <c r="R28" s="101"/>
      <c r="S28" s="99" t="str">
        <f>IFERROR(INDEX(PRENOTAZIONI!$A:$A,SMALL(PRENOTAZIONI!$AK:$AK,25)),"")</f>
        <v/>
      </c>
      <c r="T28" s="31" t="str">
        <f>IFERROR(INDEX(PRENOTAZIONI!$B:$B,SMALL(PRENOTAZIONI!$AK:$AK,25)),"")</f>
        <v/>
      </c>
      <c r="U28" s="32" t="str">
        <f t="shared" si="5"/>
        <v/>
      </c>
      <c r="V28" s="34" t="str">
        <f>IFERROR(INDEX(PRENOTAZIONI!$E:$E,SMALL(PRENOTAZIONI!$AK:$AK,25)),"")</f>
        <v/>
      </c>
      <c r="W28" s="34" t="str">
        <f>IFERROR(INDEX(PRENOTAZIONI!$F:$F,SMALL(PRENOTAZIONI!$AK:$AK,25)),"")</f>
        <v/>
      </c>
      <c r="X28" s="35" t="str">
        <f>IFERROR(INDEX(PRENOTAZIONI!$H:$H,SMALL(PRENOTAZIONI!$AK:$AK,25)),"")</f>
        <v/>
      </c>
      <c r="Y28" s="34" t="str">
        <f>IFERROR(INDEX(PRENOTAZIONI!$K:$K,SMALL(PRENOTAZIONI!$AK:$AK,25)),"")</f>
        <v/>
      </c>
      <c r="Z28" s="34"/>
      <c r="AA28" s="34"/>
      <c r="AB28" s="40" t="str">
        <f t="shared" si="6"/>
        <v/>
      </c>
      <c r="AC28" s="41" t="str">
        <f t="shared" si="7"/>
        <v/>
      </c>
    </row>
    <row r="29" spans="1:41" ht="22" customHeight="1" x14ac:dyDescent="0.2">
      <c r="A29" s="31" t="str">
        <f>IFERROR(INDEX(PRENOTAZIONI!$A:$A,SMALL(PRENOTAZIONI!$W:$W,26)),"")</f>
        <v/>
      </c>
      <c r="B29" s="31" t="str">
        <f>IFERROR(INDEX(PRENOTAZIONI!$B:$B,SMALL(PRENOTAZIONI!$W:$W,26)),"")</f>
        <v/>
      </c>
      <c r="C29" s="32" t="str">
        <f t="shared" si="0"/>
        <v/>
      </c>
      <c r="D29" s="34" t="str">
        <f>IFERROR(INDEX(PRENOTAZIONI!$E:$E,SMALL(PRENOTAZIONI!$W:$W,26)),"")</f>
        <v/>
      </c>
      <c r="E29" s="34" t="str">
        <f>IFERROR(INDEX(PRENOTAZIONI!$F:$F,SMALL(PRENOTAZIONI!$W:$W,26)),"")</f>
        <v/>
      </c>
      <c r="F29" s="34" t="str">
        <f>IFERROR(INDEX(PRENOTAZIONI!$G:$G,SMALL(PRENOTAZIONI!$W:$W,26)),"")</f>
        <v/>
      </c>
      <c r="G29" s="35" t="str">
        <f>IFERROR(INDEX(PRENOTAZIONI!$H:$H,SMALL(PRENOTAZIONI!$W:$W,26)),"")</f>
        <v/>
      </c>
      <c r="H29" s="146" t="str">
        <f t="shared" si="1"/>
        <v/>
      </c>
      <c r="I29" s="35" t="str">
        <f t="shared" si="8"/>
        <v/>
      </c>
      <c r="J29" s="149" t="str">
        <f t="shared" si="9"/>
        <v/>
      </c>
      <c r="K29" s="35" t="str">
        <f>IFERROR(INDEX(PRENOTAZIONI!$L:$L,SMALL(PRENOTAZIONI!$W:$W,26)),"")</f>
        <v/>
      </c>
      <c r="L29" s="150" t="str">
        <f t="shared" si="2"/>
        <v/>
      </c>
      <c r="M29" s="35" t="str">
        <f t="shared" si="10"/>
        <v/>
      </c>
      <c r="N29" s="35"/>
      <c r="O29" s="43"/>
      <c r="P29" s="150" t="str">
        <f t="shared" si="4"/>
        <v/>
      </c>
      <c r="Q29" s="47" t="str">
        <f>IFERROR(INDEX(PRENOTAZIONI!$R:$R,SMALL(PRENOTAZIONI!$W:$W,26)),"")</f>
        <v/>
      </c>
      <c r="R29" s="101"/>
      <c r="S29" s="99" t="str">
        <f>IFERROR(INDEX(PRENOTAZIONI!$A:$A,SMALL(PRENOTAZIONI!$AK:$AK,26)),"")</f>
        <v/>
      </c>
      <c r="T29" s="31" t="str">
        <f>IFERROR(INDEX(PRENOTAZIONI!$B:$B,SMALL(PRENOTAZIONI!$AK:$AK,26)),"")</f>
        <v/>
      </c>
      <c r="U29" s="32" t="str">
        <f t="shared" si="5"/>
        <v/>
      </c>
      <c r="V29" s="34" t="str">
        <f>IFERROR(INDEX(PRENOTAZIONI!$E:$E,SMALL(PRENOTAZIONI!$AK:$AK,26)),"")</f>
        <v/>
      </c>
      <c r="W29" s="34" t="str">
        <f>IFERROR(INDEX(PRENOTAZIONI!$F:$F,SMALL(PRENOTAZIONI!$AK:$AK,26)),"")</f>
        <v/>
      </c>
      <c r="X29" s="35" t="str">
        <f>IFERROR(INDEX(PRENOTAZIONI!$H:$H,SMALL(PRENOTAZIONI!$AK:$AK,26)),"")</f>
        <v/>
      </c>
      <c r="Y29" s="34" t="str">
        <f>IFERROR(INDEX(PRENOTAZIONI!$K:$K,SMALL(PRENOTAZIONI!$AK:$AK,26)),"")</f>
        <v/>
      </c>
      <c r="Z29" s="34"/>
      <c r="AA29" s="34"/>
      <c r="AB29" s="40" t="str">
        <f t="shared" si="6"/>
        <v/>
      </c>
      <c r="AC29" s="41" t="str">
        <f t="shared" si="7"/>
        <v/>
      </c>
    </row>
    <row r="30" spans="1:41" ht="22" customHeight="1" x14ac:dyDescent="0.2">
      <c r="A30" s="31" t="str">
        <f>IFERROR(INDEX(PRENOTAZIONI!$A:$A,SMALL(PRENOTAZIONI!$W:$W,27)),"")</f>
        <v/>
      </c>
      <c r="B30" s="31" t="str">
        <f>IFERROR(INDEX(PRENOTAZIONI!$B:$B,SMALL(PRENOTAZIONI!$W:$W,27)),"")</f>
        <v/>
      </c>
      <c r="C30" s="32" t="str">
        <f t="shared" si="0"/>
        <v/>
      </c>
      <c r="D30" s="34" t="str">
        <f>IFERROR(INDEX(PRENOTAZIONI!$E:$E,SMALL(PRENOTAZIONI!$W:$W,27)),"")</f>
        <v/>
      </c>
      <c r="E30" s="34" t="str">
        <f>IFERROR(INDEX(PRENOTAZIONI!$F:$F,SMALL(PRENOTAZIONI!$W:$W,27)),"")</f>
        <v/>
      </c>
      <c r="F30" s="34" t="str">
        <f>IFERROR(INDEX(PRENOTAZIONI!$G:$G,SMALL(PRENOTAZIONI!$W:$W,27)),"")</f>
        <v/>
      </c>
      <c r="G30" s="35" t="str">
        <f>IFERROR(INDEX(PRENOTAZIONI!$H:$H,SMALL(PRENOTAZIONI!$W:$W,27)),"")</f>
        <v/>
      </c>
      <c r="H30" s="146" t="str">
        <f t="shared" si="1"/>
        <v/>
      </c>
      <c r="I30" s="35" t="str">
        <f t="shared" si="8"/>
        <v/>
      </c>
      <c r="J30" s="149" t="str">
        <f t="shared" si="9"/>
        <v/>
      </c>
      <c r="K30" s="35" t="str">
        <f>IFERROR(INDEX(PRENOTAZIONI!$L:$L,SMALL(PRENOTAZIONI!$W:$W,27)),"")</f>
        <v/>
      </c>
      <c r="L30" s="150" t="str">
        <f t="shared" si="2"/>
        <v/>
      </c>
      <c r="M30" s="35" t="str">
        <f t="shared" si="10"/>
        <v/>
      </c>
      <c r="N30" s="35"/>
      <c r="O30" s="43"/>
      <c r="P30" s="150" t="str">
        <f t="shared" si="4"/>
        <v/>
      </c>
      <c r="Q30" s="47" t="str">
        <f>IFERROR(INDEX(PRENOTAZIONI!$R:$R,SMALL(PRENOTAZIONI!$W:$W,27)),"")</f>
        <v/>
      </c>
      <c r="R30" s="101"/>
      <c r="S30" s="99" t="str">
        <f>IFERROR(INDEX(PRENOTAZIONI!$A:$A,SMALL(PRENOTAZIONI!$AK:$AK,27)),"")</f>
        <v/>
      </c>
      <c r="T30" s="31" t="str">
        <f>IFERROR(INDEX(PRENOTAZIONI!$B:$B,SMALL(PRENOTAZIONI!$AK:$AK,27)),"")</f>
        <v/>
      </c>
      <c r="U30" s="32" t="str">
        <f t="shared" si="5"/>
        <v/>
      </c>
      <c r="V30" s="34" t="str">
        <f>IFERROR(INDEX(PRENOTAZIONI!$E:$E,SMALL(PRENOTAZIONI!$AK:$AK,27)),"")</f>
        <v/>
      </c>
      <c r="W30" s="34" t="str">
        <f>IFERROR(INDEX(PRENOTAZIONI!$F:$F,SMALL(PRENOTAZIONI!$AK:$AK,27)),"")</f>
        <v/>
      </c>
      <c r="X30" s="35" t="str">
        <f>IFERROR(INDEX(PRENOTAZIONI!$H:$H,SMALL(PRENOTAZIONI!$AK:$AK,27)),"")</f>
        <v/>
      </c>
      <c r="Y30" s="34" t="str">
        <f>IFERROR(INDEX(PRENOTAZIONI!$K:$K,SMALL(PRENOTAZIONI!$AK:$AK,27)),"")</f>
        <v/>
      </c>
      <c r="Z30" s="34"/>
      <c r="AA30" s="34"/>
      <c r="AB30" s="40" t="str">
        <f t="shared" si="6"/>
        <v/>
      </c>
      <c r="AC30" s="41" t="str">
        <f t="shared" si="7"/>
        <v/>
      </c>
    </row>
    <row r="31" spans="1:41" ht="22" customHeight="1" x14ac:dyDescent="0.2">
      <c r="A31" s="31" t="str">
        <f>IFERROR(INDEX(PRENOTAZIONI!$A:$A,SMALL(PRENOTAZIONI!$W:$W,28)),"")</f>
        <v/>
      </c>
      <c r="B31" s="31" t="str">
        <f>IFERROR(INDEX(PRENOTAZIONI!$B:$B,SMALL(PRENOTAZIONI!$W:$W,28)),"")</f>
        <v/>
      </c>
      <c r="C31" s="32" t="str">
        <f t="shared" si="0"/>
        <v/>
      </c>
      <c r="D31" s="34" t="str">
        <f>IFERROR(INDEX(PRENOTAZIONI!$E:$E,SMALL(PRENOTAZIONI!$W:$W,28)),"")</f>
        <v/>
      </c>
      <c r="E31" s="34" t="str">
        <f>IFERROR(INDEX(PRENOTAZIONI!$F:$F,SMALL(PRENOTAZIONI!$W:$W,28)),"")</f>
        <v/>
      </c>
      <c r="F31" s="34" t="str">
        <f>IFERROR(INDEX(PRENOTAZIONI!$G:$G,SMALL(PRENOTAZIONI!$W:$W,28)),"")</f>
        <v/>
      </c>
      <c r="G31" s="35" t="str">
        <f>IFERROR(INDEX(PRENOTAZIONI!$H:$H,SMALL(PRENOTAZIONI!$W:$W,28)),"")</f>
        <v/>
      </c>
      <c r="H31" s="146" t="str">
        <f t="shared" si="1"/>
        <v/>
      </c>
      <c r="I31" s="35" t="str">
        <f t="shared" si="8"/>
        <v/>
      </c>
      <c r="J31" s="149" t="str">
        <f t="shared" si="9"/>
        <v/>
      </c>
      <c r="K31" s="35" t="str">
        <f>IFERROR(INDEX(PRENOTAZIONI!$L:$L,SMALL(PRENOTAZIONI!$W:$W,28)),"")</f>
        <v/>
      </c>
      <c r="L31" s="150" t="str">
        <f t="shared" si="2"/>
        <v/>
      </c>
      <c r="M31" s="35" t="str">
        <f t="shared" si="10"/>
        <v/>
      </c>
      <c r="N31" s="35"/>
      <c r="O31" s="43"/>
      <c r="P31" s="150" t="str">
        <f t="shared" si="4"/>
        <v/>
      </c>
      <c r="Q31" s="47" t="str">
        <f>IFERROR(INDEX(PRENOTAZIONI!$R:$R,SMALL(PRENOTAZIONI!$W:$W,28)),"")</f>
        <v/>
      </c>
      <c r="R31" s="101"/>
      <c r="S31" s="99" t="str">
        <f>IFERROR(INDEX(PRENOTAZIONI!$A:$A,SMALL(PRENOTAZIONI!$AK:$AK,28)),"")</f>
        <v/>
      </c>
      <c r="T31" s="31" t="str">
        <f>IFERROR(INDEX(PRENOTAZIONI!$B:$B,SMALL(PRENOTAZIONI!$AK:$AK,28)),"")</f>
        <v/>
      </c>
      <c r="U31" s="32" t="str">
        <f t="shared" si="5"/>
        <v/>
      </c>
      <c r="V31" s="34" t="str">
        <f>IFERROR(INDEX(PRENOTAZIONI!$E:$E,SMALL(PRENOTAZIONI!$AK:$AK,28)),"")</f>
        <v/>
      </c>
      <c r="W31" s="34" t="str">
        <f>IFERROR(INDEX(PRENOTAZIONI!$F:$F,SMALL(PRENOTAZIONI!$AK:$AK,28)),"")</f>
        <v/>
      </c>
      <c r="X31" s="35" t="str">
        <f>IFERROR(INDEX(PRENOTAZIONI!$H:$H,SMALL(PRENOTAZIONI!$AK:$AK,28)),"")</f>
        <v/>
      </c>
      <c r="Y31" s="34" t="str">
        <f>IFERROR(INDEX(PRENOTAZIONI!$K:$K,SMALL(PRENOTAZIONI!$AK:$AK,28)),"")</f>
        <v/>
      </c>
      <c r="Z31" s="34"/>
      <c r="AA31" s="34"/>
      <c r="AB31" s="40" t="str">
        <f t="shared" si="6"/>
        <v/>
      </c>
      <c r="AC31" s="41" t="str">
        <f t="shared" si="7"/>
        <v/>
      </c>
    </row>
    <row r="32" spans="1:41" ht="22" customHeight="1" x14ac:dyDescent="0.2">
      <c r="A32" s="31" t="str">
        <f>IFERROR(INDEX(PRENOTAZIONI!$A:$A,SMALL(PRENOTAZIONI!$W:$W,29)),"")</f>
        <v/>
      </c>
      <c r="B32" s="31" t="str">
        <f>IFERROR(INDEX(PRENOTAZIONI!$B:$B,SMALL(PRENOTAZIONI!$W:$W,29)),"")</f>
        <v/>
      </c>
      <c r="C32" s="32" t="str">
        <f t="shared" si="0"/>
        <v/>
      </c>
      <c r="D32" s="34" t="str">
        <f>IFERROR(INDEX(PRENOTAZIONI!$E:$E,SMALL(PRENOTAZIONI!$W:$W,29)),"")</f>
        <v/>
      </c>
      <c r="E32" s="34" t="str">
        <f>IFERROR(INDEX(PRENOTAZIONI!$F:$F,SMALL(PRENOTAZIONI!$W:$W,29)),"")</f>
        <v/>
      </c>
      <c r="F32" s="34" t="str">
        <f>IFERROR(INDEX(PRENOTAZIONI!$G:$G,SMALL(PRENOTAZIONI!$W:$W,29)),"")</f>
        <v/>
      </c>
      <c r="G32" s="35" t="str">
        <f>IFERROR(INDEX(PRENOTAZIONI!$H:$H,SMALL(PRENOTAZIONI!$W:$W,29)),"")</f>
        <v/>
      </c>
      <c r="H32" s="146" t="str">
        <f t="shared" si="1"/>
        <v/>
      </c>
      <c r="I32" s="35" t="str">
        <f t="shared" si="8"/>
        <v/>
      </c>
      <c r="J32" s="149" t="str">
        <f t="shared" si="9"/>
        <v/>
      </c>
      <c r="K32" s="35" t="str">
        <f>IFERROR(INDEX(PRENOTAZIONI!$L:$L,SMALL(PRENOTAZIONI!$W:$W,29)),"")</f>
        <v/>
      </c>
      <c r="L32" s="150" t="str">
        <f t="shared" si="2"/>
        <v/>
      </c>
      <c r="M32" s="35" t="str">
        <f t="shared" si="10"/>
        <v/>
      </c>
      <c r="N32" s="35"/>
      <c r="O32" s="43"/>
      <c r="P32" s="150" t="str">
        <f t="shared" si="4"/>
        <v/>
      </c>
      <c r="Q32" s="47" t="str">
        <f>IFERROR(INDEX(PRENOTAZIONI!$R:$R,SMALL(PRENOTAZIONI!$W:$W,29)),"")</f>
        <v/>
      </c>
      <c r="R32" s="101"/>
      <c r="S32" s="99" t="str">
        <f>IFERROR(INDEX(PRENOTAZIONI!$A:$A,SMALL(PRENOTAZIONI!$AK:$AK,29)),"")</f>
        <v/>
      </c>
      <c r="T32" s="31" t="str">
        <f>IFERROR(INDEX(PRENOTAZIONI!$B:$B,SMALL(PRENOTAZIONI!$AK:$AK,29)),"")</f>
        <v/>
      </c>
      <c r="U32" s="32" t="str">
        <f t="shared" si="5"/>
        <v/>
      </c>
      <c r="V32" s="34" t="str">
        <f>IFERROR(INDEX(PRENOTAZIONI!$E:$E,SMALL(PRENOTAZIONI!$AK:$AK,29)),"")</f>
        <v/>
      </c>
      <c r="W32" s="34" t="str">
        <f>IFERROR(INDEX(PRENOTAZIONI!$F:$F,SMALL(PRENOTAZIONI!$AK:$AK,29)),"")</f>
        <v/>
      </c>
      <c r="X32" s="35" t="str">
        <f>IFERROR(INDEX(PRENOTAZIONI!$H:$H,SMALL(PRENOTAZIONI!$AK:$AK,29)),"")</f>
        <v/>
      </c>
      <c r="Y32" s="34" t="str">
        <f>IFERROR(INDEX(PRENOTAZIONI!$K:$K,SMALL(PRENOTAZIONI!$AK:$AK,29)),"")</f>
        <v/>
      </c>
      <c r="Z32" s="34"/>
      <c r="AA32" s="34"/>
      <c r="AB32" s="40" t="str">
        <f t="shared" si="6"/>
        <v/>
      </c>
      <c r="AC32" s="41" t="str">
        <f t="shared" si="7"/>
        <v/>
      </c>
    </row>
    <row r="33" spans="1:29" ht="22" customHeight="1" x14ac:dyDescent="0.2">
      <c r="A33" s="31" t="str">
        <f>IFERROR(INDEX(PRENOTAZIONI!$A:$A,SMALL(PRENOTAZIONI!$W:$W,30)),"")</f>
        <v/>
      </c>
      <c r="B33" s="31" t="str">
        <f>IFERROR(INDEX(PRENOTAZIONI!$B:$B,SMALL(PRENOTAZIONI!$W:$W,30)),"")</f>
        <v/>
      </c>
      <c r="C33" s="32" t="str">
        <f t="shared" si="0"/>
        <v/>
      </c>
      <c r="D33" s="34" t="str">
        <f>IFERROR(INDEX(PRENOTAZIONI!$E:$E,SMALL(PRENOTAZIONI!$W:$W,30)),"")</f>
        <v/>
      </c>
      <c r="E33" s="34" t="str">
        <f>IFERROR(INDEX(PRENOTAZIONI!$F:$F,SMALL(PRENOTAZIONI!$W:$W,30)),"")</f>
        <v/>
      </c>
      <c r="F33" s="34" t="str">
        <f>IFERROR(INDEX(PRENOTAZIONI!$G:$G,SMALL(PRENOTAZIONI!$W:$W,30)),"")</f>
        <v/>
      </c>
      <c r="G33" s="35" t="str">
        <f>IFERROR(INDEX(PRENOTAZIONI!$H:$H,SMALL(PRENOTAZIONI!$W:$W,30)),"")</f>
        <v/>
      </c>
      <c r="H33" s="146" t="str">
        <f t="shared" si="1"/>
        <v/>
      </c>
      <c r="I33" s="35" t="str">
        <f t="shared" si="8"/>
        <v/>
      </c>
      <c r="J33" s="149" t="str">
        <f t="shared" si="9"/>
        <v/>
      </c>
      <c r="K33" s="35" t="str">
        <f>IFERROR(INDEX(PRENOTAZIONI!$L:$L,SMALL(PRENOTAZIONI!$W:$W,30)),"")</f>
        <v/>
      </c>
      <c r="L33" s="150" t="str">
        <f t="shared" si="2"/>
        <v/>
      </c>
      <c r="M33" s="35" t="str">
        <f t="shared" si="10"/>
        <v/>
      </c>
      <c r="N33" s="35"/>
      <c r="O33" s="43"/>
      <c r="P33" s="150" t="str">
        <f t="shared" si="4"/>
        <v/>
      </c>
      <c r="Q33" s="47" t="str">
        <f>IFERROR(INDEX(PRENOTAZIONI!$R:$R,SMALL(PRENOTAZIONI!$W:$W,30)),"")</f>
        <v/>
      </c>
      <c r="R33" s="101"/>
      <c r="S33" s="99" t="str">
        <f>IFERROR(INDEX(PRENOTAZIONI!$A:$A,SMALL(PRENOTAZIONI!$AK:$AK,30)),"")</f>
        <v/>
      </c>
      <c r="T33" s="31" t="str">
        <f>IFERROR(INDEX(PRENOTAZIONI!$B:$B,SMALL(PRENOTAZIONI!$AK:$AK,30)),"")</f>
        <v/>
      </c>
      <c r="U33" s="32" t="str">
        <f t="shared" si="5"/>
        <v/>
      </c>
      <c r="V33" s="34" t="str">
        <f>IFERROR(INDEX(PRENOTAZIONI!$E:$E,SMALL(PRENOTAZIONI!$AK:$AK,30)),"")</f>
        <v/>
      </c>
      <c r="W33" s="34" t="str">
        <f>IFERROR(INDEX(PRENOTAZIONI!$F:$F,SMALL(PRENOTAZIONI!$AK:$AK,30)),"")</f>
        <v/>
      </c>
      <c r="X33" s="35" t="str">
        <f>IFERROR(INDEX(PRENOTAZIONI!$H:$H,SMALL(PRENOTAZIONI!$AK:$AK,30)),"")</f>
        <v/>
      </c>
      <c r="Y33" s="34" t="str">
        <f>IFERROR(INDEX(PRENOTAZIONI!$K:$K,SMALL(PRENOTAZIONI!$AK:$AK,30)),"")</f>
        <v/>
      </c>
      <c r="Z33" s="34"/>
      <c r="AA33" s="34"/>
      <c r="AB33" s="40" t="str">
        <f t="shared" si="6"/>
        <v/>
      </c>
      <c r="AC33" s="41" t="str">
        <f t="shared" si="7"/>
        <v/>
      </c>
    </row>
    <row r="34" spans="1:29" ht="24" customHeight="1" thickBot="1" x14ac:dyDescent="0.25">
      <c r="A34" s="31" t="str">
        <f>IFERROR(INDEX(PRENOTAZIONI!$A:$A,SMALL(PRENOTAZIONI!$W:$W,31)),"")</f>
        <v/>
      </c>
      <c r="B34" s="31" t="str">
        <f>IFERROR(INDEX(PRENOTAZIONI!$B:$B,SMALL(PRENOTAZIONI!$W:$W,31)),"")</f>
        <v/>
      </c>
      <c r="C34" s="32" t="str">
        <f t="shared" si="0"/>
        <v/>
      </c>
      <c r="D34" s="34" t="str">
        <f>IFERROR(INDEX(PRENOTAZIONI!$E:$E,SMALL(PRENOTAZIONI!$W:$W,31)),"")</f>
        <v/>
      </c>
      <c r="E34" s="34" t="str">
        <f>IFERROR(INDEX(PRENOTAZIONI!$F:$F,SMALL(PRENOTAZIONI!$W:$W,31)),"")</f>
        <v/>
      </c>
      <c r="F34" s="34" t="str">
        <f>IFERROR(INDEX(PRENOTAZIONI!$G:$G,SMALL(PRENOTAZIONI!$W:$W,31)),"")</f>
        <v/>
      </c>
      <c r="G34" s="35" t="str">
        <f>IFERROR(INDEX(PRENOTAZIONI!$H:$H,SMALL(PRENOTAZIONI!$W:$W,31)),"")</f>
        <v/>
      </c>
      <c r="H34" s="146" t="str">
        <f t="shared" si="1"/>
        <v/>
      </c>
      <c r="I34" s="35" t="str">
        <f t="shared" si="8"/>
        <v/>
      </c>
      <c r="J34" s="149" t="str">
        <f t="shared" si="9"/>
        <v/>
      </c>
      <c r="K34" s="35" t="str">
        <f>IFERROR(INDEX(PRENOTAZIONI!$L:$L,SMALL(PRENOTAZIONI!$W:$W,31)),"")</f>
        <v/>
      </c>
      <c r="L34" s="150" t="str">
        <f t="shared" si="2"/>
        <v/>
      </c>
      <c r="M34" s="35" t="str">
        <f t="shared" si="10"/>
        <v/>
      </c>
      <c r="N34" s="35"/>
      <c r="O34" s="43"/>
      <c r="P34" s="150" t="str">
        <f t="shared" si="4"/>
        <v/>
      </c>
      <c r="Q34" s="47" t="str">
        <f>IFERROR(INDEX(PRENOTAZIONI!$R:$R,SMALL(PRENOTAZIONI!$W:$W,31)),"")</f>
        <v/>
      </c>
      <c r="R34" s="49"/>
      <c r="S34" s="84" t="s">
        <v>147</v>
      </c>
      <c r="T34" s="42"/>
      <c r="U34" s="42"/>
      <c r="V34" s="42"/>
      <c r="W34" s="42"/>
      <c r="X34" s="21">
        <f>SUM(V4:V33)</f>
        <v>0</v>
      </c>
      <c r="Y34" s="42"/>
      <c r="Z34" s="42"/>
      <c r="AA34" s="42"/>
      <c r="AB34" s="21">
        <f>SUM(Z4:Z33)</f>
        <v>0</v>
      </c>
      <c r="AC34" s="21">
        <f>SUM(AA4:AA33)</f>
        <v>0</v>
      </c>
    </row>
    <row r="35" spans="1:29" ht="22" customHeight="1" x14ac:dyDescent="0.25">
      <c r="A35" s="31" t="str">
        <f>IFERROR(INDEX(PRENOTAZIONI!$A:$A,SMALL(PRENOTAZIONI!$W:$W,32)),"")</f>
        <v/>
      </c>
      <c r="B35" s="31" t="str">
        <f>IFERROR(INDEX(PRENOTAZIONI!$B:$B,SMALL(PRENOTAZIONI!$W:$W,32)),"")</f>
        <v/>
      </c>
      <c r="C35" s="32" t="str">
        <f t="shared" si="0"/>
        <v/>
      </c>
      <c r="D35" s="34" t="str">
        <f>IFERROR(INDEX(PRENOTAZIONI!$E:$E,SMALL(PRENOTAZIONI!$W:$W,32)),"")</f>
        <v/>
      </c>
      <c r="E35" s="34" t="str">
        <f>IFERROR(INDEX(PRENOTAZIONI!$F:$F,SMALL(PRENOTAZIONI!$W:$W,32)),"")</f>
        <v/>
      </c>
      <c r="F35" s="34" t="str">
        <f>IFERROR(INDEX(PRENOTAZIONI!$G:$G,SMALL(PRENOTAZIONI!$W:$W,32)),"")</f>
        <v/>
      </c>
      <c r="G35" s="35" t="str">
        <f>IFERROR(INDEX(PRENOTAZIONI!$H:$H,SMALL(PRENOTAZIONI!$W:$W,32)),"")</f>
        <v/>
      </c>
      <c r="H35" s="146" t="str">
        <f t="shared" si="1"/>
        <v/>
      </c>
      <c r="I35" s="35" t="str">
        <f t="shared" si="8"/>
        <v/>
      </c>
      <c r="J35" s="149" t="str">
        <f t="shared" si="9"/>
        <v/>
      </c>
      <c r="K35" s="35" t="str">
        <f>IFERROR(INDEX(PRENOTAZIONI!$L:$L,SMALL(PRENOTAZIONI!$W:$W,32)),"")</f>
        <v/>
      </c>
      <c r="L35" s="150" t="str">
        <f t="shared" si="2"/>
        <v/>
      </c>
      <c r="M35" s="35" t="str">
        <f t="shared" si="10"/>
        <v/>
      </c>
      <c r="N35" s="35"/>
      <c r="O35" s="43"/>
      <c r="P35" s="150" t="str">
        <f t="shared" si="4"/>
        <v/>
      </c>
      <c r="Q35" s="47" t="str">
        <f>IFERROR(INDEX(PRENOTAZIONI!$R:$R,SMALL(PRENOTAZIONI!$W:$W,32)),"")</f>
        <v/>
      </c>
      <c r="S35" s="78"/>
    </row>
    <row r="36" spans="1:29" ht="22" customHeight="1" x14ac:dyDescent="0.25">
      <c r="A36" s="31" t="str">
        <f>IFERROR(INDEX(PRENOTAZIONI!$A:$A,SMALL(PRENOTAZIONI!$W:$W,33)),"")</f>
        <v/>
      </c>
      <c r="B36" s="31" t="str">
        <f>IFERROR(INDEX(PRENOTAZIONI!$B:$B,SMALL(PRENOTAZIONI!$W:$W,33)),"")</f>
        <v/>
      </c>
      <c r="C36" s="32" t="str">
        <f t="shared" ref="C36:C63" si="12">IF(A36&lt;&gt;"",B36-A36,"")</f>
        <v/>
      </c>
      <c r="D36" s="34" t="str">
        <f>IFERROR(INDEX(PRENOTAZIONI!$E:$E,SMALL(PRENOTAZIONI!$W:$W,33)),"")</f>
        <v/>
      </c>
      <c r="E36" s="34" t="str">
        <f>IFERROR(INDEX(PRENOTAZIONI!$F:$F,SMALL(PRENOTAZIONI!$W:$W,33)),"")</f>
        <v/>
      </c>
      <c r="F36" s="34" t="str">
        <f>IFERROR(INDEX(PRENOTAZIONI!$G:$G,SMALL(PRENOTAZIONI!$W:$W,33)),"")</f>
        <v/>
      </c>
      <c r="G36" s="35" t="str">
        <f>IFERROR(INDEX(PRENOTAZIONI!$H:$H,SMALL(PRENOTAZIONI!$W:$W,33)),"")</f>
        <v/>
      </c>
      <c r="H36" s="146" t="str">
        <f t="shared" ref="H36:H63" si="13">IF(AND(G36&lt;&gt;"",C36&lt;&gt;"",C36&lt;&gt;0),G36/C36,"")</f>
        <v/>
      </c>
      <c r="I36" s="35" t="str">
        <f t="shared" si="8"/>
        <v/>
      </c>
      <c r="J36" s="149" t="str">
        <f t="shared" si="9"/>
        <v/>
      </c>
      <c r="K36" s="35" t="str">
        <f>IFERROR(INDEX(PRENOTAZIONI!$L:$L,SMALL(PRENOTAZIONI!$W:$W,33)),"")</f>
        <v/>
      </c>
      <c r="L36" s="150" t="str">
        <f t="shared" ref="L36:L63" si="14">IF(G36&lt;&gt;"",G36*0.21,"")</f>
        <v/>
      </c>
      <c r="M36" s="35" t="str">
        <f t="shared" si="10"/>
        <v/>
      </c>
      <c r="N36" s="35"/>
      <c r="O36" s="43"/>
      <c r="P36" s="150" t="str">
        <f t="shared" ref="P36:P63" si="15">IF(G36&lt;&gt;"",G36-I36-J36-L36-M36-N36,"")</f>
        <v/>
      </c>
      <c r="Q36" s="47" t="str">
        <f>IFERROR(INDEX(PRENOTAZIONI!$R:$R,SMALL(PRENOTAZIONI!$W:$W,33)),"")</f>
        <v/>
      </c>
      <c r="S36" s="78"/>
    </row>
    <row r="37" spans="1:29" ht="22" customHeight="1" x14ac:dyDescent="0.25">
      <c r="A37" s="31" t="str">
        <f>IFERROR(INDEX(PRENOTAZIONI!$A:$A,SMALL(PRENOTAZIONI!$W:$W,34)),"")</f>
        <v/>
      </c>
      <c r="B37" s="31" t="str">
        <f>IFERROR(INDEX(PRENOTAZIONI!$B:$B,SMALL(PRENOTAZIONI!$W:$W,34)),"")</f>
        <v/>
      </c>
      <c r="C37" s="32" t="str">
        <f t="shared" si="12"/>
        <v/>
      </c>
      <c r="D37" s="34" t="str">
        <f>IFERROR(INDEX(PRENOTAZIONI!$E:$E,SMALL(PRENOTAZIONI!$W:$W,34)),"")</f>
        <v/>
      </c>
      <c r="E37" s="34" t="str">
        <f>IFERROR(INDEX(PRENOTAZIONI!$F:$F,SMALL(PRENOTAZIONI!$W:$W,34)),"")</f>
        <v/>
      </c>
      <c r="F37" s="34" t="str">
        <f>IFERROR(INDEX(PRENOTAZIONI!$G:$G,SMALL(PRENOTAZIONI!$W:$W,34)),"")</f>
        <v/>
      </c>
      <c r="G37" s="35" t="str">
        <f>IFERROR(INDEX(PRENOTAZIONI!$H:$H,SMALL(PRENOTAZIONI!$W:$W,34)),"")</f>
        <v/>
      </c>
      <c r="H37" s="146" t="str">
        <f t="shared" si="13"/>
        <v/>
      </c>
      <c r="I37" s="35" t="str">
        <f t="shared" si="8"/>
        <v/>
      </c>
      <c r="J37" s="149" t="str">
        <f t="shared" si="9"/>
        <v/>
      </c>
      <c r="K37" s="35" t="str">
        <f>IFERROR(INDEX(PRENOTAZIONI!$L:$L,SMALL(PRENOTAZIONI!$W:$W,34)),"")</f>
        <v/>
      </c>
      <c r="L37" s="150" t="str">
        <f t="shared" si="14"/>
        <v/>
      </c>
      <c r="M37" s="35" t="str">
        <f t="shared" si="10"/>
        <v/>
      </c>
      <c r="N37" s="35"/>
      <c r="O37" s="43"/>
      <c r="P37" s="150" t="str">
        <f t="shared" si="15"/>
        <v/>
      </c>
      <c r="Q37" s="47" t="str">
        <f>IFERROR(INDEX(PRENOTAZIONI!$R:$R,SMALL(PRENOTAZIONI!$W:$W,34)),"")</f>
        <v/>
      </c>
      <c r="S37" s="78"/>
    </row>
    <row r="38" spans="1:29" ht="22" customHeight="1" x14ac:dyDescent="0.25">
      <c r="A38" s="31" t="str">
        <f>IFERROR(INDEX(PRENOTAZIONI!$A:$A,SMALL(PRENOTAZIONI!$W:$W,35)),"")</f>
        <v/>
      </c>
      <c r="B38" s="31" t="str">
        <f>IFERROR(INDEX(PRENOTAZIONI!$B:$B,SMALL(PRENOTAZIONI!$W:$W,35)),"")</f>
        <v/>
      </c>
      <c r="C38" s="32" t="str">
        <f t="shared" si="12"/>
        <v/>
      </c>
      <c r="D38" s="34" t="str">
        <f>IFERROR(INDEX(PRENOTAZIONI!$E:$E,SMALL(PRENOTAZIONI!$W:$W,35)),"")</f>
        <v/>
      </c>
      <c r="E38" s="34" t="str">
        <f>IFERROR(INDEX(PRENOTAZIONI!$F:$F,SMALL(PRENOTAZIONI!$W:$W,35)),"")</f>
        <v/>
      </c>
      <c r="F38" s="34" t="str">
        <f>IFERROR(INDEX(PRENOTAZIONI!$G:$G,SMALL(PRENOTAZIONI!$W:$W,35)),"")</f>
        <v/>
      </c>
      <c r="G38" s="35" t="str">
        <f>IFERROR(INDEX(PRENOTAZIONI!$H:$H,SMALL(PRENOTAZIONI!$W:$W,35)),"")</f>
        <v/>
      </c>
      <c r="H38" s="146" t="str">
        <f t="shared" si="13"/>
        <v/>
      </c>
      <c r="I38" s="35" t="str">
        <f t="shared" si="8"/>
        <v/>
      </c>
      <c r="J38" s="149" t="str">
        <f t="shared" ref="J38:J63" si="16">IF(H38&lt;&gt;"",H38*0.22,"")</f>
        <v/>
      </c>
      <c r="K38" s="35" t="str">
        <f>IFERROR(INDEX(PRENOTAZIONI!$L:$L,SMALL(PRENOTAZIONI!$W:$W,35)),"")</f>
        <v/>
      </c>
      <c r="L38" s="150" t="str">
        <f t="shared" si="14"/>
        <v/>
      </c>
      <c r="M38" s="35" t="str">
        <f t="shared" si="10"/>
        <v/>
      </c>
      <c r="N38" s="35"/>
      <c r="O38" s="43"/>
      <c r="P38" s="150" t="str">
        <f t="shared" si="15"/>
        <v/>
      </c>
      <c r="Q38" s="47" t="str">
        <f>IFERROR(INDEX(PRENOTAZIONI!$R:$R,SMALL(PRENOTAZIONI!$W:$W,35)),"")</f>
        <v/>
      </c>
      <c r="S38" s="78"/>
    </row>
    <row r="39" spans="1:29" ht="22" customHeight="1" x14ac:dyDescent="0.25">
      <c r="A39" s="31" t="str">
        <f>IFERROR(INDEX(PRENOTAZIONI!$A:$A,SMALL(PRENOTAZIONI!$W:$W,36)),"")</f>
        <v/>
      </c>
      <c r="B39" s="31" t="str">
        <f>IFERROR(INDEX(PRENOTAZIONI!$B:$B,SMALL(PRENOTAZIONI!$W:$W,36)),"")</f>
        <v/>
      </c>
      <c r="C39" s="32" t="str">
        <f t="shared" si="12"/>
        <v/>
      </c>
      <c r="D39" s="34" t="str">
        <f>IFERROR(INDEX(PRENOTAZIONI!$E:$E,SMALL(PRENOTAZIONI!$W:$W,36)),"")</f>
        <v/>
      </c>
      <c r="E39" s="34" t="str">
        <f>IFERROR(INDEX(PRENOTAZIONI!$F:$F,SMALL(PRENOTAZIONI!$W:$W,36)),"")</f>
        <v/>
      </c>
      <c r="F39" s="34" t="str">
        <f>IFERROR(INDEX(PRENOTAZIONI!$G:$G,SMALL(PRENOTAZIONI!$W:$W,36)),"")</f>
        <v/>
      </c>
      <c r="G39" s="35" t="str">
        <f>IFERROR(INDEX(PRENOTAZIONI!$H:$H,SMALL(PRENOTAZIONI!$W:$W,36)),"")</f>
        <v/>
      </c>
      <c r="H39" s="146" t="str">
        <f t="shared" si="13"/>
        <v/>
      </c>
      <c r="I39" s="35" t="str">
        <f t="shared" si="8"/>
        <v/>
      </c>
      <c r="J39" s="149" t="str">
        <f t="shared" si="16"/>
        <v/>
      </c>
      <c r="K39" s="35" t="str">
        <f>IFERROR(INDEX(PRENOTAZIONI!$L:$L,SMALL(PRENOTAZIONI!$W:$W,36)),"")</f>
        <v/>
      </c>
      <c r="L39" s="150" t="str">
        <f t="shared" si="14"/>
        <v/>
      </c>
      <c r="M39" s="35" t="str">
        <f t="shared" si="10"/>
        <v/>
      </c>
      <c r="N39" s="35"/>
      <c r="O39" s="43"/>
      <c r="P39" s="150" t="str">
        <f t="shared" si="15"/>
        <v/>
      </c>
      <c r="Q39" s="47" t="str">
        <f>IFERROR(INDEX(PRENOTAZIONI!$R:$R,SMALL(PRENOTAZIONI!$W:$W,36)),"")</f>
        <v/>
      </c>
      <c r="S39" s="78"/>
    </row>
    <row r="40" spans="1:29" ht="22" customHeight="1" x14ac:dyDescent="0.25">
      <c r="A40" s="31" t="str">
        <f>IFERROR(INDEX(PRENOTAZIONI!$A:$A,SMALL(PRENOTAZIONI!$W:$W,37)),"")</f>
        <v/>
      </c>
      <c r="B40" s="31" t="str">
        <f>IFERROR(INDEX(PRENOTAZIONI!$B:$B,SMALL(PRENOTAZIONI!$W:$W,37)),"")</f>
        <v/>
      </c>
      <c r="C40" s="32" t="str">
        <f t="shared" si="12"/>
        <v/>
      </c>
      <c r="D40" s="34" t="str">
        <f>IFERROR(INDEX(PRENOTAZIONI!$E:$E,SMALL(PRENOTAZIONI!$W:$W,37)),"")</f>
        <v/>
      </c>
      <c r="E40" s="34" t="str">
        <f>IFERROR(INDEX(PRENOTAZIONI!$F:$F,SMALL(PRENOTAZIONI!$W:$W,37)),"")</f>
        <v/>
      </c>
      <c r="F40" s="34" t="str">
        <f>IFERROR(INDEX(PRENOTAZIONI!$G:$G,SMALL(PRENOTAZIONI!$W:$W,37)),"")</f>
        <v/>
      </c>
      <c r="G40" s="35" t="str">
        <f>IFERROR(INDEX(PRENOTAZIONI!$H:$H,SMALL(PRENOTAZIONI!$W:$W,37)),"")</f>
        <v/>
      </c>
      <c r="H40" s="146" t="str">
        <f t="shared" si="13"/>
        <v/>
      </c>
      <c r="I40" s="35" t="str">
        <f t="shared" si="8"/>
        <v/>
      </c>
      <c r="J40" s="149" t="str">
        <f t="shared" si="16"/>
        <v/>
      </c>
      <c r="K40" s="35" t="str">
        <f>IFERROR(INDEX(PRENOTAZIONI!$L:$L,SMALL(PRENOTAZIONI!$W:$W,37)),"")</f>
        <v/>
      </c>
      <c r="L40" s="150" t="str">
        <f t="shared" si="14"/>
        <v/>
      </c>
      <c r="M40" s="35" t="str">
        <f t="shared" si="10"/>
        <v/>
      </c>
      <c r="N40" s="35"/>
      <c r="O40" s="43"/>
      <c r="P40" s="150" t="str">
        <f t="shared" si="15"/>
        <v/>
      </c>
      <c r="Q40" s="47" t="str">
        <f>IFERROR(INDEX(PRENOTAZIONI!$R:$R,SMALL(PRENOTAZIONI!$W:$W,37)),"")</f>
        <v/>
      </c>
      <c r="S40" s="78"/>
    </row>
    <row r="41" spans="1:29" ht="22" customHeight="1" x14ac:dyDescent="0.25">
      <c r="A41" s="31" t="str">
        <f>IFERROR(INDEX(PRENOTAZIONI!$A:$A,SMALL(PRENOTAZIONI!$W:$W,38)),"")</f>
        <v/>
      </c>
      <c r="B41" s="31" t="str">
        <f>IFERROR(INDEX(PRENOTAZIONI!$B:$B,SMALL(PRENOTAZIONI!$W:$W,38)),"")</f>
        <v/>
      </c>
      <c r="C41" s="32" t="str">
        <f t="shared" si="12"/>
        <v/>
      </c>
      <c r="D41" s="34" t="str">
        <f>IFERROR(INDEX(PRENOTAZIONI!$E:$E,SMALL(PRENOTAZIONI!$W:$W,38)),"")</f>
        <v/>
      </c>
      <c r="E41" s="34" t="str">
        <f>IFERROR(INDEX(PRENOTAZIONI!$F:$F,SMALL(PRENOTAZIONI!$W:$W,38)),"")</f>
        <v/>
      </c>
      <c r="F41" s="34" t="str">
        <f>IFERROR(INDEX(PRENOTAZIONI!$G:$G,SMALL(PRENOTAZIONI!$W:$W,38)),"")</f>
        <v/>
      </c>
      <c r="G41" s="35" t="str">
        <f>IFERROR(INDEX(PRENOTAZIONI!$H:$H,SMALL(PRENOTAZIONI!$W:$W,38)),"")</f>
        <v/>
      </c>
      <c r="H41" s="146" t="str">
        <f t="shared" si="13"/>
        <v/>
      </c>
      <c r="I41" s="35" t="str">
        <f t="shared" si="8"/>
        <v/>
      </c>
      <c r="J41" s="149" t="str">
        <f t="shared" si="16"/>
        <v/>
      </c>
      <c r="K41" s="35" t="str">
        <f>IFERROR(INDEX(PRENOTAZIONI!$L:$L,SMALL(PRENOTAZIONI!$W:$W,38)),"")</f>
        <v/>
      </c>
      <c r="L41" s="150" t="str">
        <f t="shared" si="14"/>
        <v/>
      </c>
      <c r="M41" s="35" t="str">
        <f t="shared" si="10"/>
        <v/>
      </c>
      <c r="N41" s="35"/>
      <c r="O41" s="43"/>
      <c r="P41" s="150" t="str">
        <f t="shared" si="15"/>
        <v/>
      </c>
      <c r="Q41" s="47" t="str">
        <f>IFERROR(INDEX(PRENOTAZIONI!$R:$R,SMALL(PRENOTAZIONI!$W:$W,38)),"")</f>
        <v/>
      </c>
      <c r="S41" s="78"/>
    </row>
    <row r="42" spans="1:29" ht="22" customHeight="1" x14ac:dyDescent="0.25">
      <c r="A42" s="31" t="str">
        <f>IFERROR(INDEX(PRENOTAZIONI!$A:$A,SMALL(PRENOTAZIONI!$W:$W,39)),"")</f>
        <v/>
      </c>
      <c r="B42" s="31" t="str">
        <f>IFERROR(INDEX(PRENOTAZIONI!$B:$B,SMALL(PRENOTAZIONI!$W:$W,39)),"")</f>
        <v/>
      </c>
      <c r="C42" s="32" t="str">
        <f t="shared" si="12"/>
        <v/>
      </c>
      <c r="D42" s="34" t="str">
        <f>IFERROR(INDEX(PRENOTAZIONI!$E:$E,SMALL(PRENOTAZIONI!$W:$W,39)),"")</f>
        <v/>
      </c>
      <c r="E42" s="34" t="str">
        <f>IFERROR(INDEX(PRENOTAZIONI!$F:$F,SMALL(PRENOTAZIONI!$W:$W,39)),"")</f>
        <v/>
      </c>
      <c r="F42" s="34" t="str">
        <f>IFERROR(INDEX(PRENOTAZIONI!$G:$G,SMALL(PRENOTAZIONI!$W:$W,39)),"")</f>
        <v/>
      </c>
      <c r="G42" s="35" t="str">
        <f>IFERROR(INDEX(PRENOTAZIONI!$H:$H,SMALL(PRENOTAZIONI!$W:$W,39)),"")</f>
        <v/>
      </c>
      <c r="H42" s="146" t="str">
        <f t="shared" si="13"/>
        <v/>
      </c>
      <c r="I42" s="35" t="str">
        <f t="shared" si="8"/>
        <v/>
      </c>
      <c r="J42" s="149" t="str">
        <f t="shared" si="16"/>
        <v/>
      </c>
      <c r="K42" s="35" t="str">
        <f>IFERROR(INDEX(PRENOTAZIONI!$L:$L,SMALL(PRENOTAZIONI!$W:$W,39)),"")</f>
        <v/>
      </c>
      <c r="L42" s="150" t="str">
        <f t="shared" si="14"/>
        <v/>
      </c>
      <c r="M42" s="35" t="str">
        <f t="shared" si="10"/>
        <v/>
      </c>
      <c r="N42" s="35"/>
      <c r="O42" s="43"/>
      <c r="P42" s="150" t="str">
        <f t="shared" si="15"/>
        <v/>
      </c>
      <c r="Q42" s="47" t="str">
        <f>IFERROR(INDEX(PRENOTAZIONI!$R:$R,SMALL(PRENOTAZIONI!$W:$W,39)),"")</f>
        <v/>
      </c>
      <c r="S42" s="78"/>
    </row>
    <row r="43" spans="1:29" ht="22" customHeight="1" x14ac:dyDescent="0.25">
      <c r="A43" s="31" t="str">
        <f>IFERROR(INDEX(PRENOTAZIONI!$A:$A,SMALL(PRENOTAZIONI!$W:$W,40)),"")</f>
        <v/>
      </c>
      <c r="B43" s="31" t="str">
        <f>IFERROR(INDEX(PRENOTAZIONI!$B:$B,SMALL(PRENOTAZIONI!$W:$W,40)),"")</f>
        <v/>
      </c>
      <c r="C43" s="32" t="str">
        <f t="shared" si="12"/>
        <v/>
      </c>
      <c r="D43" s="34" t="str">
        <f>IFERROR(INDEX(PRENOTAZIONI!$E:$E,SMALL(PRENOTAZIONI!$W:$W,40)),"")</f>
        <v/>
      </c>
      <c r="E43" s="34" t="str">
        <f>IFERROR(INDEX(PRENOTAZIONI!$F:$F,SMALL(PRENOTAZIONI!$W:$W,40)),"")</f>
        <v/>
      </c>
      <c r="F43" s="34" t="str">
        <f>IFERROR(INDEX(PRENOTAZIONI!$G:$G,SMALL(PRENOTAZIONI!$W:$W,40)),"")</f>
        <v/>
      </c>
      <c r="G43" s="35" t="str">
        <f>IFERROR(INDEX(PRENOTAZIONI!$H:$H,SMALL(PRENOTAZIONI!$W:$W,40)),"")</f>
        <v/>
      </c>
      <c r="H43" s="146" t="str">
        <f t="shared" si="13"/>
        <v/>
      </c>
      <c r="I43" s="35" t="str">
        <f t="shared" si="8"/>
        <v/>
      </c>
      <c r="J43" s="149" t="str">
        <f t="shared" si="16"/>
        <v/>
      </c>
      <c r="K43" s="35" t="str">
        <f>IFERROR(INDEX(PRENOTAZIONI!$L:$L,SMALL(PRENOTAZIONI!$W:$W,40)),"")</f>
        <v/>
      </c>
      <c r="L43" s="150" t="str">
        <f t="shared" si="14"/>
        <v/>
      </c>
      <c r="M43" s="35" t="str">
        <f t="shared" si="10"/>
        <v/>
      </c>
      <c r="N43" s="35"/>
      <c r="O43" s="43"/>
      <c r="P43" s="150" t="str">
        <f t="shared" si="15"/>
        <v/>
      </c>
      <c r="Q43" s="47" t="str">
        <f>IFERROR(INDEX(PRENOTAZIONI!$R:$R,SMALL(PRENOTAZIONI!$W:$W,40)),"")</f>
        <v/>
      </c>
      <c r="S43" s="78"/>
    </row>
    <row r="44" spans="1:29" ht="22" customHeight="1" x14ac:dyDescent="0.25">
      <c r="A44" s="31" t="str">
        <f>IFERROR(INDEX(PRENOTAZIONI!$A:$A,SMALL(PRENOTAZIONI!$W:$W,41)),"")</f>
        <v/>
      </c>
      <c r="B44" s="31" t="str">
        <f>IFERROR(INDEX(PRENOTAZIONI!$B:$B,SMALL(PRENOTAZIONI!$W:$W,41)),"")</f>
        <v/>
      </c>
      <c r="C44" s="32" t="str">
        <f t="shared" si="12"/>
        <v/>
      </c>
      <c r="D44" s="34" t="str">
        <f>IFERROR(INDEX(PRENOTAZIONI!$E:$E,SMALL(PRENOTAZIONI!$W:$W,41)),"")</f>
        <v/>
      </c>
      <c r="E44" s="34" t="str">
        <f>IFERROR(INDEX(PRENOTAZIONI!$F:$F,SMALL(PRENOTAZIONI!$W:$W,41)),"")</f>
        <v/>
      </c>
      <c r="F44" s="34" t="str">
        <f>IFERROR(INDEX(PRENOTAZIONI!$G:$G,SMALL(PRENOTAZIONI!$W:$W,41)),"")</f>
        <v/>
      </c>
      <c r="G44" s="35" t="str">
        <f>IFERROR(INDEX(PRENOTAZIONI!$H:$H,SMALL(PRENOTAZIONI!$W:$W,41)),"")</f>
        <v/>
      </c>
      <c r="H44" s="146" t="str">
        <f t="shared" si="13"/>
        <v/>
      </c>
      <c r="I44" s="35" t="str">
        <f t="shared" ref="I44:I63" si="17">IF(G44="","",IF(NOT(ISERROR(SEARCH("diretta",F44))),0,IF(NOT(ISERROR(SEARCH("booking",F44))),G44*0.165,IF(NOT(ISERROR(SEARCH("airbnb",F44))),G44*0.155,""))))</f>
        <v/>
      </c>
      <c r="J44" s="149" t="str">
        <f t="shared" si="16"/>
        <v/>
      </c>
      <c r="K44" s="35" t="str">
        <f>IFERROR(INDEX(PRENOTAZIONI!$L:$L,SMALL(PRENOTAZIONI!$W:$W,41)),"")</f>
        <v/>
      </c>
      <c r="L44" s="150" t="str">
        <f t="shared" si="14"/>
        <v/>
      </c>
      <c r="M44" s="35" t="str">
        <f t="shared" si="10"/>
        <v/>
      </c>
      <c r="N44" s="35"/>
      <c r="O44" s="43"/>
      <c r="P44" s="150" t="str">
        <f t="shared" si="15"/>
        <v/>
      </c>
      <c r="Q44" s="47" t="str">
        <f>IFERROR(INDEX(PRENOTAZIONI!$R:$R,SMALL(PRENOTAZIONI!$W:$W,41)),"")</f>
        <v/>
      </c>
      <c r="S44" s="78"/>
    </row>
    <row r="45" spans="1:29" ht="22" customHeight="1" x14ac:dyDescent="0.25">
      <c r="A45" s="31" t="str">
        <f>IFERROR(INDEX(PRENOTAZIONI!$A:$A,SMALL(PRENOTAZIONI!$W:$W,42)),"")</f>
        <v/>
      </c>
      <c r="B45" s="31" t="str">
        <f>IFERROR(INDEX(PRENOTAZIONI!$B:$B,SMALL(PRENOTAZIONI!$W:$W,42)),"")</f>
        <v/>
      </c>
      <c r="C45" s="32" t="str">
        <f t="shared" si="12"/>
        <v/>
      </c>
      <c r="D45" s="34" t="str">
        <f>IFERROR(INDEX(PRENOTAZIONI!$E:$E,SMALL(PRENOTAZIONI!$W:$W,42)),"")</f>
        <v/>
      </c>
      <c r="E45" s="34" t="str">
        <f>IFERROR(INDEX(PRENOTAZIONI!$F:$F,SMALL(PRENOTAZIONI!$W:$W,42)),"")</f>
        <v/>
      </c>
      <c r="F45" s="34" t="str">
        <f>IFERROR(INDEX(PRENOTAZIONI!$G:$G,SMALL(PRENOTAZIONI!$W:$W,42)),"")</f>
        <v/>
      </c>
      <c r="G45" s="35" t="str">
        <f>IFERROR(INDEX(PRENOTAZIONI!$H:$H,SMALL(PRENOTAZIONI!$W:$W,42)),"")</f>
        <v/>
      </c>
      <c r="H45" s="146" t="str">
        <f t="shared" si="13"/>
        <v/>
      </c>
      <c r="I45" s="35" t="str">
        <f t="shared" si="17"/>
        <v/>
      </c>
      <c r="J45" s="149" t="str">
        <f t="shared" si="16"/>
        <v/>
      </c>
      <c r="K45" s="35" t="str">
        <f>IFERROR(INDEX(PRENOTAZIONI!$L:$L,SMALL(PRENOTAZIONI!$W:$W,42)),"")</f>
        <v/>
      </c>
      <c r="L45" s="150" t="str">
        <f t="shared" si="14"/>
        <v/>
      </c>
      <c r="M45" s="35" t="str">
        <f t="shared" ref="M45:M63" si="18">IF(G45&lt;&gt;"",G45*0.15,"")</f>
        <v/>
      </c>
      <c r="N45" s="35"/>
      <c r="O45" s="43"/>
      <c r="P45" s="150" t="str">
        <f t="shared" si="15"/>
        <v/>
      </c>
      <c r="Q45" s="47" t="str">
        <f>IFERROR(INDEX(PRENOTAZIONI!$R:$R,SMALL(PRENOTAZIONI!$W:$W,42)),"")</f>
        <v/>
      </c>
      <c r="S45" s="78"/>
    </row>
    <row r="46" spans="1:29" ht="22" customHeight="1" x14ac:dyDescent="0.25">
      <c r="A46" s="31" t="str">
        <f>IFERROR(INDEX(PRENOTAZIONI!$A:$A,SMALL(PRENOTAZIONI!$W:$W,43)),"")</f>
        <v/>
      </c>
      <c r="B46" s="31" t="str">
        <f>IFERROR(INDEX(PRENOTAZIONI!$B:$B,SMALL(PRENOTAZIONI!$W:$W,43)),"")</f>
        <v/>
      </c>
      <c r="C46" s="32" t="str">
        <f t="shared" si="12"/>
        <v/>
      </c>
      <c r="D46" s="34" t="str">
        <f>IFERROR(INDEX(PRENOTAZIONI!$E:$E,SMALL(PRENOTAZIONI!$W:$W,43)),"")</f>
        <v/>
      </c>
      <c r="E46" s="34" t="str">
        <f>IFERROR(INDEX(PRENOTAZIONI!$F:$F,SMALL(PRENOTAZIONI!$W:$W,43)),"")</f>
        <v/>
      </c>
      <c r="F46" s="34" t="str">
        <f>IFERROR(INDEX(PRENOTAZIONI!$G:$G,SMALL(PRENOTAZIONI!$W:$W,43)),"")</f>
        <v/>
      </c>
      <c r="G46" s="35" t="str">
        <f>IFERROR(INDEX(PRENOTAZIONI!$H:$H,SMALL(PRENOTAZIONI!$W:$W,43)),"")</f>
        <v/>
      </c>
      <c r="H46" s="146" t="str">
        <f t="shared" si="13"/>
        <v/>
      </c>
      <c r="I46" s="35" t="str">
        <f t="shared" si="17"/>
        <v/>
      </c>
      <c r="J46" s="149" t="str">
        <f t="shared" si="16"/>
        <v/>
      </c>
      <c r="K46" s="35" t="str">
        <f>IFERROR(INDEX(PRENOTAZIONI!$L:$L,SMALL(PRENOTAZIONI!$W:$W,43)),"")</f>
        <v/>
      </c>
      <c r="L46" s="150" t="str">
        <f t="shared" si="14"/>
        <v/>
      </c>
      <c r="M46" s="35" t="str">
        <f t="shared" si="18"/>
        <v/>
      </c>
      <c r="N46" s="35"/>
      <c r="O46" s="43"/>
      <c r="P46" s="150" t="str">
        <f t="shared" si="15"/>
        <v/>
      </c>
      <c r="Q46" s="47" t="str">
        <f>IFERROR(INDEX(PRENOTAZIONI!$R:$R,SMALL(PRENOTAZIONI!$W:$W,43)),"")</f>
        <v/>
      </c>
      <c r="S46" s="78"/>
    </row>
    <row r="47" spans="1:29" ht="22" customHeight="1" x14ac:dyDescent="0.25">
      <c r="A47" s="31" t="str">
        <f>IFERROR(INDEX(PRENOTAZIONI!$A:$A,SMALL(PRENOTAZIONI!$W:$W,44)),"")</f>
        <v/>
      </c>
      <c r="B47" s="31" t="str">
        <f>IFERROR(INDEX(PRENOTAZIONI!$B:$B,SMALL(PRENOTAZIONI!$W:$W,44)),"")</f>
        <v/>
      </c>
      <c r="C47" s="32" t="str">
        <f t="shared" si="12"/>
        <v/>
      </c>
      <c r="D47" s="34" t="str">
        <f>IFERROR(INDEX(PRENOTAZIONI!$E:$E,SMALL(PRENOTAZIONI!$W:$W,44)),"")</f>
        <v/>
      </c>
      <c r="E47" s="34" t="str">
        <f>IFERROR(INDEX(PRENOTAZIONI!$F:$F,SMALL(PRENOTAZIONI!$W:$W,44)),"")</f>
        <v/>
      </c>
      <c r="F47" s="34" t="str">
        <f>IFERROR(INDEX(PRENOTAZIONI!$G:$G,SMALL(PRENOTAZIONI!$W:$W,44)),"")</f>
        <v/>
      </c>
      <c r="G47" s="35" t="str">
        <f>IFERROR(INDEX(PRENOTAZIONI!$H:$H,SMALL(PRENOTAZIONI!$W:$W,44)),"")</f>
        <v/>
      </c>
      <c r="H47" s="146" t="str">
        <f t="shared" si="13"/>
        <v/>
      </c>
      <c r="I47" s="35" t="str">
        <f t="shared" si="17"/>
        <v/>
      </c>
      <c r="J47" s="149" t="str">
        <f t="shared" si="16"/>
        <v/>
      </c>
      <c r="K47" s="35" t="str">
        <f>IFERROR(INDEX(PRENOTAZIONI!$L:$L,SMALL(PRENOTAZIONI!$W:$W,44)),"")</f>
        <v/>
      </c>
      <c r="L47" s="150" t="str">
        <f t="shared" si="14"/>
        <v/>
      </c>
      <c r="M47" s="35" t="str">
        <f t="shared" si="18"/>
        <v/>
      </c>
      <c r="N47" s="35"/>
      <c r="O47" s="43"/>
      <c r="P47" s="150" t="str">
        <f t="shared" si="15"/>
        <v/>
      </c>
      <c r="Q47" s="47" t="str">
        <f>IFERROR(INDEX(PRENOTAZIONI!$R:$R,SMALL(PRENOTAZIONI!$W:$W,44)),"")</f>
        <v/>
      </c>
      <c r="S47" s="78"/>
    </row>
    <row r="48" spans="1:29" ht="22" customHeight="1" x14ac:dyDescent="0.25">
      <c r="A48" s="31" t="str">
        <f>IFERROR(INDEX(PRENOTAZIONI!$A:$A,SMALL(PRENOTAZIONI!$W:$W,45)),"")</f>
        <v/>
      </c>
      <c r="B48" s="31" t="str">
        <f>IFERROR(INDEX(PRENOTAZIONI!$B:$B,SMALL(PRENOTAZIONI!$W:$W,45)),"")</f>
        <v/>
      </c>
      <c r="C48" s="32" t="str">
        <f t="shared" si="12"/>
        <v/>
      </c>
      <c r="D48" s="34" t="str">
        <f>IFERROR(INDEX(PRENOTAZIONI!$E:$E,SMALL(PRENOTAZIONI!$W:$W,45)),"")</f>
        <v/>
      </c>
      <c r="E48" s="34" t="str">
        <f>IFERROR(INDEX(PRENOTAZIONI!$F:$F,SMALL(PRENOTAZIONI!$W:$W,45)),"")</f>
        <v/>
      </c>
      <c r="F48" s="34" t="str">
        <f>IFERROR(INDEX(PRENOTAZIONI!$G:$G,SMALL(PRENOTAZIONI!$W:$W,45)),"")</f>
        <v/>
      </c>
      <c r="G48" s="35" t="str">
        <f>IFERROR(INDEX(PRENOTAZIONI!$H:$H,SMALL(PRENOTAZIONI!$W:$W,45)),"")</f>
        <v/>
      </c>
      <c r="H48" s="146" t="str">
        <f t="shared" si="13"/>
        <v/>
      </c>
      <c r="I48" s="35" t="str">
        <f t="shared" si="17"/>
        <v/>
      </c>
      <c r="J48" s="149" t="str">
        <f t="shared" si="16"/>
        <v/>
      </c>
      <c r="K48" s="35" t="str">
        <f>IFERROR(INDEX(PRENOTAZIONI!$L:$L,SMALL(PRENOTAZIONI!$W:$W,45)),"")</f>
        <v/>
      </c>
      <c r="L48" s="150" t="str">
        <f t="shared" si="14"/>
        <v/>
      </c>
      <c r="M48" s="35" t="str">
        <f t="shared" si="18"/>
        <v/>
      </c>
      <c r="N48" s="35"/>
      <c r="O48" s="43"/>
      <c r="P48" s="150" t="str">
        <f t="shared" si="15"/>
        <v/>
      </c>
      <c r="Q48" s="47" t="str">
        <f>IFERROR(INDEX(PRENOTAZIONI!$R:$R,SMALL(PRENOTAZIONI!$W:$W,45)),"")</f>
        <v/>
      </c>
      <c r="S48" s="78"/>
    </row>
    <row r="49" spans="1:19" ht="22" customHeight="1" x14ac:dyDescent="0.25">
      <c r="A49" s="31" t="str">
        <f>IFERROR(INDEX(PRENOTAZIONI!$A:$A,SMALL(PRENOTAZIONI!$W:$W,46)),"")</f>
        <v/>
      </c>
      <c r="B49" s="31" t="str">
        <f>IFERROR(INDEX(PRENOTAZIONI!$B:$B,SMALL(PRENOTAZIONI!$W:$W,46)),"")</f>
        <v/>
      </c>
      <c r="C49" s="32" t="str">
        <f t="shared" si="12"/>
        <v/>
      </c>
      <c r="D49" s="34" t="str">
        <f>IFERROR(INDEX(PRENOTAZIONI!$E:$E,SMALL(PRENOTAZIONI!$W:$W,46)),"")</f>
        <v/>
      </c>
      <c r="E49" s="34" t="str">
        <f>IFERROR(INDEX(PRENOTAZIONI!$F:$F,SMALL(PRENOTAZIONI!$W:$W,46)),"")</f>
        <v/>
      </c>
      <c r="F49" s="34" t="str">
        <f>IFERROR(INDEX(PRENOTAZIONI!$G:$G,SMALL(PRENOTAZIONI!$W:$W,46)),"")</f>
        <v/>
      </c>
      <c r="G49" s="35" t="str">
        <f>IFERROR(INDEX(PRENOTAZIONI!$H:$H,SMALL(PRENOTAZIONI!$W:$W,46)),"")</f>
        <v/>
      </c>
      <c r="H49" s="146" t="str">
        <f t="shared" si="13"/>
        <v/>
      </c>
      <c r="I49" s="35" t="str">
        <f t="shared" si="17"/>
        <v/>
      </c>
      <c r="J49" s="149" t="str">
        <f t="shared" si="16"/>
        <v/>
      </c>
      <c r="K49" s="35" t="str">
        <f>IFERROR(INDEX(PRENOTAZIONI!$L:$L,SMALL(PRENOTAZIONI!$W:$W,46)),"")</f>
        <v/>
      </c>
      <c r="L49" s="150" t="str">
        <f t="shared" si="14"/>
        <v/>
      </c>
      <c r="M49" s="35" t="str">
        <f t="shared" si="18"/>
        <v/>
      </c>
      <c r="N49" s="35"/>
      <c r="O49" s="43"/>
      <c r="P49" s="150" t="str">
        <f t="shared" si="15"/>
        <v/>
      </c>
      <c r="Q49" s="47" t="str">
        <f>IFERROR(INDEX(PRENOTAZIONI!$R:$R,SMALL(PRENOTAZIONI!$W:$W,46)),"")</f>
        <v/>
      </c>
      <c r="S49" s="78"/>
    </row>
    <row r="50" spans="1:19" ht="22" customHeight="1" x14ac:dyDescent="0.25">
      <c r="A50" s="31" t="str">
        <f>IFERROR(INDEX(PRENOTAZIONI!$A:$A,SMALL(PRENOTAZIONI!$W:$W,47)),"")</f>
        <v/>
      </c>
      <c r="B50" s="31" t="str">
        <f>IFERROR(INDEX(PRENOTAZIONI!$B:$B,SMALL(PRENOTAZIONI!$W:$W,47)),"")</f>
        <v/>
      </c>
      <c r="C50" s="32" t="str">
        <f t="shared" si="12"/>
        <v/>
      </c>
      <c r="D50" s="34" t="str">
        <f>IFERROR(INDEX(PRENOTAZIONI!$E:$E,SMALL(PRENOTAZIONI!$W:$W,47)),"")</f>
        <v/>
      </c>
      <c r="E50" s="34" t="str">
        <f>IFERROR(INDEX(PRENOTAZIONI!$F:$F,SMALL(PRENOTAZIONI!$W:$W,47)),"")</f>
        <v/>
      </c>
      <c r="F50" s="34" t="str">
        <f>IFERROR(INDEX(PRENOTAZIONI!$G:$G,SMALL(PRENOTAZIONI!$W:$W,47)),"")</f>
        <v/>
      </c>
      <c r="G50" s="35" t="str">
        <f>IFERROR(INDEX(PRENOTAZIONI!$H:$H,SMALL(PRENOTAZIONI!$W:$W,47)),"")</f>
        <v/>
      </c>
      <c r="H50" s="146" t="str">
        <f t="shared" si="13"/>
        <v/>
      </c>
      <c r="I50" s="35" t="str">
        <f t="shared" si="17"/>
        <v/>
      </c>
      <c r="J50" s="149" t="str">
        <f t="shared" si="16"/>
        <v/>
      </c>
      <c r="K50" s="35" t="str">
        <f>IFERROR(INDEX(PRENOTAZIONI!$L:$L,SMALL(PRENOTAZIONI!$W:$W,47)),"")</f>
        <v/>
      </c>
      <c r="L50" s="150" t="str">
        <f t="shared" si="14"/>
        <v/>
      </c>
      <c r="M50" s="35" t="str">
        <f t="shared" si="18"/>
        <v/>
      </c>
      <c r="N50" s="35"/>
      <c r="O50" s="43"/>
      <c r="P50" s="150" t="str">
        <f t="shared" si="15"/>
        <v/>
      </c>
      <c r="Q50" s="47" t="str">
        <f>IFERROR(INDEX(PRENOTAZIONI!$R:$R,SMALL(PRENOTAZIONI!$W:$W,47)),"")</f>
        <v/>
      </c>
      <c r="S50" s="78"/>
    </row>
    <row r="51" spans="1:19" ht="22" customHeight="1" x14ac:dyDescent="0.25">
      <c r="A51" s="31" t="str">
        <f>IFERROR(INDEX(PRENOTAZIONI!$A:$A,SMALL(PRENOTAZIONI!$W:$W,48)),"")</f>
        <v/>
      </c>
      <c r="B51" s="31" t="str">
        <f>IFERROR(INDEX(PRENOTAZIONI!$B:$B,SMALL(PRENOTAZIONI!$W:$W,48)),"")</f>
        <v/>
      </c>
      <c r="C51" s="32" t="str">
        <f t="shared" si="12"/>
        <v/>
      </c>
      <c r="D51" s="34" t="str">
        <f>IFERROR(INDEX(PRENOTAZIONI!$E:$E,SMALL(PRENOTAZIONI!$W:$W,48)),"")</f>
        <v/>
      </c>
      <c r="E51" s="34" t="str">
        <f>IFERROR(INDEX(PRENOTAZIONI!$F:$F,SMALL(PRENOTAZIONI!$W:$W,48)),"")</f>
        <v/>
      </c>
      <c r="F51" s="34" t="str">
        <f>IFERROR(INDEX(PRENOTAZIONI!$G:$G,SMALL(PRENOTAZIONI!$W:$W,48)),"")</f>
        <v/>
      </c>
      <c r="G51" s="35" t="str">
        <f>IFERROR(INDEX(PRENOTAZIONI!$H:$H,SMALL(PRENOTAZIONI!$W:$W,48)),"")</f>
        <v/>
      </c>
      <c r="H51" s="146" t="str">
        <f t="shared" si="13"/>
        <v/>
      </c>
      <c r="I51" s="35" t="str">
        <f t="shared" si="17"/>
        <v/>
      </c>
      <c r="J51" s="149" t="str">
        <f t="shared" si="16"/>
        <v/>
      </c>
      <c r="K51" s="35" t="str">
        <f>IFERROR(INDEX(PRENOTAZIONI!$L:$L,SMALL(PRENOTAZIONI!$W:$W,48)),"")</f>
        <v/>
      </c>
      <c r="L51" s="150" t="str">
        <f t="shared" si="14"/>
        <v/>
      </c>
      <c r="M51" s="35" t="str">
        <f t="shared" si="18"/>
        <v/>
      </c>
      <c r="N51" s="35"/>
      <c r="O51" s="43"/>
      <c r="P51" s="150" t="str">
        <f t="shared" si="15"/>
        <v/>
      </c>
      <c r="Q51" s="47" t="str">
        <f>IFERROR(INDEX(PRENOTAZIONI!$R:$R,SMALL(PRENOTAZIONI!$W:$W,48)),"")</f>
        <v/>
      </c>
      <c r="S51" s="78"/>
    </row>
    <row r="52" spans="1:19" ht="22" customHeight="1" x14ac:dyDescent="0.25">
      <c r="A52" s="31" t="str">
        <f>IFERROR(INDEX(PRENOTAZIONI!$A:$A,SMALL(PRENOTAZIONI!$W:$W,49)),"")</f>
        <v/>
      </c>
      <c r="B52" s="31" t="str">
        <f>IFERROR(INDEX(PRENOTAZIONI!$B:$B,SMALL(PRENOTAZIONI!$W:$W,49)),"")</f>
        <v/>
      </c>
      <c r="C52" s="32" t="str">
        <f t="shared" si="12"/>
        <v/>
      </c>
      <c r="D52" s="34" t="str">
        <f>IFERROR(INDEX(PRENOTAZIONI!$E:$E,SMALL(PRENOTAZIONI!$W:$W,49)),"")</f>
        <v/>
      </c>
      <c r="E52" s="34" t="str">
        <f>IFERROR(INDEX(PRENOTAZIONI!$F:$F,SMALL(PRENOTAZIONI!$W:$W,49)),"")</f>
        <v/>
      </c>
      <c r="F52" s="34" t="str">
        <f>IFERROR(INDEX(PRENOTAZIONI!$G:$G,SMALL(PRENOTAZIONI!$W:$W,49)),"")</f>
        <v/>
      </c>
      <c r="G52" s="35" t="str">
        <f>IFERROR(INDEX(PRENOTAZIONI!$H:$H,SMALL(PRENOTAZIONI!$W:$W,49)),"")</f>
        <v/>
      </c>
      <c r="H52" s="146" t="str">
        <f t="shared" si="13"/>
        <v/>
      </c>
      <c r="I52" s="35" t="str">
        <f t="shared" si="17"/>
        <v/>
      </c>
      <c r="J52" s="149" t="str">
        <f t="shared" si="16"/>
        <v/>
      </c>
      <c r="K52" s="35" t="str">
        <f>IFERROR(INDEX(PRENOTAZIONI!$L:$L,SMALL(PRENOTAZIONI!$W:$W,49)),"")</f>
        <v/>
      </c>
      <c r="L52" s="150" t="str">
        <f t="shared" si="14"/>
        <v/>
      </c>
      <c r="M52" s="35" t="str">
        <f t="shared" si="18"/>
        <v/>
      </c>
      <c r="N52" s="35"/>
      <c r="O52" s="43"/>
      <c r="P52" s="150" t="str">
        <f t="shared" si="15"/>
        <v/>
      </c>
      <c r="Q52" s="47" t="str">
        <f>IFERROR(INDEX(PRENOTAZIONI!$R:$R,SMALL(PRENOTAZIONI!$W:$W,49)),"")</f>
        <v/>
      </c>
      <c r="S52" s="78"/>
    </row>
    <row r="53" spans="1:19" ht="22" customHeight="1" x14ac:dyDescent="0.25">
      <c r="A53" s="31" t="str">
        <f>IFERROR(INDEX(PRENOTAZIONI!$A:$A,SMALL(PRENOTAZIONI!$W:$W,50)),"")</f>
        <v/>
      </c>
      <c r="B53" s="31" t="str">
        <f>IFERROR(INDEX(PRENOTAZIONI!$B:$B,SMALL(PRENOTAZIONI!$W:$W,50)),"")</f>
        <v/>
      </c>
      <c r="C53" s="32" t="str">
        <f t="shared" si="12"/>
        <v/>
      </c>
      <c r="D53" s="34" t="str">
        <f>IFERROR(INDEX(PRENOTAZIONI!$E:$E,SMALL(PRENOTAZIONI!$W:$W,50)),"")</f>
        <v/>
      </c>
      <c r="E53" s="34" t="str">
        <f>IFERROR(INDEX(PRENOTAZIONI!$F:$F,SMALL(PRENOTAZIONI!$W:$W,50)),"")</f>
        <v/>
      </c>
      <c r="F53" s="34" t="str">
        <f>IFERROR(INDEX(PRENOTAZIONI!$G:$G,SMALL(PRENOTAZIONI!$W:$W,50)),"")</f>
        <v/>
      </c>
      <c r="G53" s="35" t="str">
        <f>IFERROR(INDEX(PRENOTAZIONI!$H:$H,SMALL(PRENOTAZIONI!$W:$W,50)),"")</f>
        <v/>
      </c>
      <c r="H53" s="146" t="str">
        <f t="shared" si="13"/>
        <v/>
      </c>
      <c r="I53" s="35" t="str">
        <f t="shared" si="17"/>
        <v/>
      </c>
      <c r="J53" s="149" t="str">
        <f t="shared" si="16"/>
        <v/>
      </c>
      <c r="K53" s="35" t="str">
        <f>IFERROR(INDEX(PRENOTAZIONI!$L:$L,SMALL(PRENOTAZIONI!$W:$W,50)),"")</f>
        <v/>
      </c>
      <c r="L53" s="150" t="str">
        <f t="shared" si="14"/>
        <v/>
      </c>
      <c r="M53" s="35" t="str">
        <f t="shared" si="18"/>
        <v/>
      </c>
      <c r="N53" s="35"/>
      <c r="O53" s="43"/>
      <c r="P53" s="150" t="str">
        <f t="shared" si="15"/>
        <v/>
      </c>
      <c r="Q53" s="47" t="str">
        <f>IFERROR(INDEX(PRENOTAZIONI!$R:$R,SMALL(PRENOTAZIONI!$W:$W,50)),"")</f>
        <v/>
      </c>
      <c r="S53" s="78"/>
    </row>
    <row r="54" spans="1:19" ht="22" customHeight="1" x14ac:dyDescent="0.25">
      <c r="A54" s="31" t="str">
        <f>IFERROR(INDEX(PRENOTAZIONI!$A:$A,SMALL(PRENOTAZIONI!$W:$W,51)),"")</f>
        <v/>
      </c>
      <c r="B54" s="31" t="str">
        <f>IFERROR(INDEX(PRENOTAZIONI!$B:$B,SMALL(PRENOTAZIONI!$W:$W,51)),"")</f>
        <v/>
      </c>
      <c r="C54" s="32" t="str">
        <f t="shared" si="12"/>
        <v/>
      </c>
      <c r="D54" s="34" t="str">
        <f>IFERROR(INDEX(PRENOTAZIONI!$E:$E,SMALL(PRENOTAZIONI!$W:$W,51)),"")</f>
        <v/>
      </c>
      <c r="E54" s="34" t="str">
        <f>IFERROR(INDEX(PRENOTAZIONI!$F:$F,SMALL(PRENOTAZIONI!$W:$W,51)),"")</f>
        <v/>
      </c>
      <c r="F54" s="34" t="str">
        <f>IFERROR(INDEX(PRENOTAZIONI!$G:$G,SMALL(PRENOTAZIONI!$W:$W,51)),"")</f>
        <v/>
      </c>
      <c r="G54" s="35" t="str">
        <f>IFERROR(INDEX(PRENOTAZIONI!$H:$H,SMALL(PRENOTAZIONI!$W:$W,51)),"")</f>
        <v/>
      </c>
      <c r="H54" s="146" t="str">
        <f t="shared" si="13"/>
        <v/>
      </c>
      <c r="I54" s="35" t="str">
        <f t="shared" si="17"/>
        <v/>
      </c>
      <c r="J54" s="149" t="str">
        <f t="shared" si="16"/>
        <v/>
      </c>
      <c r="K54" s="35" t="str">
        <f>IFERROR(INDEX(PRENOTAZIONI!$L:$L,SMALL(PRENOTAZIONI!$W:$W,51)),"")</f>
        <v/>
      </c>
      <c r="L54" s="150" t="str">
        <f t="shared" si="14"/>
        <v/>
      </c>
      <c r="M54" s="35" t="str">
        <f t="shared" si="18"/>
        <v/>
      </c>
      <c r="N54" s="35"/>
      <c r="O54" s="43"/>
      <c r="P54" s="150" t="str">
        <f t="shared" si="15"/>
        <v/>
      </c>
      <c r="Q54" s="47" t="str">
        <f>IFERROR(INDEX(PRENOTAZIONI!$R:$R,SMALL(PRENOTAZIONI!$W:$W,51)),"")</f>
        <v/>
      </c>
      <c r="S54" s="78"/>
    </row>
    <row r="55" spans="1:19" ht="22" customHeight="1" x14ac:dyDescent="0.25">
      <c r="A55" s="31" t="str">
        <f>IFERROR(INDEX(PRENOTAZIONI!$A:$A,SMALL(PRENOTAZIONI!$W:$W,52)),"")</f>
        <v/>
      </c>
      <c r="B55" s="31" t="str">
        <f>IFERROR(INDEX(PRENOTAZIONI!$B:$B,SMALL(PRENOTAZIONI!$W:$W,52)),"")</f>
        <v/>
      </c>
      <c r="C55" s="32" t="str">
        <f t="shared" si="12"/>
        <v/>
      </c>
      <c r="D55" s="34" t="str">
        <f>IFERROR(INDEX(PRENOTAZIONI!$E:$E,SMALL(PRENOTAZIONI!$W:$W,52)),"")</f>
        <v/>
      </c>
      <c r="E55" s="34" t="str">
        <f>IFERROR(INDEX(PRENOTAZIONI!$F:$F,SMALL(PRENOTAZIONI!$W:$W,52)),"")</f>
        <v/>
      </c>
      <c r="F55" s="34" t="str">
        <f>IFERROR(INDEX(PRENOTAZIONI!$G:$G,SMALL(PRENOTAZIONI!$W:$W,52)),"")</f>
        <v/>
      </c>
      <c r="G55" s="35" t="str">
        <f>IFERROR(INDEX(PRENOTAZIONI!$H:$H,SMALL(PRENOTAZIONI!$W:$W,52)),"")</f>
        <v/>
      </c>
      <c r="H55" s="146" t="str">
        <f t="shared" si="13"/>
        <v/>
      </c>
      <c r="I55" s="35" t="str">
        <f t="shared" si="17"/>
        <v/>
      </c>
      <c r="J55" s="149" t="str">
        <f t="shared" si="16"/>
        <v/>
      </c>
      <c r="K55" s="35" t="str">
        <f>IFERROR(INDEX(PRENOTAZIONI!$L:$L,SMALL(PRENOTAZIONI!$W:$W,52)),"")</f>
        <v/>
      </c>
      <c r="L55" s="150" t="str">
        <f t="shared" si="14"/>
        <v/>
      </c>
      <c r="M55" s="35" t="str">
        <f t="shared" si="18"/>
        <v/>
      </c>
      <c r="N55" s="35"/>
      <c r="O55" s="43"/>
      <c r="P55" s="150" t="str">
        <f t="shared" si="15"/>
        <v/>
      </c>
      <c r="Q55" s="47" t="str">
        <f>IFERROR(INDEX(PRENOTAZIONI!$R:$R,SMALL(PRENOTAZIONI!$W:$W,52)),"")</f>
        <v/>
      </c>
      <c r="S55" s="78"/>
    </row>
    <row r="56" spans="1:19" ht="22" customHeight="1" x14ac:dyDescent="0.25">
      <c r="A56" s="31" t="str">
        <f>IFERROR(INDEX(PRENOTAZIONI!$A:$A,SMALL(PRENOTAZIONI!$W:$W,53)),"")</f>
        <v/>
      </c>
      <c r="B56" s="31" t="str">
        <f>IFERROR(INDEX(PRENOTAZIONI!$B:$B,SMALL(PRENOTAZIONI!$W:$W,53)),"")</f>
        <v/>
      </c>
      <c r="C56" s="32" t="str">
        <f t="shared" si="12"/>
        <v/>
      </c>
      <c r="D56" s="34" t="str">
        <f>IFERROR(INDEX(PRENOTAZIONI!$E:$E,SMALL(PRENOTAZIONI!$W:$W,53)),"")</f>
        <v/>
      </c>
      <c r="E56" s="34" t="str">
        <f>IFERROR(INDEX(PRENOTAZIONI!$F:$F,SMALL(PRENOTAZIONI!$W:$W,53)),"")</f>
        <v/>
      </c>
      <c r="F56" s="34" t="str">
        <f>IFERROR(INDEX(PRENOTAZIONI!$G:$G,SMALL(PRENOTAZIONI!$W:$W,53)),"")</f>
        <v/>
      </c>
      <c r="G56" s="35" t="str">
        <f>IFERROR(INDEX(PRENOTAZIONI!$H:$H,SMALL(PRENOTAZIONI!$W:$W,53)),"")</f>
        <v/>
      </c>
      <c r="H56" s="146" t="str">
        <f t="shared" si="13"/>
        <v/>
      </c>
      <c r="I56" s="35" t="str">
        <f t="shared" si="17"/>
        <v/>
      </c>
      <c r="J56" s="149" t="str">
        <f t="shared" si="16"/>
        <v/>
      </c>
      <c r="K56" s="35" t="str">
        <f>IFERROR(INDEX(PRENOTAZIONI!$L:$L,SMALL(PRENOTAZIONI!$W:$W,53)),"")</f>
        <v/>
      </c>
      <c r="L56" s="150" t="str">
        <f t="shared" si="14"/>
        <v/>
      </c>
      <c r="M56" s="35" t="str">
        <f t="shared" si="18"/>
        <v/>
      </c>
      <c r="N56" s="35"/>
      <c r="O56" s="43"/>
      <c r="P56" s="150" t="str">
        <f t="shared" si="15"/>
        <v/>
      </c>
      <c r="Q56" s="47" t="str">
        <f>IFERROR(INDEX(PRENOTAZIONI!$R:$R,SMALL(PRENOTAZIONI!$W:$W,53)),"")</f>
        <v/>
      </c>
      <c r="S56" s="78"/>
    </row>
    <row r="57" spans="1:19" ht="22" customHeight="1" x14ac:dyDescent="0.25">
      <c r="A57" s="31" t="str">
        <f>IFERROR(INDEX(PRENOTAZIONI!$A:$A,SMALL(PRENOTAZIONI!$W:$W,54)),"")</f>
        <v/>
      </c>
      <c r="B57" s="31" t="str">
        <f>IFERROR(INDEX(PRENOTAZIONI!$B:$B,SMALL(PRENOTAZIONI!$W:$W,54)),"")</f>
        <v/>
      </c>
      <c r="C57" s="32" t="str">
        <f t="shared" si="12"/>
        <v/>
      </c>
      <c r="D57" s="34" t="str">
        <f>IFERROR(INDEX(PRENOTAZIONI!$E:$E,SMALL(PRENOTAZIONI!$W:$W,54)),"")</f>
        <v/>
      </c>
      <c r="E57" s="34" t="str">
        <f>IFERROR(INDEX(PRENOTAZIONI!$F:$F,SMALL(PRENOTAZIONI!$W:$W,54)),"")</f>
        <v/>
      </c>
      <c r="F57" s="34" t="str">
        <f>IFERROR(INDEX(PRENOTAZIONI!$G:$G,SMALL(PRENOTAZIONI!$W:$W,54)),"")</f>
        <v/>
      </c>
      <c r="G57" s="35" t="str">
        <f>IFERROR(INDEX(PRENOTAZIONI!$H:$H,SMALL(PRENOTAZIONI!$W:$W,54)),"")</f>
        <v/>
      </c>
      <c r="H57" s="146" t="str">
        <f t="shared" si="13"/>
        <v/>
      </c>
      <c r="I57" s="35" t="str">
        <f t="shared" si="17"/>
        <v/>
      </c>
      <c r="J57" s="149" t="str">
        <f t="shared" si="16"/>
        <v/>
      </c>
      <c r="K57" s="35" t="str">
        <f>IFERROR(INDEX(PRENOTAZIONI!$L:$L,SMALL(PRENOTAZIONI!$W:$W,54)),"")</f>
        <v/>
      </c>
      <c r="L57" s="150" t="str">
        <f t="shared" si="14"/>
        <v/>
      </c>
      <c r="M57" s="35" t="str">
        <f t="shared" si="18"/>
        <v/>
      </c>
      <c r="N57" s="35"/>
      <c r="O57" s="43"/>
      <c r="P57" s="150" t="str">
        <f t="shared" si="15"/>
        <v/>
      </c>
      <c r="Q57" s="47" t="str">
        <f>IFERROR(INDEX(PRENOTAZIONI!$R:$R,SMALL(PRENOTAZIONI!$W:$W,54)),"")</f>
        <v/>
      </c>
      <c r="S57" s="78"/>
    </row>
    <row r="58" spans="1:19" ht="22" customHeight="1" x14ac:dyDescent="0.25">
      <c r="A58" s="31" t="str">
        <f>IFERROR(INDEX(PRENOTAZIONI!$A:$A,SMALL(PRENOTAZIONI!$W:$W,55)),"")</f>
        <v/>
      </c>
      <c r="B58" s="31" t="str">
        <f>IFERROR(INDEX(PRENOTAZIONI!$B:$B,SMALL(PRENOTAZIONI!$W:$W,55)),"")</f>
        <v/>
      </c>
      <c r="C58" s="32" t="str">
        <f t="shared" si="12"/>
        <v/>
      </c>
      <c r="D58" s="34" t="str">
        <f>IFERROR(INDEX(PRENOTAZIONI!$E:$E,SMALL(PRENOTAZIONI!$W:$W,55)),"")</f>
        <v/>
      </c>
      <c r="E58" s="34" t="str">
        <f>IFERROR(INDEX(PRENOTAZIONI!$F:$F,SMALL(PRENOTAZIONI!$W:$W,55)),"")</f>
        <v/>
      </c>
      <c r="F58" s="34" t="str">
        <f>IFERROR(INDEX(PRENOTAZIONI!$G:$G,SMALL(PRENOTAZIONI!$W:$W,55)),"")</f>
        <v/>
      </c>
      <c r="G58" s="35" t="str">
        <f>IFERROR(INDEX(PRENOTAZIONI!$H:$H,SMALL(PRENOTAZIONI!$W:$W,55)),"")</f>
        <v/>
      </c>
      <c r="H58" s="146" t="str">
        <f t="shared" si="13"/>
        <v/>
      </c>
      <c r="I58" s="35" t="str">
        <f t="shared" si="17"/>
        <v/>
      </c>
      <c r="J58" s="149" t="str">
        <f t="shared" si="16"/>
        <v/>
      </c>
      <c r="K58" s="35" t="str">
        <f>IFERROR(INDEX(PRENOTAZIONI!$L:$L,SMALL(PRENOTAZIONI!$W:$W,55)),"")</f>
        <v/>
      </c>
      <c r="L58" s="150" t="str">
        <f t="shared" si="14"/>
        <v/>
      </c>
      <c r="M58" s="35" t="str">
        <f t="shared" si="18"/>
        <v/>
      </c>
      <c r="N58" s="35"/>
      <c r="O58" s="43"/>
      <c r="P58" s="150" t="str">
        <f t="shared" si="15"/>
        <v/>
      </c>
      <c r="Q58" s="47" t="str">
        <f>IFERROR(INDEX(PRENOTAZIONI!$R:$R,SMALL(PRENOTAZIONI!$W:$W,55)),"")</f>
        <v/>
      </c>
      <c r="S58" s="78"/>
    </row>
    <row r="59" spans="1:19" ht="22" customHeight="1" x14ac:dyDescent="0.25">
      <c r="A59" s="31" t="str">
        <f>IFERROR(INDEX(PRENOTAZIONI!$A:$A,SMALL(PRENOTAZIONI!$W:$W,56)),"")</f>
        <v/>
      </c>
      <c r="B59" s="31" t="str">
        <f>IFERROR(INDEX(PRENOTAZIONI!$B:$B,SMALL(PRENOTAZIONI!$W:$W,56)),"")</f>
        <v/>
      </c>
      <c r="C59" s="32" t="str">
        <f t="shared" si="12"/>
        <v/>
      </c>
      <c r="D59" s="34" t="str">
        <f>IFERROR(INDEX(PRENOTAZIONI!$E:$E,SMALL(PRENOTAZIONI!$W:$W,56)),"")</f>
        <v/>
      </c>
      <c r="E59" s="34" t="str">
        <f>IFERROR(INDEX(PRENOTAZIONI!$F:$F,SMALL(PRENOTAZIONI!$W:$W,56)),"")</f>
        <v/>
      </c>
      <c r="F59" s="34" t="str">
        <f>IFERROR(INDEX(PRENOTAZIONI!$G:$G,SMALL(PRENOTAZIONI!$W:$W,56)),"")</f>
        <v/>
      </c>
      <c r="G59" s="35" t="str">
        <f>IFERROR(INDEX(PRENOTAZIONI!$H:$H,SMALL(PRENOTAZIONI!$W:$W,56)),"")</f>
        <v/>
      </c>
      <c r="H59" s="146" t="str">
        <f t="shared" si="13"/>
        <v/>
      </c>
      <c r="I59" s="35" t="str">
        <f t="shared" si="17"/>
        <v/>
      </c>
      <c r="J59" s="149" t="str">
        <f t="shared" si="16"/>
        <v/>
      </c>
      <c r="K59" s="35" t="str">
        <f>IFERROR(INDEX(PRENOTAZIONI!$L:$L,SMALL(PRENOTAZIONI!$W:$W,56)),"")</f>
        <v/>
      </c>
      <c r="L59" s="150" t="str">
        <f t="shared" si="14"/>
        <v/>
      </c>
      <c r="M59" s="35" t="str">
        <f t="shared" si="18"/>
        <v/>
      </c>
      <c r="N59" s="35"/>
      <c r="O59" s="35"/>
      <c r="P59" s="150" t="str">
        <f t="shared" si="15"/>
        <v/>
      </c>
      <c r="Q59" s="47" t="str">
        <f>IFERROR(INDEX(PRENOTAZIONI!$R:$R,SMALL(PRENOTAZIONI!$W:$W,56)),"")</f>
        <v/>
      </c>
      <c r="S59" s="78"/>
    </row>
    <row r="60" spans="1:19" ht="22" customHeight="1" x14ac:dyDescent="0.25">
      <c r="A60" s="31" t="str">
        <f>IFERROR(INDEX(PRENOTAZIONI!$A:$A,SMALL(PRENOTAZIONI!$W:$W,57)),"")</f>
        <v/>
      </c>
      <c r="B60" s="31" t="str">
        <f>IFERROR(INDEX(PRENOTAZIONI!$B:$B,SMALL(PRENOTAZIONI!$W:$W,57)),"")</f>
        <v/>
      </c>
      <c r="C60" s="32" t="str">
        <f t="shared" si="12"/>
        <v/>
      </c>
      <c r="D60" s="34" t="str">
        <f>IFERROR(INDEX(PRENOTAZIONI!$E:$E,SMALL(PRENOTAZIONI!$W:$W,57)),"")</f>
        <v/>
      </c>
      <c r="E60" s="34" t="str">
        <f>IFERROR(INDEX(PRENOTAZIONI!$F:$F,SMALL(PRENOTAZIONI!$W:$W,57)),"")</f>
        <v/>
      </c>
      <c r="F60" s="34" t="str">
        <f>IFERROR(INDEX(PRENOTAZIONI!$G:$G,SMALL(PRENOTAZIONI!$W:$W,57)),"")</f>
        <v/>
      </c>
      <c r="G60" s="35" t="str">
        <f>IFERROR(INDEX(PRENOTAZIONI!$H:$H,SMALL(PRENOTAZIONI!$W:$W,57)),"")</f>
        <v/>
      </c>
      <c r="H60" s="146" t="str">
        <f t="shared" si="13"/>
        <v/>
      </c>
      <c r="I60" s="35" t="str">
        <f t="shared" si="17"/>
        <v/>
      </c>
      <c r="J60" s="149" t="str">
        <f t="shared" si="16"/>
        <v/>
      </c>
      <c r="K60" s="35" t="str">
        <f>IFERROR(INDEX(PRENOTAZIONI!$L:$L,SMALL(PRENOTAZIONI!$W:$W,57)),"")</f>
        <v/>
      </c>
      <c r="L60" s="150" t="str">
        <f t="shared" si="14"/>
        <v/>
      </c>
      <c r="M60" s="35" t="str">
        <f t="shared" si="18"/>
        <v/>
      </c>
      <c r="N60" s="35"/>
      <c r="O60" s="35"/>
      <c r="P60" s="150" t="str">
        <f t="shared" si="15"/>
        <v/>
      </c>
      <c r="Q60" s="47" t="str">
        <f>IFERROR(INDEX(PRENOTAZIONI!$R:$R,SMALL(PRENOTAZIONI!$W:$W,57)),"")</f>
        <v/>
      </c>
      <c r="S60" s="78"/>
    </row>
    <row r="61" spans="1:19" ht="22" customHeight="1" x14ac:dyDescent="0.25">
      <c r="A61" s="31" t="str">
        <f>IFERROR(INDEX(PRENOTAZIONI!$A:$A,SMALL(PRENOTAZIONI!$W:$W,58)),"")</f>
        <v/>
      </c>
      <c r="B61" s="31" t="str">
        <f>IFERROR(INDEX(PRENOTAZIONI!$B:$B,SMALL(PRENOTAZIONI!$W:$W,58)),"")</f>
        <v/>
      </c>
      <c r="C61" s="32" t="str">
        <f t="shared" si="12"/>
        <v/>
      </c>
      <c r="D61" s="34" t="str">
        <f>IFERROR(INDEX(PRENOTAZIONI!$E:$E,SMALL(PRENOTAZIONI!$W:$W,58)),"")</f>
        <v/>
      </c>
      <c r="E61" s="34" t="str">
        <f>IFERROR(INDEX(PRENOTAZIONI!$F:$F,SMALL(PRENOTAZIONI!$W:$W,58)),"")</f>
        <v/>
      </c>
      <c r="F61" s="34" t="str">
        <f>IFERROR(INDEX(PRENOTAZIONI!$G:$G,SMALL(PRENOTAZIONI!$W:$W,58)),"")</f>
        <v/>
      </c>
      <c r="G61" s="35" t="str">
        <f>IFERROR(INDEX(PRENOTAZIONI!$H:$H,SMALL(PRENOTAZIONI!$W:$W,58)),"")</f>
        <v/>
      </c>
      <c r="H61" s="146" t="str">
        <f t="shared" si="13"/>
        <v/>
      </c>
      <c r="I61" s="35" t="str">
        <f t="shared" si="17"/>
        <v/>
      </c>
      <c r="J61" s="149" t="str">
        <f t="shared" si="16"/>
        <v/>
      </c>
      <c r="K61" s="35" t="str">
        <f>IFERROR(INDEX(PRENOTAZIONI!$L:$L,SMALL(PRENOTAZIONI!$W:$W,58)),"")</f>
        <v/>
      </c>
      <c r="L61" s="150" t="str">
        <f t="shared" si="14"/>
        <v/>
      </c>
      <c r="M61" s="35" t="str">
        <f t="shared" si="18"/>
        <v/>
      </c>
      <c r="N61" s="35"/>
      <c r="O61" s="35"/>
      <c r="P61" s="150" t="str">
        <f t="shared" si="15"/>
        <v/>
      </c>
      <c r="Q61" s="47" t="str">
        <f>IFERROR(INDEX(PRENOTAZIONI!$R:$R,SMALL(PRENOTAZIONI!$W:$W,58)),"")</f>
        <v/>
      </c>
      <c r="S61" s="78"/>
    </row>
    <row r="62" spans="1:19" ht="22" customHeight="1" x14ac:dyDescent="0.25">
      <c r="A62" s="31" t="str">
        <f>IFERROR(INDEX(PRENOTAZIONI!$A:$A,SMALL(PRENOTAZIONI!$W:$W,59)),"")</f>
        <v/>
      </c>
      <c r="B62" s="31" t="str">
        <f>IFERROR(INDEX(PRENOTAZIONI!$B:$B,SMALL(PRENOTAZIONI!$W:$W,59)),"")</f>
        <v/>
      </c>
      <c r="C62" s="32" t="str">
        <f t="shared" si="12"/>
        <v/>
      </c>
      <c r="D62" s="34" t="str">
        <f>IFERROR(INDEX(PRENOTAZIONI!$E:$E,SMALL(PRENOTAZIONI!$W:$W,59)),"")</f>
        <v/>
      </c>
      <c r="E62" s="34" t="str">
        <f>IFERROR(INDEX(PRENOTAZIONI!$F:$F,SMALL(PRENOTAZIONI!$W:$W,59)),"")</f>
        <v/>
      </c>
      <c r="F62" s="34" t="str">
        <f>IFERROR(INDEX(PRENOTAZIONI!$G:$G,SMALL(PRENOTAZIONI!$W:$W,59)),"")</f>
        <v/>
      </c>
      <c r="G62" s="35" t="str">
        <f>IFERROR(INDEX(PRENOTAZIONI!$H:$H,SMALL(PRENOTAZIONI!$W:$W,59)),"")</f>
        <v/>
      </c>
      <c r="H62" s="146" t="str">
        <f t="shared" si="13"/>
        <v/>
      </c>
      <c r="I62" s="35" t="str">
        <f t="shared" si="17"/>
        <v/>
      </c>
      <c r="J62" s="149" t="str">
        <f t="shared" si="16"/>
        <v/>
      </c>
      <c r="K62" s="35" t="str">
        <f>IFERROR(INDEX(PRENOTAZIONI!$L:$L,SMALL(PRENOTAZIONI!$W:$W,59)),"")</f>
        <v/>
      </c>
      <c r="L62" s="150" t="str">
        <f t="shared" si="14"/>
        <v/>
      </c>
      <c r="M62" s="35" t="str">
        <f t="shared" si="18"/>
        <v/>
      </c>
      <c r="N62" s="35"/>
      <c r="O62" s="35"/>
      <c r="P62" s="150" t="str">
        <f t="shared" si="15"/>
        <v/>
      </c>
      <c r="Q62" s="47" t="str">
        <f>IFERROR(INDEX(PRENOTAZIONI!$R:$R,SMALL(PRENOTAZIONI!$W:$W,59)),"")</f>
        <v/>
      </c>
      <c r="S62" s="78"/>
    </row>
    <row r="63" spans="1:19" ht="22" customHeight="1" x14ac:dyDescent="0.25">
      <c r="A63" s="31" t="str">
        <f>IFERROR(INDEX(PRENOTAZIONI!$A:$A,SMALL(PRENOTAZIONI!$W:$W,60)),"")</f>
        <v/>
      </c>
      <c r="B63" s="31" t="str">
        <f>IFERROR(INDEX(PRENOTAZIONI!$B:$B,SMALL(PRENOTAZIONI!$W:$W,60)),"")</f>
        <v/>
      </c>
      <c r="C63" s="32" t="str">
        <f t="shared" si="12"/>
        <v/>
      </c>
      <c r="D63" s="34" t="str">
        <f>IFERROR(INDEX(PRENOTAZIONI!$E:$E,SMALL(PRENOTAZIONI!$W:$W,60)),"")</f>
        <v/>
      </c>
      <c r="E63" s="34" t="str">
        <f>IFERROR(INDEX(PRENOTAZIONI!$F:$F,SMALL(PRENOTAZIONI!$W:$W,60)),"")</f>
        <v/>
      </c>
      <c r="F63" s="34" t="str">
        <f>IFERROR(INDEX(PRENOTAZIONI!$G:$G,SMALL(PRENOTAZIONI!$W:$W,60)),"")</f>
        <v/>
      </c>
      <c r="G63" s="35" t="str">
        <f>IFERROR(INDEX(PRENOTAZIONI!$H:$H,SMALL(PRENOTAZIONI!$W:$W,60)),"")</f>
        <v/>
      </c>
      <c r="H63" s="146" t="str">
        <f t="shared" si="13"/>
        <v/>
      </c>
      <c r="I63" s="35" t="str">
        <f t="shared" si="17"/>
        <v/>
      </c>
      <c r="J63" s="149" t="str">
        <f t="shared" si="16"/>
        <v/>
      </c>
      <c r="K63" s="35" t="str">
        <f>IFERROR(INDEX(PRENOTAZIONI!$L:$L,SMALL(PRENOTAZIONI!$W:$W,60)),"")</f>
        <v/>
      </c>
      <c r="L63" s="150" t="str">
        <f t="shared" si="14"/>
        <v/>
      </c>
      <c r="M63" s="35" t="str">
        <f t="shared" si="18"/>
        <v/>
      </c>
      <c r="N63" s="35"/>
      <c r="O63" s="35"/>
      <c r="P63" s="150" t="str">
        <f t="shared" si="15"/>
        <v/>
      </c>
      <c r="Q63" s="47" t="str">
        <f>IFERROR(INDEX(PRENOTAZIONI!$R:$R,SMALL(PRENOTAZIONI!$W:$W,60)),"")</f>
        <v/>
      </c>
      <c r="S63" s="78"/>
    </row>
    <row r="64" spans="1:19" ht="19" customHeight="1" x14ac:dyDescent="0.25">
      <c r="S64" s="78"/>
    </row>
    <row r="65" spans="19:19" ht="19" customHeight="1" x14ac:dyDescent="0.25">
      <c r="S65" s="78"/>
    </row>
  </sheetData>
  <autoFilter ref="A3:P63" xr:uid="{00000000-0009-0000-0000-00000B000000}"/>
  <pageMargins left="0.75" right="0.75" top="1" bottom="1" header="0.5" footer="0.5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55E52"/>
  </sheetPr>
  <dimension ref="A1:BG65"/>
  <sheetViews>
    <sheetView workbookViewId="0">
      <pane ySplit="3" topLeftCell="A6" activePane="bottomLeft" state="frozen"/>
      <selection pane="bottomLeft" activeCell="P26" sqref="P26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.83203125" bestFit="1" customWidth="1"/>
    <col min="7" max="9" width="11" customWidth="1"/>
    <col min="10" max="10" width="12.33203125" customWidth="1"/>
    <col min="11" max="11" width="9.1640625" bestFit="1" customWidth="1"/>
    <col min="12" max="12" width="12.33203125" bestFit="1" customWidth="1"/>
    <col min="13" max="13" width="10" customWidth="1"/>
    <col min="14" max="14" width="12.5" customWidth="1"/>
    <col min="15" max="15" width="16.33203125" bestFit="1" customWidth="1"/>
    <col min="16" max="16" width="18" style="93" customWidth="1"/>
    <col min="17" max="17" width="48.83203125" style="93" bestFit="1" customWidth="1"/>
    <col min="18" max="18" width="54.6640625" style="93" bestFit="1" customWidth="1"/>
    <col min="19" max="19" width="13.1640625" bestFit="1" customWidth="1"/>
    <col min="20" max="20" width="11.5" bestFit="1" customWidth="1"/>
    <col min="21" max="21" width="20" customWidth="1"/>
    <col min="22" max="22" width="18.5" bestFit="1" customWidth="1"/>
    <col min="23" max="23" width="11" customWidth="1"/>
    <col min="24" max="24" width="12" customWidth="1"/>
    <col min="25" max="26" width="10" customWidth="1"/>
    <col min="27" max="27" width="12" customWidth="1"/>
    <col min="28" max="28" width="12.33203125" bestFit="1" customWidth="1"/>
    <col min="29" max="29" width="11.83203125" bestFit="1" customWidth="1"/>
    <col min="30" max="30" width="2" customWidth="1"/>
    <col min="31" max="31" width="13" customWidth="1"/>
    <col min="32" max="32" width="48.1640625" bestFit="1" customWidth="1"/>
    <col min="33" max="33" width="8" customWidth="1"/>
    <col min="34" max="34" width="13" customWidth="1"/>
    <col min="35" max="35" width="13.33203125" bestFit="1" customWidth="1"/>
    <col min="36" max="36" width="12.1640625" bestFit="1" customWidth="1"/>
    <col min="37" max="37" width="12" customWidth="1"/>
    <col min="38" max="38" width="11.83203125" bestFit="1" customWidth="1"/>
    <col min="39" max="40" width="11" customWidth="1"/>
    <col min="41" max="41" width="14.5" bestFit="1" customWidth="1"/>
  </cols>
  <sheetData>
    <row r="1" spans="1:59" ht="28" customHeight="1" thickBot="1" x14ac:dyDescent="0.3">
      <c r="A1" s="1" t="s">
        <v>287</v>
      </c>
      <c r="B1" s="2"/>
      <c r="C1" s="2"/>
      <c r="D1" s="2"/>
      <c r="E1" s="2"/>
      <c r="F1" s="2"/>
      <c r="G1" s="2"/>
      <c r="H1" s="2"/>
      <c r="I1" s="2"/>
      <c r="J1" s="148"/>
      <c r="K1" s="2"/>
      <c r="L1" s="2"/>
      <c r="M1" s="2"/>
      <c r="N1" s="2"/>
      <c r="O1" s="2"/>
      <c r="P1" s="2"/>
      <c r="Q1" s="92"/>
      <c r="S1" s="78"/>
      <c r="AE1" s="38"/>
      <c r="AF1" s="110" t="s">
        <v>288</v>
      </c>
      <c r="AG1" s="108"/>
      <c r="AH1" s="108"/>
      <c r="AI1" s="108"/>
      <c r="AJ1" s="108"/>
      <c r="AK1" s="108"/>
      <c r="AL1" s="108"/>
      <c r="AM1" s="108"/>
      <c r="AN1" s="109"/>
      <c r="AO1" s="109"/>
    </row>
    <row r="2" spans="1:59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78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</row>
    <row r="3" spans="1:59" ht="35" thickBot="1" x14ac:dyDescent="0.25">
      <c r="A3" s="139" t="s">
        <v>1</v>
      </c>
      <c r="B3" s="139" t="s">
        <v>2</v>
      </c>
      <c r="C3" s="139" t="s">
        <v>3</v>
      </c>
      <c r="D3" s="139" t="s">
        <v>5</v>
      </c>
      <c r="E3" s="139" t="s">
        <v>248</v>
      </c>
      <c r="F3" s="139" t="s">
        <v>7</v>
      </c>
      <c r="G3" s="139" t="s">
        <v>8</v>
      </c>
      <c r="H3" s="155" t="s">
        <v>9</v>
      </c>
      <c r="I3" s="139" t="s">
        <v>249</v>
      </c>
      <c r="J3" s="155" t="s">
        <v>250</v>
      </c>
      <c r="K3" s="139" t="s">
        <v>12</v>
      </c>
      <c r="L3" s="139" t="s">
        <v>251</v>
      </c>
      <c r="M3" s="139" t="s">
        <v>285</v>
      </c>
      <c r="N3" s="139" t="s">
        <v>253</v>
      </c>
      <c r="O3" s="139" t="s">
        <v>254</v>
      </c>
      <c r="P3" s="139" t="s">
        <v>255</v>
      </c>
      <c r="Q3" s="156" t="s">
        <v>18</v>
      </c>
      <c r="R3" s="100"/>
      <c r="S3" s="98" t="s">
        <v>1</v>
      </c>
      <c r="T3" s="3" t="s">
        <v>2</v>
      </c>
      <c r="U3" s="3" t="s">
        <v>3</v>
      </c>
      <c r="V3" s="3" t="s">
        <v>5</v>
      </c>
      <c r="W3" s="3" t="s">
        <v>248</v>
      </c>
      <c r="X3" s="3" t="s">
        <v>8</v>
      </c>
      <c r="Y3" s="3" t="s">
        <v>11</v>
      </c>
      <c r="Z3" s="3" t="s">
        <v>256</v>
      </c>
      <c r="AA3" s="3" t="s">
        <v>257</v>
      </c>
      <c r="AB3" s="3" t="s">
        <v>252</v>
      </c>
      <c r="AC3" s="3" t="s">
        <v>255</v>
      </c>
      <c r="AE3" s="44"/>
      <c r="AF3" s="111" t="s">
        <v>175</v>
      </c>
      <c r="AG3" s="111" t="s">
        <v>258</v>
      </c>
      <c r="AH3" s="111" t="s">
        <v>179</v>
      </c>
      <c r="AI3" s="111" t="s">
        <v>176</v>
      </c>
      <c r="AJ3" s="111" t="s">
        <v>259</v>
      </c>
      <c r="AK3" s="111" t="s">
        <v>260</v>
      </c>
      <c r="AL3" s="111" t="s">
        <v>261</v>
      </c>
      <c r="AM3" s="107" t="s">
        <v>251</v>
      </c>
      <c r="AN3" s="107" t="s">
        <v>250</v>
      </c>
      <c r="AO3" s="112" t="s">
        <v>262</v>
      </c>
    </row>
    <row r="4" spans="1:59" ht="20" customHeight="1" thickBot="1" x14ac:dyDescent="0.25">
      <c r="A4" s="164">
        <f>IFERROR(INDEX(PRENOTAZIONI!$A:$A,SMALL(PRENOTAZIONI!$X:$X,1)),"")</f>
        <v>46105</v>
      </c>
      <c r="B4" s="165">
        <f>IFERROR(INDEX(PRENOTAZIONI!$B:$B,SMALL(PRENOTAZIONI!$X:$X,1)),"")</f>
        <v>46109</v>
      </c>
      <c r="C4" s="166">
        <f t="shared" ref="C4:C35" si="0">IF(A4&lt;&gt;"",B4-A4,"")</f>
        <v>4</v>
      </c>
      <c r="D4" s="167" t="str">
        <f>IFERROR(INDEX(PRENOTAZIONI!$E:$E,SMALL(PRENOTAZIONI!$X:$X,1)),"")</f>
        <v>Flavia di Campli</v>
      </c>
      <c r="E4" s="167" t="str">
        <f>IFERROR(INDEX(PRENOTAZIONI!$F:$F,SMALL(PRENOTAZIONI!$X:$X,1)),"")</f>
        <v>1 ad</v>
      </c>
      <c r="F4" s="167" t="str">
        <f>IFERROR(INDEX(PRENOTAZIONI!$G:$G,SMALL(PRENOTAZIONI!$X:$X,1)),"")</f>
        <v>booking.com</v>
      </c>
      <c r="G4" s="168">
        <f>IFERROR(INDEX(PRENOTAZIONI!$H:$H,SMALL(PRENOTAZIONI!$X:$X,1)),"")</f>
        <v>322.64</v>
      </c>
      <c r="H4" s="213">
        <f t="shared" ref="H4:H35" si="1">IF(AND(G4&lt;&gt;"",C4&lt;&gt;"",C4&lt;&gt;0),G4/C4,"")</f>
        <v>80.66</v>
      </c>
      <c r="I4" s="168">
        <f>IF(G4="","",IF(NOT(ISERROR(SEARCH("diretta",F4))),0,IF(NOT(ISERROR(SEARCH("booking",F4))),G4*0.165,IF(NOT(ISERROR(SEARCH("airbnb",F4))),G4*0.155,""))))</f>
        <v>53.235599999999998</v>
      </c>
      <c r="J4" s="169">
        <f>IF(I4&lt;&gt;"",I4*0.22,"")</f>
        <v>11.711831999999999</v>
      </c>
      <c r="K4" s="168">
        <f>IFERROR(INDEX(PRENOTAZIONI!$L:$L,SMALL(PRENOTAZIONI!$X:$X,1)),"")</f>
        <v>2</v>
      </c>
      <c r="L4" s="170">
        <f t="shared" ref="L4:L35" si="2">IF(G4&lt;&gt;"",G4*0.21,"")</f>
        <v>67.75439999999999</v>
      </c>
      <c r="M4" s="168">
        <f t="shared" ref="M4:M35" si="3">IF(G4&lt;&gt;"",G4*0.1,"")</f>
        <v>32.264000000000003</v>
      </c>
      <c r="N4" s="168"/>
      <c r="O4" s="171"/>
      <c r="P4" s="170">
        <f t="shared" ref="P4:P35" si="4">IF(G4&lt;&gt;"",G4-I4-J4-L4-M4-N4,"")</f>
        <v>157.67416800000001</v>
      </c>
      <c r="Q4" s="210">
        <f>IFERROR(INDEX(PRENOTAZIONI!$R:$R,SMALL(PRENOTAZIONI!$X:$X,1)),"")</f>
        <v>0</v>
      </c>
      <c r="R4" s="214" t="s">
        <v>286</v>
      </c>
      <c r="S4" s="99">
        <f>IFERROR(INDEX(PRENOTAZIONI!$A:$A,SMALL(PRENOTAZIONI!$AL:$AL,1)),"")</f>
        <v>46199</v>
      </c>
      <c r="T4" s="31">
        <f>IFERROR(INDEX(PRENOTAZIONI!$B:$B,SMALL(PRENOTAZIONI!$AL:$AL,1)),"")</f>
        <v>46202</v>
      </c>
      <c r="U4" s="32">
        <f t="shared" ref="U4:U33" si="5">IF(S4&lt;&gt;"",T4-S4,"")</f>
        <v>3</v>
      </c>
      <c r="V4" s="34" t="str">
        <f>IFERROR(INDEX(PRENOTAZIONI!$E:$E,SMALL(PRENOTAZIONI!$AL:$AL,1)),"")</f>
        <v>Ernesta Gargarella</v>
      </c>
      <c r="W4" s="34" t="str">
        <f>IFERROR(INDEX(PRENOTAZIONI!$F:$F,SMALL(PRENOTAZIONI!$AL:$AL,1)),"")</f>
        <v>3 ad</v>
      </c>
      <c r="X4" s="35">
        <f>IFERROR(INDEX(PRENOTAZIONI!$H:$H,SMALL(PRENOTAZIONI!$AL:$AL,1)),"")</f>
        <v>350</v>
      </c>
      <c r="Y4" s="34">
        <f>IFERROR(INDEX(PRENOTAZIONI!$K:$K,SMALL(PRENOTAZIONI!$AL:$AL,1)),"")</f>
        <v>0</v>
      </c>
      <c r="Z4" s="34"/>
      <c r="AA4" s="34"/>
      <c r="AB4" s="40">
        <f t="shared" ref="AB4:AB33" si="6">IF(X4&lt;&gt;"",X4*0.1,"")</f>
        <v>35</v>
      </c>
      <c r="AC4" s="41">
        <f t="shared" ref="AC4:AC33" si="7">IF(X4&lt;&gt;"",X4-AB4,"")</f>
        <v>315</v>
      </c>
      <c r="AE4" s="38"/>
      <c r="AF4" s="113" t="s">
        <v>174</v>
      </c>
      <c r="AG4" s="114">
        <f>SUMPRODUCT((MONTH(PRENOTAZIONI!$A$3:$A$262)=1)*(YEAR(PRENOTAZIONI!$A$3:$A$262)=2026)*(PRENOTAZIONI!$D$3:$D$262="Via Cavour"))</f>
        <v>0</v>
      </c>
      <c r="AH4" s="114">
        <f>SUMPRODUCT((PRENOTAZIONI!$A$3:$A$262&lt;DATE(2026,2,1))*(PRENOTAZIONI!$B$3:$B$262&gt;DATE(2026,1,1))*(YEAR(PRENOTAZIONI!$A$3:$A$262)=2026)*(PRENOTAZIONI!$D$3:$D$262="Via Cavour")*((PRENOTAZIONI!$B$3:$B$262*(PRENOTAZIONI!$B$3:$B$262&lt;DATE(2026,2,1))+DATE(2026,2,1)*(PRENOTAZIONI!$B$3:$B$262&gt;=DATE(2026,2,1)))-(PRENOTAZIONI!$A$3:$A$262*(PRENOTAZIONI!$A$3:$A$262&gt;DATE(2026,1,1))+DATE(2026,1,1)*(PRENOTAZIONI!$A$3:$A$262&lt;=DATE(2026,1,1)))))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I4" s="151">
        <f>SUMIF(A4:A33,"&gt;="&amp;DATE(2026,1,1),G4:G33)-SUMIF(A4:A33,"&gt;="&amp;DATE(2026,2,1),G4:G33)</f>
        <v>0</v>
      </c>
      <c r="AJ4" s="151">
        <f>SUMIF(A4:A33,"&gt;="&amp;DATE(2026,1,1),I4:I33)-SUMIF(A4:A33,"&gt;="&amp;DATE(2026,2,1),I4:I33)</f>
        <v>0</v>
      </c>
      <c r="AK4" s="151">
        <f>SUMIF(A4:A33,"&gt;="&amp;DATE(2026,1,1),K4:K33)-SUMIF(A4:A33,"&gt;="&amp;DATE(2026,2,1),K4:K33)</f>
        <v>0</v>
      </c>
      <c r="AL4" s="151">
        <f>SUMIF(A4:A33,"&gt;="&amp;DATE(2026,1,1),M4:M33)-SUMIF(A4:A33,"&gt;="&amp;DATE(2026,2,1),M4:M33)</f>
        <v>0</v>
      </c>
      <c r="AM4" s="152">
        <f>SUMIF(A4:A33,"&gt;="&amp;DATE(2026,1,1),L4:L33)-SUMIF(A4:A33,"&gt;="&amp;DATE(2026,2,1),L4:L33)</f>
        <v>0</v>
      </c>
      <c r="AN4" s="152">
        <f>SUMIF(A4:A33,"&gt;="&amp;DATE(2026,1,1),J4:J33)-SUMIF(A4:A33,"&gt;="&amp;DATE(2026,2,1),J4:J33)</f>
        <v>0</v>
      </c>
      <c r="AO4" s="153">
        <f>SUMIF(A4:A33,"&gt;="&amp;DATE(2026,1,1),P4:P33)-SUMIF(A4:A33,"&gt;="&amp;DATE(2026,2,1),P4:P33)</f>
        <v>0</v>
      </c>
    </row>
    <row r="5" spans="1:59" ht="20" customHeight="1" thickBot="1" x14ac:dyDescent="0.25">
      <c r="A5" s="164">
        <f>IFERROR(INDEX(PRENOTAZIONI!$A:$A,SMALL(PRENOTAZIONI!$X:$X,2)),"")</f>
        <v>46124</v>
      </c>
      <c r="B5" s="165">
        <f>IFERROR(INDEX(PRENOTAZIONI!$B:$B,SMALL(PRENOTAZIONI!$X:$X,2)),"")</f>
        <v>46128</v>
      </c>
      <c r="C5" s="166">
        <f t="shared" si="0"/>
        <v>4</v>
      </c>
      <c r="D5" s="167" t="str">
        <f>IFERROR(INDEX(PRENOTAZIONI!$E:$E,SMALL(PRENOTAZIONI!$X:$X,2)),"")</f>
        <v>Luca D'Orsogna</v>
      </c>
      <c r="E5" s="167" t="str">
        <f>IFERROR(INDEX(PRENOTAZIONI!$F:$F,SMALL(PRENOTAZIONI!$X:$X,2)),"")</f>
        <v>2 ad + 3 b</v>
      </c>
      <c r="F5" s="167" t="str">
        <f>IFERROR(INDEX(PRENOTAZIONI!$G:$G,SMALL(PRENOTAZIONI!$X:$X,2)),"")</f>
        <v>diretta</v>
      </c>
      <c r="G5" s="168">
        <f>IFERROR(INDEX(PRENOTAZIONI!$H:$H,SMALL(PRENOTAZIONI!$X:$X,2)),"")</f>
        <v>420</v>
      </c>
      <c r="H5" s="213">
        <f t="shared" si="1"/>
        <v>105</v>
      </c>
      <c r="I5" s="168">
        <v>0</v>
      </c>
      <c r="J5" s="169">
        <v>0</v>
      </c>
      <c r="K5" s="168">
        <f>IFERROR(INDEX(PRENOTAZIONI!$L:$L,SMALL(PRENOTAZIONI!$X:$X,2)),"")</f>
        <v>4</v>
      </c>
      <c r="L5" s="170">
        <f t="shared" si="2"/>
        <v>88.2</v>
      </c>
      <c r="M5" s="168">
        <f t="shared" si="3"/>
        <v>42</v>
      </c>
      <c r="N5" s="168"/>
      <c r="O5" s="171"/>
      <c r="P5" s="170">
        <f t="shared" si="4"/>
        <v>289.8</v>
      </c>
      <c r="Q5" s="210">
        <f>IFERROR(INDEX(PRENOTAZIONI!$R:$R,SMALL(PRENOTAZIONI!$X:$X,2)),"")</f>
        <v>0</v>
      </c>
      <c r="R5" s="214" t="s">
        <v>322</v>
      </c>
      <c r="S5" s="99" t="str">
        <f>IFERROR(INDEX(PRENOTAZIONI!$A:$A,SMALL(PRENOTAZIONI!$AL:$AL,2)),"")</f>
        <v/>
      </c>
      <c r="T5" s="31" t="str">
        <f>IFERROR(INDEX(PRENOTAZIONI!$B:$B,SMALL(PRENOTAZIONI!$AL:$AL,2)),"")</f>
        <v/>
      </c>
      <c r="U5" s="32" t="str">
        <f t="shared" si="5"/>
        <v/>
      </c>
      <c r="V5" s="34" t="str">
        <f>IFERROR(INDEX(PRENOTAZIONI!$E:$E,SMALL(PRENOTAZIONI!$AL:$AL,2)),"")</f>
        <v/>
      </c>
      <c r="W5" s="34" t="str">
        <f>IFERROR(INDEX(PRENOTAZIONI!$F:$F,SMALL(PRENOTAZIONI!$AL:$AL,2)),"")</f>
        <v/>
      </c>
      <c r="X5" s="35" t="str">
        <f>IFERROR(INDEX(PRENOTAZIONI!$H:$H,SMALL(PRENOTAZIONI!$AL:$AL,2)),"")</f>
        <v/>
      </c>
      <c r="Y5" s="34" t="str">
        <f>IFERROR(INDEX(PRENOTAZIONI!$K:$K,SMALL(PRENOTAZIONI!$AL:$AL,2)),"")</f>
        <v/>
      </c>
      <c r="Z5" s="34"/>
      <c r="AA5" s="34"/>
      <c r="AB5" s="40" t="str">
        <f t="shared" si="6"/>
        <v/>
      </c>
      <c r="AC5" s="41" t="str">
        <f t="shared" si="7"/>
        <v/>
      </c>
      <c r="AE5" s="38"/>
      <c r="AF5" s="113" t="s">
        <v>182</v>
      </c>
      <c r="AG5" s="114">
        <f>SUMPRODUCT((MONTH(PRENOTAZIONI!$A$3:$A$262)=2)*(YEAR(PRENOTAZIONI!$A$3:$A$262)=2026)*(PRENOTAZIONI!$D$3:$D$262="Via Cavour"))</f>
        <v>0</v>
      </c>
      <c r="AH5" s="114">
        <f>SUMPRODUCT((PRENOTAZIONI!$A$3:$A$262&lt;DATE(2026,3,1))*(PRENOTAZIONI!$B$3:$B$262&gt;DATE(2026,2,1))*(YEAR(PRENOTAZIONI!$A$3:$A$262)=2026)*(PRENOTAZIONI!$D$3:$D$262="Via Cavour")*((PRENOTAZIONI!$B$3:$B$262*(PRENOTAZIONI!$B$3:$B$262&lt;DATE(2026,3,1))+DATE(2026,3,1)*(PRENOTAZIONI!$B$3:$B$262&gt;=DATE(2026,3,1)))-(PRENOTAZIONI!$A$3:$A$262*(PRENOTAZIONI!$A$3:$A$262&gt;DATE(2026,2,1))+DATE(2026,2,1)*(PRENOTAZIONI!$A$3:$A$262&lt;=DATE(2026,2,1)))))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I5" s="151">
        <f>SUMIF(A4:A33,"&gt;="&amp;DATE(2026,2,1),G4:G33)-SUMIF(A4:A33,"&gt;="&amp;DATE(2026,3,1),G4:G33)</f>
        <v>0</v>
      </c>
      <c r="AJ5" s="151">
        <f>SUMIF(A4:A33,"&gt;="&amp;DATE(2026,2,1),I4:I33)-SUMIF(A4:A33,"&gt;="&amp;DATE(2026,3,1),I4:I33)</f>
        <v>0</v>
      </c>
      <c r="AK5" s="151">
        <f>SUMIF(A4:A33,"&gt;="&amp;DATE(2026,2,1),K4:K33)-SUMIF(A4:A33,"&gt;="&amp;DATE(2026,3,1),K4:K33)</f>
        <v>0</v>
      </c>
      <c r="AL5" s="151">
        <f>SUMIF(A4:A33,"&gt;="&amp;DATE(2026,2,1),M4:M33)-SUMIF(A4:A33,"&gt;="&amp;DATE(2026,3,1),M4:M33)</f>
        <v>0</v>
      </c>
      <c r="AM5" s="152">
        <f>SUMIF(A4:A33,"&gt;="&amp;DATE(2026,2,1),L4:L33)-SUMIF(A4:A33,"&gt;="&amp;DATE(2026,3,1),L4:L33)</f>
        <v>0</v>
      </c>
      <c r="AN5" s="152">
        <f>SUMIF(A4:A33,"&gt;="&amp;DATE(2026,2,1),J4:J33)-SUMIF(A4:A33,"&gt;="&amp;DATE(2026,3,1),J4:J33)</f>
        <v>0</v>
      </c>
      <c r="AO5" s="153">
        <f>SUMIF(A4:A33,"&gt;="&amp;DATE(2026,2,1),P4:P33)-SUMIF(A4:A33,"&gt;="&amp;DATE(2026,3,1),P4:P33)</f>
        <v>0</v>
      </c>
    </row>
    <row r="6" spans="1:59" ht="20" customHeight="1" x14ac:dyDescent="0.2">
      <c r="A6" s="157">
        <f>IFERROR(INDEX(PRENOTAZIONI!$A:$A,SMALL(PRENOTAZIONI!$X:$X,3)),"")</f>
        <v>46222</v>
      </c>
      <c r="B6" s="157">
        <f>IFERROR(INDEX(PRENOTAZIONI!$B:$B,SMALL(PRENOTAZIONI!$X:$X,3)),"")</f>
        <v>46229</v>
      </c>
      <c r="C6" s="158">
        <f t="shared" si="0"/>
        <v>7</v>
      </c>
      <c r="D6" s="159" t="str">
        <f>IFERROR(INDEX(PRENOTAZIONI!$E:$E,SMALL(PRENOTAZIONI!$X:$X,3)),"")</f>
        <v>Sara di Benedetto</v>
      </c>
      <c r="E6" s="159" t="str">
        <f>IFERROR(INDEX(PRENOTAZIONI!$F:$F,SMALL(PRENOTAZIONI!$X:$X,3)),"")</f>
        <v>2 ad</v>
      </c>
      <c r="F6" s="159" t="str">
        <f>IFERROR(INDEX(PRENOTAZIONI!$G:$G,SMALL(PRENOTAZIONI!$X:$X,3)),"")</f>
        <v>booking.com</v>
      </c>
      <c r="G6" s="160">
        <f>IFERROR(INDEX(PRENOTAZIONI!$H:$H,SMALL(PRENOTAZIONI!$X:$X,3)),"")</f>
        <v>935.41</v>
      </c>
      <c r="H6" s="212">
        <f t="shared" si="1"/>
        <v>133.63</v>
      </c>
      <c r="I6" s="160">
        <f t="shared" ref="I6:I37" si="8">IF(G6="","",IF(NOT(ISERROR(SEARCH("diretta",F6))),0,IF(NOT(ISERROR(SEARCH("booking",F6))),G6*0.165,IF(NOT(ISERROR(SEARCH("airbnb",F6))),G6*0.155,""))))</f>
        <v>154.34264999999999</v>
      </c>
      <c r="J6" s="161">
        <f>IF(I6&lt;&gt;"",I6*0.22,"")</f>
        <v>33.955382999999998</v>
      </c>
      <c r="K6" s="160">
        <f>IFERROR(INDEX(PRENOTAZIONI!$L:$L,SMALL(PRENOTAZIONI!$X:$X,3)),"")</f>
        <v>4</v>
      </c>
      <c r="L6" s="154">
        <f t="shared" si="2"/>
        <v>196.43609999999998</v>
      </c>
      <c r="M6" s="160">
        <f t="shared" si="3"/>
        <v>93.540999999999997</v>
      </c>
      <c r="N6" s="160"/>
      <c r="O6" s="162"/>
      <c r="P6" s="154">
        <f t="shared" si="4"/>
        <v>457.13486700000004</v>
      </c>
      <c r="Q6" s="209">
        <f>IFERROR(INDEX(PRENOTAZIONI!$R:$R,SMALL(PRENOTAZIONI!$X:$X,3)),"")</f>
        <v>0</v>
      </c>
      <c r="R6" s="101"/>
      <c r="S6" s="99" t="str">
        <f>IFERROR(INDEX(PRENOTAZIONI!$A:$A,SMALL(PRENOTAZIONI!$AL:$AL,3)),"")</f>
        <v/>
      </c>
      <c r="T6" s="31" t="str">
        <f>IFERROR(INDEX(PRENOTAZIONI!$B:$B,SMALL(PRENOTAZIONI!$AL:$AL,3)),"")</f>
        <v/>
      </c>
      <c r="U6" s="32" t="str">
        <f t="shared" si="5"/>
        <v/>
      </c>
      <c r="V6" s="34" t="str">
        <f>IFERROR(INDEX(PRENOTAZIONI!$E:$E,SMALL(PRENOTAZIONI!$AL:$AL,3)),"")</f>
        <v/>
      </c>
      <c r="W6" s="34" t="str">
        <f>IFERROR(INDEX(PRENOTAZIONI!$F:$F,SMALL(PRENOTAZIONI!$AL:$AL,3)),"")</f>
        <v/>
      </c>
      <c r="X6" s="35" t="str">
        <f>IFERROR(INDEX(PRENOTAZIONI!$H:$H,SMALL(PRENOTAZIONI!$AL:$AL,3)),"")</f>
        <v/>
      </c>
      <c r="Y6" s="34" t="str">
        <f>IFERROR(INDEX(PRENOTAZIONI!$K:$K,SMALL(PRENOTAZIONI!$AL:$AL,3)),"")</f>
        <v/>
      </c>
      <c r="Z6" s="34"/>
      <c r="AA6" s="34"/>
      <c r="AB6" s="40" t="str">
        <f t="shared" si="6"/>
        <v/>
      </c>
      <c r="AC6" s="41" t="str">
        <f t="shared" si="7"/>
        <v/>
      </c>
      <c r="AE6" s="38"/>
      <c r="AF6" s="113" t="s">
        <v>183</v>
      </c>
      <c r="AG6" s="114">
        <f>SUMPRODUCT((MONTH(PRENOTAZIONI!$A$3:$A$262)=3)*(YEAR(PRENOTAZIONI!$A$3:$A$262)=2026)*(PRENOTAZIONI!$D$3:$D$262="Via Cavour"))</f>
        <v>1</v>
      </c>
      <c r="AH6" s="114">
        <f>SUMPRODUCT((PRENOTAZIONI!$A$3:$A$262&lt;DATE(2026,4,1))*(PRENOTAZIONI!$B$3:$B$262&gt;DATE(2026,3,1))*(YEAR(PRENOTAZIONI!$A$3:$A$262)=2026)*(PRENOTAZIONI!$D$3:$D$262="Via Cavour")*((PRENOTAZIONI!$B$3:$B$262*(PRENOTAZIONI!$B$3:$B$262&lt;DATE(2026,4,1))+DATE(2026,4,1)*(PRENOTAZIONI!$B$3:$B$262&gt;=DATE(2026,4,1)))-(PRENOTAZIONI!$A$3:$A$262*(PRENOTAZIONI!$A$3:$A$262&gt;DATE(2026,3,1))+DATE(2026,3,1)*(PRENOTAZIONI!$A$3:$A$262&lt;=DATE(2026,3,1)))))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4</v>
      </c>
      <c r="AI6" s="151">
        <f>SUMIF(A4:A33,"&gt;="&amp;DATE(2026,3,1),G4:G33)-SUMIF(A4:A33,"&gt;="&amp;DATE(2026,4,1),G4:G33)</f>
        <v>322.64000000000033</v>
      </c>
      <c r="AJ6" s="151">
        <f>SUMIF(A4:A33,"&gt;="&amp;DATE(2026,3,1),I4:I33)-SUMIF(A4:A33,"&gt;="&amp;DATE(2026,4,1),I4:I33)</f>
        <v>53.235600000000034</v>
      </c>
      <c r="AK6" s="151">
        <f>SUMIF(A4:A33,"&gt;="&amp;DATE(2026,3,1),K4:K33)-SUMIF(A4:A33,"&gt;="&amp;DATE(2026,4,1),K4:K33)</f>
        <v>2</v>
      </c>
      <c r="AL6" s="151">
        <f>SUMIF(A4:A33,"&gt;="&amp;DATE(2026,3,1),M4:M33)-SUMIF(A4:A33,"&gt;="&amp;DATE(2026,4,1),M4:M33)</f>
        <v>32.26400000000001</v>
      </c>
      <c r="AM6" s="152">
        <f>SUMIF(A4:A33,"&gt;="&amp;DATE(2026,3,1),L4:L33)-SUMIF(A4:A33,"&gt;="&amp;DATE(2026,4,1),L4:L33)</f>
        <v>67.754400000000032</v>
      </c>
      <c r="AN6" s="152">
        <f>SUMIF(A4:A33,"&gt;="&amp;DATE(2026,3,1),J4:J33)-SUMIF(A4:A33,"&gt;="&amp;DATE(2026,4,1),J4:J33)</f>
        <v>11.711832000000001</v>
      </c>
      <c r="AO6" s="153">
        <f>SUMIF(A4:A33,"&gt;="&amp;DATE(2026,3,1),P4:P33)-SUMIF(A4:A33,"&gt;="&amp;DATE(2026,4,1),P4:P33)</f>
        <v>157.67416800000001</v>
      </c>
    </row>
    <row r="7" spans="1:59" ht="20" customHeight="1" x14ac:dyDescent="0.2">
      <c r="A7" s="31">
        <f>IFERROR(INDEX(PRENOTAZIONI!$A:$A,SMALL(PRENOTAZIONI!$X:$X,4)),"")</f>
        <v>46243</v>
      </c>
      <c r="B7" s="31">
        <f>IFERROR(INDEX(PRENOTAZIONI!$B:$B,SMALL(PRENOTAZIONI!$X:$X,4)),"")</f>
        <v>46250</v>
      </c>
      <c r="C7" s="32">
        <f t="shared" si="0"/>
        <v>7</v>
      </c>
      <c r="D7" s="34" t="str">
        <f>IFERROR(INDEX(PRENOTAZIONI!$E:$E,SMALL(PRENOTAZIONI!$X:$X,4)),"")</f>
        <v>David Mesa</v>
      </c>
      <c r="E7" s="34" t="str">
        <f>IFERROR(INDEX(PRENOTAZIONI!$F:$F,SMALL(PRENOTAZIONI!$X:$X,4)),"")</f>
        <v>1 ad 1 b</v>
      </c>
      <c r="F7" s="34" t="str">
        <f>IFERROR(INDEX(PRENOTAZIONI!$G:$G,SMALL(PRENOTAZIONI!$X:$X,4)),"")</f>
        <v>booking.com</v>
      </c>
      <c r="G7" s="35">
        <f>IFERROR(INDEX(PRENOTAZIONI!$H:$H,SMALL(PRENOTAZIONI!$X:$X,4)),"")</f>
        <v>1004.85</v>
      </c>
      <c r="H7" s="146">
        <f t="shared" si="1"/>
        <v>143.55000000000001</v>
      </c>
      <c r="I7" s="35">
        <f t="shared" si="8"/>
        <v>165.80025000000001</v>
      </c>
      <c r="J7" s="149">
        <f>IF(I7&lt;&gt;"",I7*0.22,"")</f>
        <v>36.476055000000002</v>
      </c>
      <c r="K7" s="35">
        <f>IFERROR(INDEX(PRENOTAZIONI!$L:$L,SMALL(PRENOTAZIONI!$X:$X,4)),"")</f>
        <v>0</v>
      </c>
      <c r="L7" s="150">
        <f t="shared" si="2"/>
        <v>211.01849999999999</v>
      </c>
      <c r="M7" s="35">
        <f t="shared" si="3"/>
        <v>100.48500000000001</v>
      </c>
      <c r="N7" s="35"/>
      <c r="O7" s="43"/>
      <c r="P7" s="150">
        <f t="shared" si="4"/>
        <v>491.07019500000001</v>
      </c>
      <c r="Q7" s="47">
        <f>IFERROR(INDEX(PRENOTAZIONI!$R:$R,SMALL(PRENOTAZIONI!$X:$X,4)),"")</f>
        <v>0</v>
      </c>
      <c r="R7" s="101"/>
      <c r="S7" s="99" t="str">
        <f>IFERROR(INDEX(PRENOTAZIONI!$A:$A,SMALL(PRENOTAZIONI!$AL:$AL,4)),"")</f>
        <v/>
      </c>
      <c r="T7" s="31" t="str">
        <f>IFERROR(INDEX(PRENOTAZIONI!$B:$B,SMALL(PRENOTAZIONI!$AL:$AL,4)),"")</f>
        <v/>
      </c>
      <c r="U7" s="32" t="str">
        <f t="shared" si="5"/>
        <v/>
      </c>
      <c r="V7" s="34" t="str">
        <f>IFERROR(INDEX(PRENOTAZIONI!$E:$E,SMALL(PRENOTAZIONI!$AL:$AL,4)),"")</f>
        <v/>
      </c>
      <c r="W7" s="34" t="str">
        <f>IFERROR(INDEX(PRENOTAZIONI!$F:$F,SMALL(PRENOTAZIONI!$AL:$AL,4)),"")</f>
        <v/>
      </c>
      <c r="X7" s="35" t="str">
        <f>IFERROR(INDEX(PRENOTAZIONI!$H:$H,SMALL(PRENOTAZIONI!$AL:$AL,4)),"")</f>
        <v/>
      </c>
      <c r="Y7" s="34" t="str">
        <f>IFERROR(INDEX(PRENOTAZIONI!$K:$K,SMALL(PRENOTAZIONI!$AL:$AL,4)),"")</f>
        <v/>
      </c>
      <c r="Z7" s="34"/>
      <c r="AA7" s="34"/>
      <c r="AB7" s="40" t="str">
        <f t="shared" si="6"/>
        <v/>
      </c>
      <c r="AC7" s="41" t="str">
        <f t="shared" si="7"/>
        <v/>
      </c>
      <c r="AE7" s="38"/>
      <c r="AF7" s="113" t="s">
        <v>184</v>
      </c>
      <c r="AG7" s="114">
        <f>SUMPRODUCT((MONTH(PRENOTAZIONI!$A$3:$A$262)=4)*(YEAR(PRENOTAZIONI!$A$3:$A$262)=2026)*(PRENOTAZIONI!$D$3:$D$262="Via Cavour"))</f>
        <v>1</v>
      </c>
      <c r="AH7" s="114">
        <f>SUMPRODUCT((PRENOTAZIONI!$A$3:$A$262&lt;DATE(2026,5,1))*(PRENOTAZIONI!$B$3:$B$262&gt;DATE(2026,4,1))*(YEAR(PRENOTAZIONI!$A$3:$A$262)=2026)*(PRENOTAZIONI!$D$3:$D$262="Via Cavour")*((PRENOTAZIONI!$B$3:$B$262*(PRENOTAZIONI!$B$3:$B$262&lt;DATE(2026,5,1))+DATE(2026,5,1)*(PRENOTAZIONI!$B$3:$B$262&gt;=DATE(2026,5,1)))-(PRENOTAZIONI!$A$3:$A$262*(PRENOTAZIONI!$A$3:$A$262&gt;DATE(2026,4,1))+DATE(2026,4,1)*(PRENOTAZIONI!$A$3:$A$262&lt;=DATE(2026,4,1)))))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4</v>
      </c>
      <c r="AI7" s="151">
        <f>SUMIF(A4:A33,"&gt;="&amp;DATE(2026,4,1),G4:G33)-SUMIF(A4:A33,"&gt;="&amp;DATE(2026,5,1),G4:G33)</f>
        <v>419.99999999999909</v>
      </c>
      <c r="AJ7" s="151">
        <f>SUMIF(A4:A33,"&gt;="&amp;DATE(2026,4,1),I4:I33)-SUMIF(A4:A33,"&gt;="&amp;DATE(2026,5,1),I4:I33)</f>
        <v>0</v>
      </c>
      <c r="AK7" s="151">
        <f>SUMIF(A4:A33,"&gt;="&amp;DATE(2026,4,1),K4:K33)-SUMIF(A4:A33,"&gt;="&amp;DATE(2026,5,1),K4:K33)</f>
        <v>4</v>
      </c>
      <c r="AL7" s="151">
        <f>SUMIF(A4:A33,"&gt;="&amp;DATE(2026,4,1),M4:M33)-SUMIF(A4:A33,"&gt;="&amp;DATE(2026,5,1),M4:M33)</f>
        <v>42</v>
      </c>
      <c r="AM7" s="152">
        <f>SUMIF(A4:A33,"&gt;="&amp;DATE(2026,4,1),L4:L33)-SUMIF(A4:A33,"&gt;="&amp;DATE(2026,5,1),L4:L33)</f>
        <v>88.199999999999932</v>
      </c>
      <c r="AN7" s="152">
        <f>SUMIF(A4:A33,"&gt;="&amp;DATE(2026,4,1),J4:J33)-SUMIF(A4:A33,"&gt;="&amp;DATE(2026,5,1),J4:J33)</f>
        <v>0</v>
      </c>
      <c r="AO7" s="153">
        <f>SUMIF(A4:A33,"&gt;="&amp;DATE(2026,4,1),P4:P33)-SUMIF(A4:A33,"&gt;="&amp;DATE(2026,5,1),P4:P33)</f>
        <v>289.80000000000018</v>
      </c>
    </row>
    <row r="8" spans="1:59" ht="20" customHeight="1" x14ac:dyDescent="0.2">
      <c r="A8" s="31">
        <f>IFERROR(INDEX(PRENOTAZIONI!$A:$A,SMALL(PRENOTAZIONI!$X:$X,5)),"")</f>
        <v>46250</v>
      </c>
      <c r="B8" s="31">
        <f>IFERROR(INDEX(PRENOTAZIONI!$B:$B,SMALL(PRENOTAZIONI!$X:$X,5)),"")</f>
        <v>46255</v>
      </c>
      <c r="C8" s="32">
        <f t="shared" si="0"/>
        <v>5</v>
      </c>
      <c r="D8" s="34" t="str">
        <f>IFERROR(INDEX(PRENOTAZIONI!$E:$E,SMALL(PRENOTAZIONI!$X:$X,5)),"")</f>
        <v>Vincenzo Patti</v>
      </c>
      <c r="E8" s="34" t="str">
        <f>IFERROR(INDEX(PRENOTAZIONI!$F:$F,SMALL(PRENOTAZIONI!$X:$X,5)),"")</f>
        <v>2 ad</v>
      </c>
      <c r="F8" s="34" t="str">
        <f>IFERROR(INDEX(PRENOTAZIONI!$G:$G,SMALL(PRENOTAZIONI!$X:$X,5)),"")</f>
        <v>diretta</v>
      </c>
      <c r="G8" s="35">
        <f>IFERROR(INDEX(PRENOTAZIONI!$H:$H,SMALL(PRENOTAZIONI!$X:$X,5)),"")</f>
        <v>500</v>
      </c>
      <c r="H8" s="146">
        <f t="shared" si="1"/>
        <v>100</v>
      </c>
      <c r="I8" s="35">
        <f t="shared" si="8"/>
        <v>0</v>
      </c>
      <c r="J8" s="149">
        <f>IF(I8&lt;&gt;"",I8*0.22,"")</f>
        <v>0</v>
      </c>
      <c r="K8" s="35">
        <f>IFERROR(INDEX(PRENOTAZIONI!$L:$L,SMALL(PRENOTAZIONI!$X:$X,5)),"")</f>
        <v>0</v>
      </c>
      <c r="L8" s="150">
        <f t="shared" si="2"/>
        <v>105</v>
      </c>
      <c r="M8" s="35">
        <f t="shared" si="3"/>
        <v>50</v>
      </c>
      <c r="N8" s="35"/>
      <c r="O8" s="43"/>
      <c r="P8" s="150">
        <f t="shared" si="4"/>
        <v>345</v>
      </c>
      <c r="Q8" s="47">
        <f>IFERROR(INDEX(PRENOTAZIONI!$R:$R,SMALL(PRENOTAZIONI!$X:$X,5)),"")</f>
        <v>0</v>
      </c>
      <c r="R8" s="101"/>
      <c r="S8" s="99" t="str">
        <f>IFERROR(INDEX(PRENOTAZIONI!$A:$A,SMALL(PRENOTAZIONI!$AL:$AL,5)),"")</f>
        <v/>
      </c>
      <c r="T8" s="31" t="str">
        <f>IFERROR(INDEX(PRENOTAZIONI!$B:$B,SMALL(PRENOTAZIONI!$AL:$AL,5)),"")</f>
        <v/>
      </c>
      <c r="U8" s="32" t="str">
        <f t="shared" si="5"/>
        <v/>
      </c>
      <c r="V8" s="34" t="str">
        <f>IFERROR(INDEX(PRENOTAZIONI!$E:$E,SMALL(PRENOTAZIONI!$AL:$AL,5)),"")</f>
        <v/>
      </c>
      <c r="W8" s="34" t="str">
        <f>IFERROR(INDEX(PRENOTAZIONI!$F:$F,SMALL(PRENOTAZIONI!$AL:$AL,5)),"")</f>
        <v/>
      </c>
      <c r="X8" s="35" t="str">
        <f>IFERROR(INDEX(PRENOTAZIONI!$H:$H,SMALL(PRENOTAZIONI!$AL:$AL,5)),"")</f>
        <v/>
      </c>
      <c r="Y8" s="34" t="str">
        <f>IFERROR(INDEX(PRENOTAZIONI!$K:$K,SMALL(PRENOTAZIONI!$AL:$AL,5)),"")</f>
        <v/>
      </c>
      <c r="Z8" s="34"/>
      <c r="AA8" s="34"/>
      <c r="AB8" s="40" t="str">
        <f t="shared" si="6"/>
        <v/>
      </c>
      <c r="AC8" s="41" t="str">
        <f t="shared" si="7"/>
        <v/>
      </c>
      <c r="AE8" s="38"/>
      <c r="AF8" s="113" t="s">
        <v>185</v>
      </c>
      <c r="AG8" s="114">
        <f>SUMPRODUCT((MONTH(PRENOTAZIONI!$A$3:$A$262)=5)*(YEAR(PRENOTAZIONI!$A$3:$A$262)=2026)*(PRENOTAZIONI!$D$3:$D$262="Via Cavour"))</f>
        <v>0</v>
      </c>
      <c r="AH8" s="114">
        <f>SUMPRODUCT((PRENOTAZIONI!$A$3:$A$262&lt;DATE(2026,6,1))*(PRENOTAZIONI!$B$3:$B$262&gt;DATE(2026,5,1))*(YEAR(PRENOTAZIONI!$A$3:$A$262)=2026)*(PRENOTAZIONI!$D$3:$D$262="Via Cavour")*((PRENOTAZIONI!$B$3:$B$262*(PRENOTAZIONI!$B$3:$B$262&lt;DATE(2026,6,1))+DATE(2026,6,1)*(PRENOTAZIONI!$B$3:$B$262&gt;=DATE(2026,6,1)))-(PRENOTAZIONI!$A$3:$A$262*(PRENOTAZIONI!$A$3:$A$262&gt;DATE(2026,5,1))+DATE(2026,5,1)*(PRENOTAZIONI!$A$3:$A$262&lt;=DATE(2026,5,1)))))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I8" s="151">
        <f>SUMIF(A4:A33,"&gt;="&amp;DATE(2026,5,1),G4:G33)-SUMIF(A4:A33,"&gt;="&amp;DATE(2026,6,1),G4:G33)</f>
        <v>0</v>
      </c>
      <c r="AJ8" s="151">
        <f>SUMIF(A4:A33,"&gt;="&amp;DATE(2026,5,1),I4:I33)-SUMIF(A4:A33,"&gt;="&amp;DATE(2026,6,1),I4:I33)</f>
        <v>0</v>
      </c>
      <c r="AK8" s="151">
        <f>SUMIF(A4:A33,"&gt;="&amp;DATE(2026,5,1),K4:K33)-SUMIF(A4:A33,"&gt;="&amp;DATE(2026,6,1),K4:K33)</f>
        <v>0</v>
      </c>
      <c r="AL8" s="151">
        <f>SUMIF(A4:A33,"&gt;="&amp;DATE(2026,5,1),M4:M33)-SUMIF(A4:A33,"&gt;="&amp;DATE(2026,6,1),M4:M33)</f>
        <v>0</v>
      </c>
      <c r="AM8" s="152">
        <f>SUMIF(A4:A33,"&gt;="&amp;DATE(2026,5,1),L4:L33)-SUMIF(A4:A33,"&gt;="&amp;DATE(2026,6,1),L4:L33)</f>
        <v>0</v>
      </c>
      <c r="AN8" s="152">
        <f>SUMIF(A4:A33,"&gt;="&amp;DATE(2026,5,1),J4:J33)-SUMIF(A4:A33,"&gt;="&amp;DATE(2026,6,1),J4:J33)</f>
        <v>0</v>
      </c>
      <c r="AO8" s="153">
        <f>SUMIF(A4:A33,"&gt;="&amp;DATE(2026,5,1),P4:P33)-SUMIF(A4:A33,"&gt;="&amp;DATE(2026,6,1),P4:P33)</f>
        <v>0</v>
      </c>
    </row>
    <row r="9" spans="1:59" ht="20" customHeight="1" x14ac:dyDescent="0.2">
      <c r="A9" s="31">
        <f>IFERROR(INDEX(PRENOTAZIONI!$A:$A,SMALL(PRENOTAZIONI!$X:$X,6)),"")</f>
        <v>46255</v>
      </c>
      <c r="B9" s="31">
        <f>IFERROR(INDEX(PRENOTAZIONI!$B:$B,SMALL(PRENOTAZIONI!$X:$X,6)),"")</f>
        <v>46257</v>
      </c>
      <c r="C9" s="32">
        <f t="shared" si="0"/>
        <v>2</v>
      </c>
      <c r="D9" s="34" t="str">
        <f>IFERROR(INDEX(PRENOTAZIONI!$E:$E,SMALL(PRENOTAZIONI!$X:$X,6)),"")</f>
        <v>Sonia Bartolomeo</v>
      </c>
      <c r="E9" s="34" t="str">
        <f>IFERROR(INDEX(PRENOTAZIONI!$F:$F,SMALL(PRENOTAZIONI!$X:$X,6)),"")</f>
        <v>2 ad</v>
      </c>
      <c r="F9" s="34" t="str">
        <f>IFERROR(INDEX(PRENOTAZIONI!$G:$G,SMALL(PRENOTAZIONI!$X:$X,6)),"")</f>
        <v>booking.com</v>
      </c>
      <c r="G9" s="35">
        <f>IFERROR(INDEX(PRENOTAZIONI!$H:$H,SMALL(PRENOTAZIONI!$X:$X,6)),"")</f>
        <v>257.72000000000003</v>
      </c>
      <c r="H9" s="146">
        <f t="shared" si="1"/>
        <v>128.86000000000001</v>
      </c>
      <c r="I9" s="35">
        <f t="shared" si="8"/>
        <v>42.523800000000008</v>
      </c>
      <c r="J9" s="149">
        <f>IF(I9&lt;&gt;"",I9*0.22,"")</f>
        <v>9.3552360000000014</v>
      </c>
      <c r="K9" s="35">
        <f>IFERROR(INDEX(PRENOTAZIONI!$L:$L,SMALL(PRENOTAZIONI!$X:$X,6)),"")</f>
        <v>0</v>
      </c>
      <c r="L9" s="150">
        <f t="shared" si="2"/>
        <v>54.121200000000002</v>
      </c>
      <c r="M9" s="35">
        <f t="shared" si="3"/>
        <v>25.772000000000006</v>
      </c>
      <c r="N9" s="35"/>
      <c r="O9" s="43"/>
      <c r="P9" s="150">
        <f t="shared" si="4"/>
        <v>125.94776400000005</v>
      </c>
      <c r="Q9" s="47">
        <f>IFERROR(INDEX(PRENOTAZIONI!$R:$R,SMALL(PRENOTAZIONI!$X:$X,6)),"")</f>
        <v>0</v>
      </c>
      <c r="R9" s="101"/>
      <c r="S9" s="99" t="str">
        <f>IFERROR(INDEX(PRENOTAZIONI!$A:$A,SMALL(PRENOTAZIONI!$AL:$AL,6)),"")</f>
        <v/>
      </c>
      <c r="T9" s="31" t="str">
        <f>IFERROR(INDEX(PRENOTAZIONI!$B:$B,SMALL(PRENOTAZIONI!$AL:$AL,6)),"")</f>
        <v/>
      </c>
      <c r="U9" s="32" t="str">
        <f t="shared" si="5"/>
        <v/>
      </c>
      <c r="V9" s="34" t="str">
        <f>IFERROR(INDEX(PRENOTAZIONI!$E:$E,SMALL(PRENOTAZIONI!$AL:$AL,6)),"")</f>
        <v/>
      </c>
      <c r="W9" s="34" t="str">
        <f>IFERROR(INDEX(PRENOTAZIONI!$F:$F,SMALL(PRENOTAZIONI!$AL:$AL,6)),"")</f>
        <v/>
      </c>
      <c r="X9" s="35" t="str">
        <f>IFERROR(INDEX(PRENOTAZIONI!$H:$H,SMALL(PRENOTAZIONI!$AL:$AL,6)),"")</f>
        <v/>
      </c>
      <c r="Y9" s="34" t="str">
        <f>IFERROR(INDEX(PRENOTAZIONI!$K:$K,SMALL(PRENOTAZIONI!$AL:$AL,6)),"")</f>
        <v/>
      </c>
      <c r="Z9" s="34"/>
      <c r="AA9" s="34"/>
      <c r="AB9" s="40" t="str">
        <f t="shared" si="6"/>
        <v/>
      </c>
      <c r="AC9" s="41" t="str">
        <f t="shared" si="7"/>
        <v/>
      </c>
      <c r="AE9" s="38"/>
      <c r="AF9" s="113" t="s">
        <v>186</v>
      </c>
      <c r="AG9" s="114">
        <f>SUMPRODUCT((MONTH(PRENOTAZIONI!$A$3:$A$262)=6)*(YEAR(PRENOTAZIONI!$A$3:$A$262)=2026)*(PRENOTAZIONI!$D$3:$D$262="Via Cavour"))</f>
        <v>1</v>
      </c>
      <c r="AH9" s="114">
        <f>SUMPRODUCT((PRENOTAZIONI!$A$3:$A$262&lt;DATE(2026,7,1))*(PRENOTAZIONI!$B$3:$B$262&gt;DATE(2026,6,1))*(YEAR(PRENOTAZIONI!$A$3:$A$262)=2026)*(PRENOTAZIONI!$D$3:$D$262="Via Cavour")*((PRENOTAZIONI!$B$3:$B$262*(PRENOTAZIONI!$B$3:$B$262&lt;DATE(2026,7,1))+DATE(2026,7,1)*(PRENOTAZIONI!$B$3:$B$262&gt;=DATE(2026,7,1)))-(PRENOTAZIONI!$A$3:$A$262*(PRENOTAZIONI!$A$3:$A$262&gt;DATE(2026,6,1))+DATE(2026,6,1)*(PRENOTAZIONI!$A$3:$A$262&lt;=DATE(2026,6,1)))))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3</v>
      </c>
      <c r="AI9" s="151">
        <f>SUMIF(A4:A33,"&gt;="&amp;DATE(2026,6,1),G4:G33)-SUMIF(A4:A33,"&gt;="&amp;DATE(2026,7,1),G4:G33)</f>
        <v>0</v>
      </c>
      <c r="AJ9" s="151">
        <f>SUMIF(A4:A33,"&gt;="&amp;DATE(2026,6,1),I4:I33)-SUMIF(A4:A33,"&gt;="&amp;DATE(2026,7,1),I4:I33)</f>
        <v>0</v>
      </c>
      <c r="AK9" s="151">
        <f>SUMIF(A4:A33,"&gt;="&amp;DATE(2026,6,1),K4:K33)-SUMIF(A4:A33,"&gt;="&amp;DATE(2026,7,1),K4:K33)</f>
        <v>0</v>
      </c>
      <c r="AL9" s="151">
        <f>SUMIF(A4:A33,"&gt;="&amp;DATE(2026,6,1),M4:M33)-SUMIF(A4:A33,"&gt;="&amp;DATE(2026,7,1),M4:M33)</f>
        <v>0</v>
      </c>
      <c r="AM9" s="152">
        <f>SUMIF(A4:A33,"&gt;="&amp;DATE(2026,6,1),L4:L33)-SUMIF(A4:A33,"&gt;="&amp;DATE(2026,7,1),L4:L33)</f>
        <v>0</v>
      </c>
      <c r="AN9" s="152">
        <f>SUMIF(A4:A33,"&gt;="&amp;DATE(2026,6,1),J4:J33)-SUMIF(A4:A33,"&gt;="&amp;DATE(2026,7,1),J4:J33)</f>
        <v>0</v>
      </c>
      <c r="AO9" s="153">
        <f>SUMIF(A4:A33,"&gt;="&amp;DATE(2026,6,1),P4:P33)-SUMIF(A4:A33,"&gt;="&amp;DATE(2026,7,1),P4:P33)</f>
        <v>0</v>
      </c>
    </row>
    <row r="10" spans="1:59" ht="20" customHeight="1" x14ac:dyDescent="0.2">
      <c r="A10" s="31" t="str">
        <f>IFERROR(INDEX(PRENOTAZIONI!$A:$A,SMALL(PRENOTAZIONI!$X:$X,7)),"")</f>
        <v/>
      </c>
      <c r="B10" s="31" t="str">
        <f>IFERROR(INDEX(PRENOTAZIONI!$B:$B,SMALL(PRENOTAZIONI!$X:$X,7)),"")</f>
        <v/>
      </c>
      <c r="C10" s="32" t="str">
        <f t="shared" si="0"/>
        <v/>
      </c>
      <c r="D10" s="34" t="str">
        <f>IFERROR(INDEX(PRENOTAZIONI!$E:$E,SMALL(PRENOTAZIONI!$X:$X,7)),"")</f>
        <v/>
      </c>
      <c r="E10" s="34" t="str">
        <f>IFERROR(INDEX(PRENOTAZIONI!$F:$F,SMALL(PRENOTAZIONI!$X:$X,7)),"")</f>
        <v/>
      </c>
      <c r="F10" s="34" t="str">
        <f>IFERROR(INDEX(PRENOTAZIONI!$G:$G,SMALL(PRENOTAZIONI!$X:$X,7)),"")</f>
        <v/>
      </c>
      <c r="G10" s="35" t="str">
        <f>IFERROR(INDEX(PRENOTAZIONI!$H:$H,SMALL(PRENOTAZIONI!$X:$X,7)),"")</f>
        <v/>
      </c>
      <c r="H10" s="146" t="str">
        <f t="shared" si="1"/>
        <v/>
      </c>
      <c r="I10" s="35" t="str">
        <f t="shared" si="8"/>
        <v/>
      </c>
      <c r="J10" s="149" t="str">
        <f t="shared" ref="J10:J35" si="9">IF(H10&lt;&gt;"",H10*0.22,"")</f>
        <v/>
      </c>
      <c r="K10" s="35" t="str">
        <f>IFERROR(INDEX(PRENOTAZIONI!$L:$L,SMALL(PRENOTAZIONI!$X:$X,7)),"")</f>
        <v/>
      </c>
      <c r="L10" s="150" t="str">
        <f t="shared" si="2"/>
        <v/>
      </c>
      <c r="M10" s="35" t="str">
        <f t="shared" si="3"/>
        <v/>
      </c>
      <c r="N10" s="35"/>
      <c r="O10" s="43"/>
      <c r="P10" s="150" t="str">
        <f t="shared" si="4"/>
        <v/>
      </c>
      <c r="Q10" s="47" t="str">
        <f>IFERROR(INDEX(PRENOTAZIONI!$R:$R,SMALL(PRENOTAZIONI!$X:$X,7)),"")</f>
        <v/>
      </c>
      <c r="R10" s="101"/>
      <c r="S10" s="99" t="str">
        <f>IFERROR(INDEX(PRENOTAZIONI!$A:$A,SMALL(PRENOTAZIONI!$AL:$AL,7)),"")</f>
        <v/>
      </c>
      <c r="T10" s="31" t="str">
        <f>IFERROR(INDEX(PRENOTAZIONI!$B:$B,SMALL(PRENOTAZIONI!$AL:$AL,7)),"")</f>
        <v/>
      </c>
      <c r="U10" s="32" t="str">
        <f t="shared" si="5"/>
        <v/>
      </c>
      <c r="V10" s="34" t="str">
        <f>IFERROR(INDEX(PRENOTAZIONI!$E:$E,SMALL(PRENOTAZIONI!$AL:$AL,7)),"")</f>
        <v/>
      </c>
      <c r="W10" s="34" t="str">
        <f>IFERROR(INDEX(PRENOTAZIONI!$F:$F,SMALL(PRENOTAZIONI!$AL:$AL,7)),"")</f>
        <v/>
      </c>
      <c r="X10" s="35" t="str">
        <f>IFERROR(INDEX(PRENOTAZIONI!$H:$H,SMALL(PRENOTAZIONI!$AL:$AL,7)),"")</f>
        <v/>
      </c>
      <c r="Y10" s="34" t="str">
        <f>IFERROR(INDEX(PRENOTAZIONI!$K:$K,SMALL(PRENOTAZIONI!$AL:$AL,7)),"")</f>
        <v/>
      </c>
      <c r="Z10" s="34"/>
      <c r="AA10" s="34"/>
      <c r="AB10" s="40" t="str">
        <f t="shared" si="6"/>
        <v/>
      </c>
      <c r="AC10" s="41" t="str">
        <f t="shared" si="7"/>
        <v/>
      </c>
      <c r="AE10" s="38"/>
      <c r="AF10" s="113" t="s">
        <v>187</v>
      </c>
      <c r="AG10" s="114">
        <f>SUMPRODUCT((MONTH(PRENOTAZIONI!$A$3:$A$262)=7)*(YEAR(PRENOTAZIONI!$A$3:$A$262)=2026)*(PRENOTAZIONI!$D$3:$D$262="Via Cavour"))</f>
        <v>1</v>
      </c>
      <c r="AH10" s="114">
        <f>SUMPRODUCT((PRENOTAZIONI!$A$3:$A$262&lt;DATE(2026,8,1))*(PRENOTAZIONI!$B$3:$B$262&gt;DATE(2026,7,1))*(YEAR(PRENOTAZIONI!$A$3:$A$262)=2026)*(PRENOTAZIONI!$D$3:$D$262="Via Cavour")*((PRENOTAZIONI!$B$3:$B$262*(PRENOTAZIONI!$B$3:$B$262&lt;DATE(2026,8,1))+DATE(2026,8,1)*(PRENOTAZIONI!$B$3:$B$262&gt;=DATE(2026,8,1)))-(PRENOTAZIONI!$A$3:$A$262*(PRENOTAZIONI!$A$3:$A$262&gt;DATE(2026,7,1))+DATE(2026,7,1)*(PRENOTAZIONI!$A$3:$A$262&lt;=DATE(2026,7,1)))))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7</v>
      </c>
      <c r="AI10" s="151">
        <f>SUMIF(A4:A33,"&gt;="&amp;DATE(2026,7,1),G4:G33)-SUMIF(A4:A33,"&gt;="&amp;DATE(2026,8,1),G4:G33)</f>
        <v>935.41000000000054</v>
      </c>
      <c r="AJ10" s="151">
        <f>SUMIF(A4:A33,"&gt;="&amp;DATE(2026,7,1),I4:I33)-SUMIF(A4:A33,"&gt;="&amp;DATE(2026,8,1),I4:I33)</f>
        <v>154.34264999999999</v>
      </c>
      <c r="AK10" s="151">
        <f>SUMIF(A4:A33,"&gt;="&amp;DATE(2026,7,1),K4:K33)-SUMIF(A4:A33,"&gt;="&amp;DATE(2026,8,1),K4:K33)</f>
        <v>4</v>
      </c>
      <c r="AL10" s="151">
        <f>SUMIF(A4:A33,"&gt;="&amp;DATE(2026,7,1),M4:M33)-SUMIF(A4:A33,"&gt;="&amp;DATE(2026,8,1),M4:M33)</f>
        <v>93.540999999999997</v>
      </c>
      <c r="AM10" s="152">
        <f>SUMIF(A4:A33,"&gt;="&amp;DATE(2026,7,1),L4:L33)-SUMIF(A4:A33,"&gt;="&amp;DATE(2026,8,1),L4:L33)</f>
        <v>196.43610000000007</v>
      </c>
      <c r="AN10" s="152">
        <f>SUMIF(A4:A33,"&gt;="&amp;DATE(2026,7,1),J4:J33)-SUMIF(A4:A33,"&gt;="&amp;DATE(2026,8,1),J4:J33)</f>
        <v>33.955382999999998</v>
      </c>
      <c r="AO10" s="153">
        <f>SUMIF(A4:A33,"&gt;="&amp;DATE(2026,7,1),P4:P33)-SUMIF(A4:A33,"&gt;="&amp;DATE(2026,8,1),P4:P33)</f>
        <v>457.13486699999999</v>
      </c>
    </row>
    <row r="11" spans="1:59" ht="20" customHeight="1" x14ac:dyDescent="0.2">
      <c r="A11" s="31" t="str">
        <f>IFERROR(INDEX(PRENOTAZIONI!$A:$A,SMALL(PRENOTAZIONI!$X:$X,8)),"")</f>
        <v/>
      </c>
      <c r="B11" s="31" t="str">
        <f>IFERROR(INDEX(PRENOTAZIONI!$B:$B,SMALL(PRENOTAZIONI!$X:$X,8)),"")</f>
        <v/>
      </c>
      <c r="C11" s="32" t="str">
        <f t="shared" si="0"/>
        <v/>
      </c>
      <c r="D11" s="34" t="str">
        <f>IFERROR(INDEX(PRENOTAZIONI!$E:$E,SMALL(PRENOTAZIONI!$X:$X,8)),"")</f>
        <v/>
      </c>
      <c r="E11" s="34" t="str">
        <f>IFERROR(INDEX(PRENOTAZIONI!$F:$F,SMALL(PRENOTAZIONI!$X:$X,8)),"")</f>
        <v/>
      </c>
      <c r="F11" s="34" t="str">
        <f>IFERROR(INDEX(PRENOTAZIONI!$G:$G,SMALL(PRENOTAZIONI!$X:$X,8)),"")</f>
        <v/>
      </c>
      <c r="G11" s="35" t="str">
        <f>IFERROR(INDEX(PRENOTAZIONI!$H:$H,SMALL(PRENOTAZIONI!$X:$X,8)),"")</f>
        <v/>
      </c>
      <c r="H11" s="146" t="str">
        <f t="shared" si="1"/>
        <v/>
      </c>
      <c r="I11" s="35" t="str">
        <f t="shared" si="8"/>
        <v/>
      </c>
      <c r="J11" s="149" t="str">
        <f t="shared" si="9"/>
        <v/>
      </c>
      <c r="K11" s="35" t="str">
        <f>IFERROR(INDEX(PRENOTAZIONI!$L:$L,SMALL(PRENOTAZIONI!$X:$X,8)),"")</f>
        <v/>
      </c>
      <c r="L11" s="150" t="str">
        <f t="shared" si="2"/>
        <v/>
      </c>
      <c r="M11" s="35" t="str">
        <f t="shared" si="3"/>
        <v/>
      </c>
      <c r="N11" s="35"/>
      <c r="O11" s="43"/>
      <c r="P11" s="150" t="str">
        <f t="shared" si="4"/>
        <v/>
      </c>
      <c r="Q11" s="47" t="str">
        <f>IFERROR(INDEX(PRENOTAZIONI!$R:$R,SMALL(PRENOTAZIONI!$X:$X,8)),"")</f>
        <v/>
      </c>
      <c r="R11" s="101"/>
      <c r="S11" s="99" t="str">
        <f>IFERROR(INDEX(PRENOTAZIONI!$A:$A,SMALL(PRENOTAZIONI!$AL:$AL,8)),"")</f>
        <v/>
      </c>
      <c r="T11" s="31" t="str">
        <f>IFERROR(INDEX(PRENOTAZIONI!$B:$B,SMALL(PRENOTAZIONI!$AL:$AL,8)),"")</f>
        <v/>
      </c>
      <c r="U11" s="32" t="str">
        <f t="shared" si="5"/>
        <v/>
      </c>
      <c r="V11" s="34" t="str">
        <f>IFERROR(INDEX(PRENOTAZIONI!$E:$E,SMALL(PRENOTAZIONI!$AL:$AL,8)),"")</f>
        <v/>
      </c>
      <c r="W11" s="34" t="str">
        <f>IFERROR(INDEX(PRENOTAZIONI!$F:$F,SMALL(PRENOTAZIONI!$AL:$AL,8)),"")</f>
        <v/>
      </c>
      <c r="X11" s="35" t="str">
        <f>IFERROR(INDEX(PRENOTAZIONI!$H:$H,SMALL(PRENOTAZIONI!$AL:$AL,8)),"")</f>
        <v/>
      </c>
      <c r="Y11" s="34" t="str">
        <f>IFERROR(INDEX(PRENOTAZIONI!$K:$K,SMALL(PRENOTAZIONI!$AL:$AL,8)),"")</f>
        <v/>
      </c>
      <c r="Z11" s="34"/>
      <c r="AA11" s="34"/>
      <c r="AB11" s="40" t="str">
        <f t="shared" si="6"/>
        <v/>
      </c>
      <c r="AC11" s="41" t="str">
        <f t="shared" si="7"/>
        <v/>
      </c>
      <c r="AE11" s="38"/>
      <c r="AF11" s="113" t="s">
        <v>188</v>
      </c>
      <c r="AG11" s="114">
        <f>SUMPRODUCT((MONTH(PRENOTAZIONI!$A$3:$A$262)=8)*(YEAR(PRENOTAZIONI!$A$3:$A$262)=2026)*(PRENOTAZIONI!$D$3:$D$262="Via Cavour"))</f>
        <v>3</v>
      </c>
      <c r="AH11" s="114">
        <f>SUMPRODUCT((PRENOTAZIONI!$A$3:$A$262&lt;DATE(2026,9,1))*(PRENOTAZIONI!$B$3:$B$262&gt;DATE(2026,8,1))*(YEAR(PRENOTAZIONI!$A$3:$A$262)=2026)*(PRENOTAZIONI!$D$3:$D$262="Via Cavour")*((PRENOTAZIONI!$B$3:$B$262*(PRENOTAZIONI!$B$3:$B$262&lt;DATE(2026,9,1))+DATE(2026,9,1)*(PRENOTAZIONI!$B$3:$B$262&gt;=DATE(2026,9,1)))-(PRENOTAZIONI!$A$3:$A$262*(PRENOTAZIONI!$A$3:$A$262&gt;DATE(2026,8,1))+DATE(2026,8,1)*(PRENOTAZIONI!$A$3:$A$262&lt;=DATE(2026,8,1)))))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14</v>
      </c>
      <c r="AI11" s="151">
        <f>SUMIF(A4:A33,"&gt;="&amp;DATE(2026,8,1),G4:G33)-SUMIF(A4:A33,"&gt;="&amp;DATE(2026,9,1),G4:G33)</f>
        <v>1762.57</v>
      </c>
      <c r="AJ11" s="151">
        <f>SUMIF(A4:A33,"&gt;="&amp;DATE(2026,8,1),I4:I33)-SUMIF(A4:A33,"&gt;="&amp;DATE(2026,9,1),I4:I33)</f>
        <v>208.32405</v>
      </c>
      <c r="AK11" s="151">
        <f>SUMIF(A4:A33,"&gt;="&amp;DATE(2026,8,1),K4:K33)-SUMIF(A4:A33,"&gt;="&amp;DATE(2026,9,1),K4:K33)</f>
        <v>0</v>
      </c>
      <c r="AL11" s="151">
        <f>SUMIF(A4:A33,"&gt;="&amp;DATE(2026,8,1),M4:M33)-SUMIF(A4:A33,"&gt;="&amp;DATE(2026,9,1),M4:M33)</f>
        <v>176.25700000000001</v>
      </c>
      <c r="AM11" s="152">
        <f>SUMIF(A4:A33,"&gt;="&amp;DATE(2026,8,1),L4:L33)-SUMIF(A4:A33,"&gt;="&amp;DATE(2026,9,1),L4:L33)</f>
        <v>370.1397</v>
      </c>
      <c r="AN11" s="152">
        <f>SUMIF(A4:A33,"&gt;="&amp;DATE(2026,8,1),J4:J33)-SUMIF(A4:A33,"&gt;="&amp;DATE(2026,9,1),J4:J33)</f>
        <v>45.831291000000007</v>
      </c>
      <c r="AO11" s="153">
        <f>SUMIF(A4:A33,"&gt;="&amp;DATE(2026,8,1),P4:P33)-SUMIF(A4:A33,"&gt;="&amp;DATE(2026,9,1),P4:P33)</f>
        <v>962.01795900000002</v>
      </c>
    </row>
    <row r="12" spans="1:59" ht="20" customHeight="1" x14ac:dyDescent="0.2">
      <c r="A12" s="31" t="str">
        <f>IFERROR(INDEX(PRENOTAZIONI!$A:$A,SMALL(PRENOTAZIONI!$X:$X,9)),"")</f>
        <v/>
      </c>
      <c r="B12" s="31" t="str">
        <f>IFERROR(INDEX(PRENOTAZIONI!$B:$B,SMALL(PRENOTAZIONI!$X:$X,9)),"")</f>
        <v/>
      </c>
      <c r="C12" s="32" t="str">
        <f t="shared" si="0"/>
        <v/>
      </c>
      <c r="D12" s="34" t="str">
        <f>IFERROR(INDEX(PRENOTAZIONI!$E:$E,SMALL(PRENOTAZIONI!$X:$X,9)),"")</f>
        <v/>
      </c>
      <c r="E12" s="34" t="str">
        <f>IFERROR(INDEX(PRENOTAZIONI!$F:$F,SMALL(PRENOTAZIONI!$X:$X,9)),"")</f>
        <v/>
      </c>
      <c r="F12" s="34" t="str">
        <f>IFERROR(INDEX(PRENOTAZIONI!$G:$G,SMALL(PRENOTAZIONI!$X:$X,9)),"")</f>
        <v/>
      </c>
      <c r="G12" s="35" t="str">
        <f>IFERROR(INDEX(PRENOTAZIONI!$H:$H,SMALL(PRENOTAZIONI!$X:$X,9)),"")</f>
        <v/>
      </c>
      <c r="H12" s="146" t="str">
        <f t="shared" si="1"/>
        <v/>
      </c>
      <c r="I12" s="35" t="str">
        <f t="shared" si="8"/>
        <v/>
      </c>
      <c r="J12" s="149" t="str">
        <f t="shared" si="9"/>
        <v/>
      </c>
      <c r="K12" s="35" t="str">
        <f>IFERROR(INDEX(PRENOTAZIONI!$L:$L,SMALL(PRENOTAZIONI!$X:$X,9)),"")</f>
        <v/>
      </c>
      <c r="L12" s="150" t="str">
        <f t="shared" si="2"/>
        <v/>
      </c>
      <c r="M12" s="35" t="str">
        <f t="shared" si="3"/>
        <v/>
      </c>
      <c r="N12" s="35"/>
      <c r="O12" s="43"/>
      <c r="P12" s="150" t="str">
        <f t="shared" si="4"/>
        <v/>
      </c>
      <c r="Q12" s="47" t="str">
        <f>IFERROR(INDEX(PRENOTAZIONI!$R:$R,SMALL(PRENOTAZIONI!$X:$X,9)),"")</f>
        <v/>
      </c>
      <c r="R12" s="101"/>
      <c r="S12" s="99" t="str">
        <f>IFERROR(INDEX(PRENOTAZIONI!$A:$A,SMALL(PRENOTAZIONI!$AL:$AL,9)),"")</f>
        <v/>
      </c>
      <c r="T12" s="31" t="str">
        <f>IFERROR(INDEX(PRENOTAZIONI!$B:$B,SMALL(PRENOTAZIONI!$AL:$AL,9)),"")</f>
        <v/>
      </c>
      <c r="U12" s="32" t="str">
        <f t="shared" si="5"/>
        <v/>
      </c>
      <c r="V12" s="34" t="str">
        <f>IFERROR(INDEX(PRENOTAZIONI!$E:$E,SMALL(PRENOTAZIONI!$AL:$AL,9)),"")</f>
        <v/>
      </c>
      <c r="W12" s="34" t="str">
        <f>IFERROR(INDEX(PRENOTAZIONI!$F:$F,SMALL(PRENOTAZIONI!$AL:$AL,9)),"")</f>
        <v/>
      </c>
      <c r="X12" s="35" t="str">
        <f>IFERROR(INDEX(PRENOTAZIONI!$H:$H,SMALL(PRENOTAZIONI!$AL:$AL,9)),"")</f>
        <v/>
      </c>
      <c r="Y12" s="34" t="str">
        <f>IFERROR(INDEX(PRENOTAZIONI!$K:$K,SMALL(PRENOTAZIONI!$AL:$AL,9)),"")</f>
        <v/>
      </c>
      <c r="Z12" s="34"/>
      <c r="AA12" s="34"/>
      <c r="AB12" s="40" t="str">
        <f t="shared" si="6"/>
        <v/>
      </c>
      <c r="AC12" s="41" t="str">
        <f t="shared" si="7"/>
        <v/>
      </c>
      <c r="AE12" s="38"/>
      <c r="AF12" s="113" t="s">
        <v>189</v>
      </c>
      <c r="AG12" s="114">
        <f>SUMPRODUCT((MONTH(PRENOTAZIONI!$A$3:$A$262)=9)*(YEAR(PRENOTAZIONI!$A$3:$A$262)=2026)*(PRENOTAZIONI!$D$3:$D$262="Via Cavour"))</f>
        <v>0</v>
      </c>
      <c r="AH12" s="114">
        <f>SUMPRODUCT((PRENOTAZIONI!$A$3:$A$262&lt;DATE(2026,10,1))*(PRENOTAZIONI!$B$3:$B$262&gt;DATE(2026,9,1))*(YEAR(PRENOTAZIONI!$A$3:$A$262)=2026)*(PRENOTAZIONI!$D$3:$D$262="Via Cavour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I12" s="151">
        <f>SUMIF(A4:A33,"&gt;="&amp;DATE(2026,9,1),G4:G33)-SUMIF(A4:A33,"&gt;="&amp;DATE(2026,10,1),G4:G33)</f>
        <v>0</v>
      </c>
      <c r="AJ12" s="151">
        <f>SUMIF(A4:A33,"&gt;="&amp;DATE(2026,9,1),I4:I33)-SUMIF(A4:A33,"&gt;="&amp;DATE(2026,10,1),I4:I33)</f>
        <v>0</v>
      </c>
      <c r="AK12" s="151">
        <f>SUMIF(A4:A33,"&gt;="&amp;DATE(2026,9,1),K4:K33)-SUMIF(A4:A33,"&gt;="&amp;DATE(2026,10,1),K4:K33)</f>
        <v>0</v>
      </c>
      <c r="AL12" s="151">
        <f>SUMIF(A4:A33,"&gt;="&amp;DATE(2026,9,1),M4:M33)-SUMIF(A4:A33,"&gt;="&amp;DATE(2026,10,1),M4:M33)</f>
        <v>0</v>
      </c>
      <c r="AM12" s="152">
        <f>SUMIF(A4:A33,"&gt;="&amp;DATE(2026,9,1),L4:L33)-SUMIF(A4:A33,"&gt;="&amp;DATE(2026,10,1),L4:L33)</f>
        <v>0</v>
      </c>
      <c r="AN12" s="152">
        <f>SUMIF(A4:A33,"&gt;="&amp;DATE(2026,9,1),J4:J33)-SUMIF(A4:A33,"&gt;="&amp;DATE(2026,10,1),J4:J33)</f>
        <v>0</v>
      </c>
      <c r="AO12" s="153">
        <f>SUMIF(A4:A33,"&gt;="&amp;DATE(2026,9,1),P4:P33)-SUMIF(A4:A33,"&gt;="&amp;DATE(2026,10,1),P4:P33)</f>
        <v>0</v>
      </c>
    </row>
    <row r="13" spans="1:59" ht="20" customHeight="1" x14ac:dyDescent="0.2">
      <c r="A13" s="31" t="str">
        <f>IFERROR(INDEX(PRENOTAZIONI!$A:$A,SMALL(PRENOTAZIONI!$X:$X,10)),"")</f>
        <v/>
      </c>
      <c r="B13" s="31" t="str">
        <f>IFERROR(INDEX(PRENOTAZIONI!$B:$B,SMALL(PRENOTAZIONI!$X:$X,10)),"")</f>
        <v/>
      </c>
      <c r="C13" s="32" t="str">
        <f t="shared" si="0"/>
        <v/>
      </c>
      <c r="D13" s="34" t="str">
        <f>IFERROR(INDEX(PRENOTAZIONI!$E:$E,SMALL(PRENOTAZIONI!$X:$X,10)),"")</f>
        <v/>
      </c>
      <c r="E13" s="34" t="str">
        <f>IFERROR(INDEX(PRENOTAZIONI!$F:$F,SMALL(PRENOTAZIONI!$X:$X,10)),"")</f>
        <v/>
      </c>
      <c r="F13" s="34" t="str">
        <f>IFERROR(INDEX(PRENOTAZIONI!$G:$G,SMALL(PRENOTAZIONI!$X:$X,10)),"")</f>
        <v/>
      </c>
      <c r="G13" s="35" t="str">
        <f>IFERROR(INDEX(PRENOTAZIONI!$H:$H,SMALL(PRENOTAZIONI!$X:$X,10)),"")</f>
        <v/>
      </c>
      <c r="H13" s="146" t="str">
        <f t="shared" si="1"/>
        <v/>
      </c>
      <c r="I13" s="35" t="str">
        <f t="shared" si="8"/>
        <v/>
      </c>
      <c r="J13" s="149" t="str">
        <f t="shared" si="9"/>
        <v/>
      </c>
      <c r="K13" s="35" t="str">
        <f>IFERROR(INDEX(PRENOTAZIONI!$L:$L,SMALL(PRENOTAZIONI!$X:$X,10)),"")</f>
        <v/>
      </c>
      <c r="L13" s="150" t="str">
        <f t="shared" si="2"/>
        <v/>
      </c>
      <c r="M13" s="35" t="str">
        <f t="shared" si="3"/>
        <v/>
      </c>
      <c r="N13" s="35"/>
      <c r="O13" s="43"/>
      <c r="P13" s="150" t="str">
        <f t="shared" si="4"/>
        <v/>
      </c>
      <c r="Q13" s="47" t="str">
        <f>IFERROR(INDEX(PRENOTAZIONI!$R:$R,SMALL(PRENOTAZIONI!$X:$X,10)),"")</f>
        <v/>
      </c>
      <c r="R13" s="101"/>
      <c r="S13" s="99" t="str">
        <f>IFERROR(INDEX(PRENOTAZIONI!$A:$A,SMALL(PRENOTAZIONI!$AL:$AL,10)),"")</f>
        <v/>
      </c>
      <c r="T13" s="31" t="str">
        <f>IFERROR(INDEX(PRENOTAZIONI!$B:$B,SMALL(PRENOTAZIONI!$AL:$AL,10)),"")</f>
        <v/>
      </c>
      <c r="U13" s="32" t="str">
        <f t="shared" si="5"/>
        <v/>
      </c>
      <c r="V13" s="34" t="str">
        <f>IFERROR(INDEX(PRENOTAZIONI!$E:$E,SMALL(PRENOTAZIONI!$AL:$AL,10)),"")</f>
        <v/>
      </c>
      <c r="W13" s="34" t="str">
        <f>IFERROR(INDEX(PRENOTAZIONI!$F:$F,SMALL(PRENOTAZIONI!$AL:$AL,10)),"")</f>
        <v/>
      </c>
      <c r="X13" s="35" t="str">
        <f>IFERROR(INDEX(PRENOTAZIONI!$H:$H,SMALL(PRENOTAZIONI!$AL:$AL,10)),"")</f>
        <v/>
      </c>
      <c r="Y13" s="34" t="str">
        <f>IFERROR(INDEX(PRENOTAZIONI!$K:$K,SMALL(PRENOTAZIONI!$AL:$AL,10)),"")</f>
        <v/>
      </c>
      <c r="Z13" s="34"/>
      <c r="AA13" s="34"/>
      <c r="AB13" s="40" t="str">
        <f t="shared" si="6"/>
        <v/>
      </c>
      <c r="AC13" s="41" t="str">
        <f t="shared" si="7"/>
        <v/>
      </c>
      <c r="AE13" s="38"/>
      <c r="AF13" s="113" t="s">
        <v>190</v>
      </c>
      <c r="AG13" s="114">
        <f>SUMPRODUCT((MONTH(PRENOTAZIONI!$A$3:$A$262)=10)*(YEAR(PRENOTAZIONI!$A$3:$A$262)=2026)*(PRENOTAZIONI!$D$3:$D$262="Via Cavour"))</f>
        <v>0</v>
      </c>
      <c r="AH13" s="114">
        <f>SUMPRODUCT((PRENOTAZIONI!$A$3:$A$262&lt;DATE(2026,11,1))*(PRENOTAZIONI!$B$3:$B$262&gt;DATE(2026,10,1))*(YEAR(PRENOTAZIONI!$A$3:$A$262)=2026)*(PRENOTAZIONI!$D$3:$D$262="Via Cavour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I13" s="151">
        <f>SUMIF(A4:A33,"&gt;="&amp;DATE(2026,10,1),G4:G33)-SUMIF(A4:A33,"&gt;="&amp;DATE(2026,11,1),G4:G33)</f>
        <v>0</v>
      </c>
      <c r="AJ13" s="151">
        <f>SUMIF(A4:A33,"&gt;="&amp;DATE(2026,10,1),I4:I33)-SUMIF(A4:A33,"&gt;="&amp;DATE(2026,11,1),I4:I33)</f>
        <v>0</v>
      </c>
      <c r="AK13" s="151">
        <f>SUMIF(A4:A33,"&gt;="&amp;DATE(2026,10,1),K4:K33)-SUMIF(A4:A33,"&gt;="&amp;DATE(2026,11,1),K4:K33)</f>
        <v>0</v>
      </c>
      <c r="AL13" s="151">
        <f>SUMIF(A4:A33,"&gt;="&amp;DATE(2026,10,1),M4:M33)-SUMIF(A4:A33,"&gt;="&amp;DATE(2026,11,1),M4:M33)</f>
        <v>0</v>
      </c>
      <c r="AM13" s="152">
        <f>SUMIF(A4:A33,"&gt;="&amp;DATE(2026,10,1),L4:L33)-SUMIF(A4:A33,"&gt;="&amp;DATE(2026,11,1),L4:L33)</f>
        <v>0</v>
      </c>
      <c r="AN13" s="152">
        <f>SUMIF(A4:A33,"&gt;="&amp;DATE(2026,10,1),J4:J33)-SUMIF(A4:A33,"&gt;="&amp;DATE(2026,11,1),J4:J33)</f>
        <v>0</v>
      </c>
      <c r="AO13" s="153">
        <f>SUMIF(A4:A33,"&gt;="&amp;DATE(2026,10,1),P4:P33)-SUMIF(A4:A33,"&gt;="&amp;DATE(2026,11,1),P4:P33)</f>
        <v>0</v>
      </c>
    </row>
    <row r="14" spans="1:59" ht="20" customHeight="1" x14ac:dyDescent="0.2">
      <c r="A14" s="31" t="str">
        <f>IFERROR(INDEX(PRENOTAZIONI!$A:$A,SMALL(PRENOTAZIONI!$X:$X,11)),"")</f>
        <v/>
      </c>
      <c r="B14" s="31" t="str">
        <f>IFERROR(INDEX(PRENOTAZIONI!$B:$B,SMALL(PRENOTAZIONI!$X:$X,11)),"")</f>
        <v/>
      </c>
      <c r="C14" s="32" t="str">
        <f t="shared" si="0"/>
        <v/>
      </c>
      <c r="D14" s="34" t="str">
        <f>IFERROR(INDEX(PRENOTAZIONI!$E:$E,SMALL(PRENOTAZIONI!$X:$X,11)),"")</f>
        <v/>
      </c>
      <c r="E14" s="34" t="str">
        <f>IFERROR(INDEX(PRENOTAZIONI!$F:$F,SMALL(PRENOTAZIONI!$X:$X,11)),"")</f>
        <v/>
      </c>
      <c r="F14" s="34" t="str">
        <f>IFERROR(INDEX(PRENOTAZIONI!$G:$G,SMALL(PRENOTAZIONI!$X:$X,11)),"")</f>
        <v/>
      </c>
      <c r="G14" s="35" t="str">
        <f>IFERROR(INDEX(PRENOTAZIONI!$H:$H,SMALL(PRENOTAZIONI!$X:$X,11)),"")</f>
        <v/>
      </c>
      <c r="H14" s="146" t="str">
        <f t="shared" si="1"/>
        <v/>
      </c>
      <c r="I14" s="35" t="str">
        <f t="shared" si="8"/>
        <v/>
      </c>
      <c r="J14" s="149" t="str">
        <f t="shared" si="9"/>
        <v/>
      </c>
      <c r="K14" s="35" t="str">
        <f>IFERROR(INDEX(PRENOTAZIONI!$L:$L,SMALL(PRENOTAZIONI!$X:$X,11)),"")</f>
        <v/>
      </c>
      <c r="L14" s="150" t="str">
        <f t="shared" si="2"/>
        <v/>
      </c>
      <c r="M14" s="35" t="str">
        <f t="shared" si="3"/>
        <v/>
      </c>
      <c r="N14" s="35"/>
      <c r="O14" s="43"/>
      <c r="P14" s="150" t="str">
        <f t="shared" si="4"/>
        <v/>
      </c>
      <c r="Q14" s="47" t="str">
        <f>IFERROR(INDEX(PRENOTAZIONI!$R:$R,SMALL(PRENOTAZIONI!$X:$X,11)),"")</f>
        <v/>
      </c>
      <c r="R14" s="101"/>
      <c r="S14" s="99" t="str">
        <f>IFERROR(INDEX(PRENOTAZIONI!$A:$A,SMALL(PRENOTAZIONI!$AL:$AL,11)),"")</f>
        <v/>
      </c>
      <c r="T14" s="31" t="str">
        <f>IFERROR(INDEX(PRENOTAZIONI!$B:$B,SMALL(PRENOTAZIONI!$AL:$AL,11)),"")</f>
        <v/>
      </c>
      <c r="U14" s="32" t="str">
        <f t="shared" si="5"/>
        <v/>
      </c>
      <c r="V14" s="34" t="str">
        <f>IFERROR(INDEX(PRENOTAZIONI!$E:$E,SMALL(PRENOTAZIONI!$AL:$AL,11)),"")</f>
        <v/>
      </c>
      <c r="W14" s="34" t="str">
        <f>IFERROR(INDEX(PRENOTAZIONI!$F:$F,SMALL(PRENOTAZIONI!$AL:$AL,11)),"")</f>
        <v/>
      </c>
      <c r="X14" s="35" t="str">
        <f>IFERROR(INDEX(PRENOTAZIONI!$H:$H,SMALL(PRENOTAZIONI!$AL:$AL,11)),"")</f>
        <v/>
      </c>
      <c r="Y14" s="34" t="str">
        <f>IFERROR(INDEX(PRENOTAZIONI!$K:$K,SMALL(PRENOTAZIONI!$AL:$AL,11)),"")</f>
        <v/>
      </c>
      <c r="Z14" s="34"/>
      <c r="AA14" s="34"/>
      <c r="AB14" s="40" t="str">
        <f t="shared" si="6"/>
        <v/>
      </c>
      <c r="AC14" s="41" t="str">
        <f t="shared" si="7"/>
        <v/>
      </c>
      <c r="AE14" s="38"/>
      <c r="AF14" s="113" t="s">
        <v>191</v>
      </c>
      <c r="AG14" s="114">
        <f>SUMPRODUCT((MONTH(PRENOTAZIONI!$A$3:$A$262)=11)*(YEAR(PRENOTAZIONI!$A$3:$A$262)=2026)*(PRENOTAZIONI!$D$3:$D$262="Via Cavour"))</f>
        <v>0</v>
      </c>
      <c r="AH14" s="114">
        <f>SUMPRODUCT((PRENOTAZIONI!$A$3:$A$262&lt;DATE(2026,12,1))*(PRENOTAZIONI!$B$3:$B$262&gt;DATE(2026,11,1))*(YEAR(PRENOTAZIONI!$A$3:$A$262)=2026)*(PRENOTAZIONI!$D$3:$D$262="Via Cavour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I14" s="151">
        <f>SUMIF(A4:A33,"&gt;="&amp;DATE(2026,11,1),G4:G33)-SUMIF(A4:A33,"&gt;="&amp;DATE(2026,12,1),G4:G33)</f>
        <v>0</v>
      </c>
      <c r="AJ14" s="151">
        <f>SUMIF(A4:A33,"&gt;="&amp;DATE(2026,11,1),I4:I33)-SUMIF(A4:A33,"&gt;="&amp;DATE(2026,12,1),I4:I33)</f>
        <v>0</v>
      </c>
      <c r="AK14" s="151">
        <f>SUMIF(A4:A33,"&gt;="&amp;DATE(2026,11,1),K4:K33)-SUMIF(A4:A33,"&gt;="&amp;DATE(2026,12,1),K4:K33)</f>
        <v>0</v>
      </c>
      <c r="AL14" s="151">
        <f>SUMIF(A4:A33,"&gt;="&amp;DATE(2026,11,1),M4:M33)-SUMIF(A4:A33,"&gt;="&amp;DATE(2026,12,1),M4:M33)</f>
        <v>0</v>
      </c>
      <c r="AM14" s="152">
        <f>SUMIF(A4:A33,"&gt;="&amp;DATE(2026,11,1),L4:L33)-SUMIF(A4:A33,"&gt;="&amp;DATE(2026,12,1),L4:L33)</f>
        <v>0</v>
      </c>
      <c r="AN14" s="152">
        <f>SUMIF(A4:A33,"&gt;="&amp;DATE(2026,11,1),J4:J33)-SUMIF(A4:A33,"&gt;="&amp;DATE(2026,12,1),J4:J33)</f>
        <v>0</v>
      </c>
      <c r="AO14" s="153">
        <f>SUMIF(A4:A33,"&gt;="&amp;DATE(2026,11,1),P4:P33)-SUMIF(A4:A33,"&gt;="&amp;DATE(2026,12,1),P4:P33)</f>
        <v>0</v>
      </c>
    </row>
    <row r="15" spans="1:59" ht="20" customHeight="1" x14ac:dyDescent="0.2">
      <c r="A15" s="31" t="str">
        <f>IFERROR(INDEX(PRENOTAZIONI!$A:$A,SMALL(PRENOTAZIONI!$X:$X,12)),"")</f>
        <v/>
      </c>
      <c r="B15" s="31" t="str">
        <f>IFERROR(INDEX(PRENOTAZIONI!$B:$B,SMALL(PRENOTAZIONI!$X:$X,12)),"")</f>
        <v/>
      </c>
      <c r="C15" s="32" t="str">
        <f t="shared" si="0"/>
        <v/>
      </c>
      <c r="D15" s="34" t="str">
        <f>IFERROR(INDEX(PRENOTAZIONI!$E:$E,SMALL(PRENOTAZIONI!$X:$X,12)),"")</f>
        <v/>
      </c>
      <c r="E15" s="34" t="str">
        <f>IFERROR(INDEX(PRENOTAZIONI!$F:$F,SMALL(PRENOTAZIONI!$X:$X,12)),"")</f>
        <v/>
      </c>
      <c r="F15" s="34" t="str">
        <f>IFERROR(INDEX(PRENOTAZIONI!$G:$G,SMALL(PRENOTAZIONI!$X:$X,12)),"")</f>
        <v/>
      </c>
      <c r="G15" s="35" t="str">
        <f>IFERROR(INDEX(PRENOTAZIONI!$H:$H,SMALL(PRENOTAZIONI!$X:$X,12)),"")</f>
        <v/>
      </c>
      <c r="H15" s="146" t="str">
        <f t="shared" si="1"/>
        <v/>
      </c>
      <c r="I15" s="35" t="str">
        <f t="shared" si="8"/>
        <v/>
      </c>
      <c r="J15" s="149" t="str">
        <f t="shared" si="9"/>
        <v/>
      </c>
      <c r="K15" s="35" t="str">
        <f>IFERROR(INDEX(PRENOTAZIONI!$L:$L,SMALL(PRENOTAZIONI!$X:$X,12)),"")</f>
        <v/>
      </c>
      <c r="L15" s="150" t="str">
        <f t="shared" si="2"/>
        <v/>
      </c>
      <c r="M15" s="35" t="str">
        <f t="shared" si="3"/>
        <v/>
      </c>
      <c r="N15" s="35"/>
      <c r="O15" s="43"/>
      <c r="P15" s="150" t="str">
        <f t="shared" si="4"/>
        <v/>
      </c>
      <c r="Q15" s="47" t="str">
        <f>IFERROR(INDEX(PRENOTAZIONI!$R:$R,SMALL(PRENOTAZIONI!$X:$X,12)),"")</f>
        <v/>
      </c>
      <c r="R15" s="101"/>
      <c r="S15" s="99" t="str">
        <f>IFERROR(INDEX(PRENOTAZIONI!$A:$A,SMALL(PRENOTAZIONI!$AL:$AL,12)),"")</f>
        <v/>
      </c>
      <c r="T15" s="31" t="str">
        <f>IFERROR(INDEX(PRENOTAZIONI!$B:$B,SMALL(PRENOTAZIONI!$AL:$AL,12)),"")</f>
        <v/>
      </c>
      <c r="U15" s="32" t="str">
        <f t="shared" si="5"/>
        <v/>
      </c>
      <c r="V15" s="34" t="str">
        <f>IFERROR(INDEX(PRENOTAZIONI!$E:$E,SMALL(PRENOTAZIONI!$AL:$AL,12)),"")</f>
        <v/>
      </c>
      <c r="W15" s="34" t="str">
        <f>IFERROR(INDEX(PRENOTAZIONI!$F:$F,SMALL(PRENOTAZIONI!$AL:$AL,12)),"")</f>
        <v/>
      </c>
      <c r="X15" s="35" t="str">
        <f>IFERROR(INDEX(PRENOTAZIONI!$H:$H,SMALL(PRENOTAZIONI!$AL:$AL,12)),"")</f>
        <v/>
      </c>
      <c r="Y15" s="34" t="str">
        <f>IFERROR(INDEX(PRENOTAZIONI!$K:$K,SMALL(PRENOTAZIONI!$AL:$AL,12)),"")</f>
        <v/>
      </c>
      <c r="Z15" s="34"/>
      <c r="AA15" s="34"/>
      <c r="AB15" s="40" t="str">
        <f t="shared" si="6"/>
        <v/>
      </c>
      <c r="AC15" s="41" t="str">
        <f t="shared" si="7"/>
        <v/>
      </c>
      <c r="AE15" s="38"/>
      <c r="AF15" s="113" t="s">
        <v>192</v>
      </c>
      <c r="AG15" s="114">
        <f>SUMPRODUCT((MONTH(PRENOTAZIONI!$A$3:$A$262)=12)*(YEAR(PRENOTAZIONI!$A$3:$A$262)=2026)*(PRENOTAZIONI!$D$3:$D$262="Via Cavour"))</f>
        <v>0</v>
      </c>
      <c r="AH15" s="114">
        <f>SUMPRODUCT((PRENOTAZIONI!$A$3:$A$262&lt;DATE(2027,1,1))*(PRENOTAZIONI!$B$3:$B$262&gt;DATE(2026,12,1))*(YEAR(PRENOTAZIONI!$A$3:$A$262)=2026)*(PRENOTAZIONI!$D$3:$D$262="Via Cavour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I15" s="151">
        <f>SUMIF(A4:A33,"&gt;="&amp;DATE(2026,12,1),G4:G33)-SUMIF(A4:A33,"&gt;="&amp;DATE(2027,1,1),G4:G33)</f>
        <v>0</v>
      </c>
      <c r="AJ15" s="151">
        <f>SUMIF(A4:A33,"&gt;="&amp;DATE(2026,12,1),I4:I33)-SUMIF(A4:A33,"&gt;="&amp;DATE(2027,1,1),I4:I33)</f>
        <v>0</v>
      </c>
      <c r="AK15" s="151">
        <f>SUMIF(A4:A33,"&gt;="&amp;DATE(2026,12,1),K4:K33)-SUMIF(A4:A33,"&gt;="&amp;DATE(2027,1,1),K4:K33)</f>
        <v>0</v>
      </c>
      <c r="AL15" s="151">
        <f>SUMIF(A4:A33,"&gt;="&amp;DATE(2026,12,1),M4:M33)-SUMIF(A4:A33,"&gt;="&amp;DATE(2027,1,1),M4:M33)</f>
        <v>0</v>
      </c>
      <c r="AM15" s="152">
        <f>SUMIF(A4:A33,"&gt;="&amp;DATE(2026,12,1),L4:L33)-SUMIF(A4:A33,"&gt;="&amp;DATE(2027,1,1),L4:L33)</f>
        <v>0</v>
      </c>
      <c r="AN15" s="152">
        <f>SUMIF(A4:A33,"&gt;="&amp;DATE(2026,12,1),J4:J33)-SUMIF(A4:A33,"&gt;="&amp;DATE(2027,1,1),J4:J33)</f>
        <v>0</v>
      </c>
      <c r="AO15" s="153">
        <f>SUMIF(A4:A33,"&gt;="&amp;DATE(2026,12,1),P4:P33)-SUMIF(A4:A33,"&gt;="&amp;DATE(2027,1,1),P4:P33)</f>
        <v>0</v>
      </c>
    </row>
    <row r="16" spans="1:59" ht="26" customHeight="1" thickBot="1" x14ac:dyDescent="0.25">
      <c r="A16" s="31" t="str">
        <f>IFERROR(INDEX(PRENOTAZIONI!$A:$A,SMALL(PRENOTAZIONI!$X:$X,13)),"")</f>
        <v/>
      </c>
      <c r="B16" s="31" t="str">
        <f>IFERROR(INDEX(PRENOTAZIONI!$B:$B,SMALL(PRENOTAZIONI!$X:$X,13)),"")</f>
        <v/>
      </c>
      <c r="C16" s="32" t="str">
        <f t="shared" si="0"/>
        <v/>
      </c>
      <c r="D16" s="34" t="str">
        <f>IFERROR(INDEX(PRENOTAZIONI!$E:$E,SMALL(PRENOTAZIONI!$X:$X,13)),"")</f>
        <v/>
      </c>
      <c r="E16" s="34" t="str">
        <f>IFERROR(INDEX(PRENOTAZIONI!$F:$F,SMALL(PRENOTAZIONI!$X:$X,13)),"")</f>
        <v/>
      </c>
      <c r="F16" s="34" t="str">
        <f>IFERROR(INDEX(PRENOTAZIONI!$G:$G,SMALL(PRENOTAZIONI!$X:$X,13)),"")</f>
        <v/>
      </c>
      <c r="G16" s="35" t="str">
        <f>IFERROR(INDEX(PRENOTAZIONI!$H:$H,SMALL(PRENOTAZIONI!$X:$X,13)),"")</f>
        <v/>
      </c>
      <c r="H16" s="146" t="str">
        <f t="shared" si="1"/>
        <v/>
      </c>
      <c r="I16" s="35" t="str">
        <f t="shared" si="8"/>
        <v/>
      </c>
      <c r="J16" s="149" t="str">
        <f t="shared" si="9"/>
        <v/>
      </c>
      <c r="K16" s="35" t="str">
        <f>IFERROR(INDEX(PRENOTAZIONI!$L:$L,SMALL(PRENOTAZIONI!$X:$X,13)),"")</f>
        <v/>
      </c>
      <c r="L16" s="150" t="str">
        <f t="shared" si="2"/>
        <v/>
      </c>
      <c r="M16" s="35" t="str">
        <f t="shared" si="3"/>
        <v/>
      </c>
      <c r="N16" s="35"/>
      <c r="O16" s="43"/>
      <c r="P16" s="150" t="str">
        <f t="shared" si="4"/>
        <v/>
      </c>
      <c r="Q16" s="47" t="str">
        <f>IFERROR(INDEX(PRENOTAZIONI!$R:$R,SMALL(PRENOTAZIONI!$X:$X,13)),"")</f>
        <v/>
      </c>
      <c r="R16" s="101"/>
      <c r="S16" s="99" t="str">
        <f>IFERROR(INDEX(PRENOTAZIONI!$A:$A,SMALL(PRENOTAZIONI!$AL:$AL,13)),"")</f>
        <v/>
      </c>
      <c r="T16" s="31" t="str">
        <f>IFERROR(INDEX(PRENOTAZIONI!$B:$B,SMALL(PRENOTAZIONI!$AL:$AL,13)),"")</f>
        <v/>
      </c>
      <c r="U16" s="32" t="str">
        <f t="shared" si="5"/>
        <v/>
      </c>
      <c r="V16" s="34" t="str">
        <f>IFERROR(INDEX(PRENOTAZIONI!$E:$E,SMALL(PRENOTAZIONI!$AL:$AL,13)),"")</f>
        <v/>
      </c>
      <c r="W16" s="34" t="str">
        <f>IFERROR(INDEX(PRENOTAZIONI!$F:$F,SMALL(PRENOTAZIONI!$AL:$AL,13)),"")</f>
        <v/>
      </c>
      <c r="X16" s="35" t="str">
        <f>IFERROR(INDEX(PRENOTAZIONI!$H:$H,SMALL(PRENOTAZIONI!$AL:$AL,13)),"")</f>
        <v/>
      </c>
      <c r="Y16" s="34" t="str">
        <f>IFERROR(INDEX(PRENOTAZIONI!$K:$K,SMALL(PRENOTAZIONI!$AL:$AL,13)),"")</f>
        <v/>
      </c>
      <c r="Z16" s="34"/>
      <c r="AA16" s="34"/>
      <c r="AB16" s="40" t="str">
        <f t="shared" si="6"/>
        <v/>
      </c>
      <c r="AC16" s="41" t="str">
        <f t="shared" si="7"/>
        <v/>
      </c>
      <c r="AE16" s="38"/>
      <c r="AF16" s="115" t="s">
        <v>196</v>
      </c>
      <c r="AG16" s="116">
        <f t="shared" ref="AG16:AO16" si="10">SUM(AG4:AG15)</f>
        <v>7</v>
      </c>
      <c r="AH16" s="116">
        <f t="shared" si="10"/>
        <v>32</v>
      </c>
      <c r="AI16" s="116">
        <f t="shared" si="10"/>
        <v>3440.62</v>
      </c>
      <c r="AJ16" s="116">
        <f t="shared" si="10"/>
        <v>415.90230000000003</v>
      </c>
      <c r="AK16" s="116">
        <f t="shared" si="10"/>
        <v>10</v>
      </c>
      <c r="AL16" s="116">
        <f t="shared" si="10"/>
        <v>344.06200000000001</v>
      </c>
      <c r="AM16" s="116">
        <f t="shared" si="10"/>
        <v>722.53020000000004</v>
      </c>
      <c r="AN16" s="117">
        <f t="shared" si="10"/>
        <v>91.498506000000006</v>
      </c>
      <c r="AO16" s="117">
        <f t="shared" si="10"/>
        <v>1866.6269940000002</v>
      </c>
    </row>
    <row r="17" spans="1:41" ht="22" customHeight="1" x14ac:dyDescent="0.2">
      <c r="A17" s="31" t="str">
        <f>IFERROR(INDEX(PRENOTAZIONI!$A:$A,SMALL(PRENOTAZIONI!$X:$X,14)),"")</f>
        <v/>
      </c>
      <c r="B17" s="31" t="str">
        <f>IFERROR(INDEX(PRENOTAZIONI!$B:$B,SMALL(PRENOTAZIONI!$X:$X,14)),"")</f>
        <v/>
      </c>
      <c r="C17" s="32" t="str">
        <f t="shared" si="0"/>
        <v/>
      </c>
      <c r="D17" s="34" t="str">
        <f>IFERROR(INDEX(PRENOTAZIONI!$E:$E,SMALL(PRENOTAZIONI!$X:$X,14)),"")</f>
        <v/>
      </c>
      <c r="E17" s="34" t="str">
        <f>IFERROR(INDEX(PRENOTAZIONI!$F:$F,SMALL(PRENOTAZIONI!$X:$X,14)),"")</f>
        <v/>
      </c>
      <c r="F17" s="34" t="str">
        <f>IFERROR(INDEX(PRENOTAZIONI!$G:$G,SMALL(PRENOTAZIONI!$X:$X,14)),"")</f>
        <v/>
      </c>
      <c r="G17" s="35" t="str">
        <f>IFERROR(INDEX(PRENOTAZIONI!$H:$H,SMALL(PRENOTAZIONI!$X:$X,14)),"")</f>
        <v/>
      </c>
      <c r="H17" s="146" t="str">
        <f t="shared" si="1"/>
        <v/>
      </c>
      <c r="I17" s="35" t="str">
        <f t="shared" si="8"/>
        <v/>
      </c>
      <c r="J17" s="149" t="str">
        <f t="shared" si="9"/>
        <v/>
      </c>
      <c r="K17" s="35" t="str">
        <f>IFERROR(INDEX(PRENOTAZIONI!$L:$L,SMALL(PRENOTAZIONI!$X:$X,14)),"")</f>
        <v/>
      </c>
      <c r="L17" s="150" t="str">
        <f t="shared" si="2"/>
        <v/>
      </c>
      <c r="M17" s="35" t="str">
        <f t="shared" si="3"/>
        <v/>
      </c>
      <c r="N17" s="35"/>
      <c r="O17" s="43"/>
      <c r="P17" s="150" t="str">
        <f t="shared" si="4"/>
        <v/>
      </c>
      <c r="Q17" s="47" t="str">
        <f>IFERROR(INDEX(PRENOTAZIONI!$R:$R,SMALL(PRENOTAZIONI!$X:$X,14)),"")</f>
        <v/>
      </c>
      <c r="R17" s="101"/>
      <c r="S17" s="99" t="str">
        <f>IFERROR(INDEX(PRENOTAZIONI!$A:$A,SMALL(PRENOTAZIONI!$AL:$AL,14)),"")</f>
        <v/>
      </c>
      <c r="T17" s="31" t="str">
        <f>IFERROR(INDEX(PRENOTAZIONI!$B:$B,SMALL(PRENOTAZIONI!$AL:$AL,14)),"")</f>
        <v/>
      </c>
      <c r="U17" s="32" t="str">
        <f t="shared" si="5"/>
        <v/>
      </c>
      <c r="V17" s="34" t="str">
        <f>IFERROR(INDEX(PRENOTAZIONI!$E:$E,SMALL(PRENOTAZIONI!$AL:$AL,14)),"")</f>
        <v/>
      </c>
      <c r="W17" s="34" t="str">
        <f>IFERROR(INDEX(PRENOTAZIONI!$F:$F,SMALL(PRENOTAZIONI!$AL:$AL,14)),"")</f>
        <v/>
      </c>
      <c r="X17" s="35" t="str">
        <f>IFERROR(INDEX(PRENOTAZIONI!$H:$H,SMALL(PRENOTAZIONI!$AL:$AL,14)),"")</f>
        <v/>
      </c>
      <c r="Y17" s="34" t="str">
        <f>IFERROR(INDEX(PRENOTAZIONI!$K:$K,SMALL(PRENOTAZIONI!$AL:$AL,14)),"")</f>
        <v/>
      </c>
      <c r="Z17" s="34"/>
      <c r="AA17" s="34"/>
      <c r="AB17" s="40" t="str">
        <f t="shared" si="6"/>
        <v/>
      </c>
      <c r="AC17" s="41" t="str">
        <f t="shared" si="7"/>
        <v/>
      </c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</row>
    <row r="18" spans="1:41" ht="22" customHeight="1" x14ac:dyDescent="0.2">
      <c r="A18" s="31" t="str">
        <f>IFERROR(INDEX(PRENOTAZIONI!$A:$A,SMALL(PRENOTAZIONI!$X:$X,15)),"")</f>
        <v/>
      </c>
      <c r="B18" s="31" t="str">
        <f>IFERROR(INDEX(PRENOTAZIONI!$B:$B,SMALL(PRENOTAZIONI!$X:$X,15)),"")</f>
        <v/>
      </c>
      <c r="C18" s="32" t="str">
        <f t="shared" si="0"/>
        <v/>
      </c>
      <c r="D18" s="34" t="str">
        <f>IFERROR(INDEX(PRENOTAZIONI!$E:$E,SMALL(PRENOTAZIONI!$X:$X,15)),"")</f>
        <v/>
      </c>
      <c r="E18" s="34" t="str">
        <f>IFERROR(INDEX(PRENOTAZIONI!$F:$F,SMALL(PRENOTAZIONI!$X:$X,15)),"")</f>
        <v/>
      </c>
      <c r="F18" s="34" t="str">
        <f>IFERROR(INDEX(PRENOTAZIONI!$G:$G,SMALL(PRENOTAZIONI!$X:$X,15)),"")</f>
        <v/>
      </c>
      <c r="G18" s="35" t="str">
        <f>IFERROR(INDEX(PRENOTAZIONI!$H:$H,SMALL(PRENOTAZIONI!$X:$X,15)),"")</f>
        <v/>
      </c>
      <c r="H18" s="146" t="str">
        <f t="shared" si="1"/>
        <v/>
      </c>
      <c r="I18" s="35" t="str">
        <f t="shared" si="8"/>
        <v/>
      </c>
      <c r="J18" s="149" t="str">
        <f t="shared" si="9"/>
        <v/>
      </c>
      <c r="K18" s="35" t="str">
        <f>IFERROR(INDEX(PRENOTAZIONI!$L:$L,SMALL(PRENOTAZIONI!$X:$X,15)),"")</f>
        <v/>
      </c>
      <c r="L18" s="150" t="str">
        <f t="shared" si="2"/>
        <v/>
      </c>
      <c r="M18" s="35" t="str">
        <f t="shared" si="3"/>
        <v/>
      </c>
      <c r="N18" s="35"/>
      <c r="O18" s="43"/>
      <c r="P18" s="150" t="str">
        <f t="shared" si="4"/>
        <v/>
      </c>
      <c r="Q18" s="47" t="str">
        <f>IFERROR(INDEX(PRENOTAZIONI!$R:$R,SMALL(PRENOTAZIONI!$X:$X,15)),"")</f>
        <v/>
      </c>
      <c r="R18" s="101"/>
      <c r="S18" s="99" t="str">
        <f>IFERROR(INDEX(PRENOTAZIONI!$A:$A,SMALL(PRENOTAZIONI!$AL:$AL,15)),"")</f>
        <v/>
      </c>
      <c r="T18" s="31" t="str">
        <f>IFERROR(INDEX(PRENOTAZIONI!$B:$B,SMALL(PRENOTAZIONI!$AL:$AL,15)),"")</f>
        <v/>
      </c>
      <c r="U18" s="32" t="str">
        <f t="shared" si="5"/>
        <v/>
      </c>
      <c r="V18" s="34" t="str">
        <f>IFERROR(INDEX(PRENOTAZIONI!$E:$E,SMALL(PRENOTAZIONI!$AL:$AL,15)),"")</f>
        <v/>
      </c>
      <c r="W18" s="34" t="str">
        <f>IFERROR(INDEX(PRENOTAZIONI!$F:$F,SMALL(PRENOTAZIONI!$AL:$AL,15)),"")</f>
        <v/>
      </c>
      <c r="X18" s="35" t="str">
        <f>IFERROR(INDEX(PRENOTAZIONI!$H:$H,SMALL(PRENOTAZIONI!$AL:$AL,15)),"")</f>
        <v/>
      </c>
      <c r="Y18" s="34" t="str">
        <f>IFERROR(INDEX(PRENOTAZIONI!$K:$K,SMALL(PRENOTAZIONI!$AL:$AL,15)),"")</f>
        <v/>
      </c>
      <c r="Z18" s="34"/>
      <c r="AA18" s="34"/>
      <c r="AB18" s="40" t="str">
        <f t="shared" si="6"/>
        <v/>
      </c>
      <c r="AC18" s="41" t="str">
        <f t="shared" si="7"/>
        <v/>
      </c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</row>
    <row r="19" spans="1:41" ht="22" customHeight="1" x14ac:dyDescent="0.2">
      <c r="A19" s="31" t="str">
        <f>IFERROR(INDEX(PRENOTAZIONI!$A:$A,SMALL(PRENOTAZIONI!$X:$X,16)),"")</f>
        <v/>
      </c>
      <c r="B19" s="31" t="str">
        <f>IFERROR(INDEX(PRENOTAZIONI!$B:$B,SMALL(PRENOTAZIONI!$X:$X,16)),"")</f>
        <v/>
      </c>
      <c r="C19" s="32" t="str">
        <f t="shared" si="0"/>
        <v/>
      </c>
      <c r="D19" s="34" t="str">
        <f>IFERROR(INDEX(PRENOTAZIONI!$E:$E,SMALL(PRENOTAZIONI!$X:$X,16)),"")</f>
        <v/>
      </c>
      <c r="E19" s="34" t="str">
        <f>IFERROR(INDEX(PRENOTAZIONI!$F:$F,SMALL(PRENOTAZIONI!$X:$X,16)),"")</f>
        <v/>
      </c>
      <c r="F19" s="34" t="str">
        <f>IFERROR(INDEX(PRENOTAZIONI!$G:$G,SMALL(PRENOTAZIONI!$X:$X,16)),"")</f>
        <v/>
      </c>
      <c r="G19" s="35" t="str">
        <f>IFERROR(INDEX(PRENOTAZIONI!$H:$H,SMALL(PRENOTAZIONI!$X:$X,16)),"")</f>
        <v/>
      </c>
      <c r="H19" s="146" t="str">
        <f t="shared" si="1"/>
        <v/>
      </c>
      <c r="I19" s="35" t="str">
        <f t="shared" si="8"/>
        <v/>
      </c>
      <c r="J19" s="149" t="str">
        <f t="shared" si="9"/>
        <v/>
      </c>
      <c r="K19" s="35" t="str">
        <f>IFERROR(INDEX(PRENOTAZIONI!$L:$L,SMALL(PRENOTAZIONI!$X:$X,16)),"")</f>
        <v/>
      </c>
      <c r="L19" s="150" t="str">
        <f t="shared" si="2"/>
        <v/>
      </c>
      <c r="M19" s="35" t="str">
        <f t="shared" si="3"/>
        <v/>
      </c>
      <c r="N19" s="35"/>
      <c r="O19" s="43"/>
      <c r="P19" s="150" t="str">
        <f t="shared" si="4"/>
        <v/>
      </c>
      <c r="Q19" s="47" t="str">
        <f>IFERROR(INDEX(PRENOTAZIONI!$R:$R,SMALL(PRENOTAZIONI!$X:$X,16)),"")</f>
        <v/>
      </c>
      <c r="R19" s="101"/>
      <c r="S19" s="99" t="str">
        <f>IFERROR(INDEX(PRENOTAZIONI!$A:$A,SMALL(PRENOTAZIONI!$AL:$AL,16)),"")</f>
        <v/>
      </c>
      <c r="T19" s="31" t="str">
        <f>IFERROR(INDEX(PRENOTAZIONI!$B:$B,SMALL(PRENOTAZIONI!$AL:$AL,16)),"")</f>
        <v/>
      </c>
      <c r="U19" s="32" t="str">
        <f t="shared" si="5"/>
        <v/>
      </c>
      <c r="V19" s="34" t="str">
        <f>IFERROR(INDEX(PRENOTAZIONI!$E:$E,SMALL(PRENOTAZIONI!$AL:$AL,16)),"")</f>
        <v/>
      </c>
      <c r="W19" s="34" t="str">
        <f>IFERROR(INDEX(PRENOTAZIONI!$F:$F,SMALL(PRENOTAZIONI!$AL:$AL,16)),"")</f>
        <v/>
      </c>
      <c r="X19" s="35" t="str">
        <f>IFERROR(INDEX(PRENOTAZIONI!$H:$H,SMALL(PRENOTAZIONI!$AL:$AL,16)),"")</f>
        <v/>
      </c>
      <c r="Y19" s="34" t="str">
        <f>IFERROR(INDEX(PRENOTAZIONI!$K:$K,SMALL(PRENOTAZIONI!$AL:$AL,16)),"")</f>
        <v/>
      </c>
      <c r="Z19" s="34"/>
      <c r="AA19" s="34"/>
      <c r="AB19" s="40" t="str">
        <f t="shared" si="6"/>
        <v/>
      </c>
      <c r="AC19" s="41" t="str">
        <f t="shared" si="7"/>
        <v/>
      </c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</row>
    <row r="20" spans="1:41" ht="22" customHeight="1" x14ac:dyDescent="0.2">
      <c r="A20" s="31" t="str">
        <f>IFERROR(INDEX(PRENOTAZIONI!$A:$A,SMALL(PRENOTAZIONI!$X:$X,17)),"")</f>
        <v/>
      </c>
      <c r="B20" s="31" t="str">
        <f>IFERROR(INDEX(PRENOTAZIONI!$B:$B,SMALL(PRENOTAZIONI!$X:$X,17)),"")</f>
        <v/>
      </c>
      <c r="C20" s="32" t="str">
        <f t="shared" si="0"/>
        <v/>
      </c>
      <c r="D20" s="34" t="str">
        <f>IFERROR(INDEX(PRENOTAZIONI!$E:$E,SMALL(PRENOTAZIONI!$X:$X,17)),"")</f>
        <v/>
      </c>
      <c r="E20" s="34" t="str">
        <f>IFERROR(INDEX(PRENOTAZIONI!$F:$F,SMALL(PRENOTAZIONI!$X:$X,17)),"")</f>
        <v/>
      </c>
      <c r="F20" s="34" t="str">
        <f>IFERROR(INDEX(PRENOTAZIONI!$G:$G,SMALL(PRENOTAZIONI!$X:$X,17)),"")</f>
        <v/>
      </c>
      <c r="G20" s="35" t="str">
        <f>IFERROR(INDEX(PRENOTAZIONI!$H:$H,SMALL(PRENOTAZIONI!$X:$X,17)),"")</f>
        <v/>
      </c>
      <c r="H20" s="146" t="str">
        <f t="shared" si="1"/>
        <v/>
      </c>
      <c r="I20" s="35" t="str">
        <f t="shared" si="8"/>
        <v/>
      </c>
      <c r="J20" s="149" t="str">
        <f t="shared" si="9"/>
        <v/>
      </c>
      <c r="K20" s="35" t="str">
        <f>IFERROR(INDEX(PRENOTAZIONI!$L:$L,SMALL(PRENOTAZIONI!$X:$X,17)),"")</f>
        <v/>
      </c>
      <c r="L20" s="150" t="str">
        <f t="shared" si="2"/>
        <v/>
      </c>
      <c r="M20" s="35" t="str">
        <f t="shared" si="3"/>
        <v/>
      </c>
      <c r="N20" s="35"/>
      <c r="O20" s="43"/>
      <c r="P20" s="150" t="str">
        <f t="shared" si="4"/>
        <v/>
      </c>
      <c r="Q20" s="47" t="str">
        <f>IFERROR(INDEX(PRENOTAZIONI!$R:$R,SMALL(PRENOTAZIONI!$X:$X,17)),"")</f>
        <v/>
      </c>
      <c r="R20" s="101"/>
      <c r="S20" s="99" t="str">
        <f>IFERROR(INDEX(PRENOTAZIONI!$A:$A,SMALL(PRENOTAZIONI!$AL:$AL,17)),"")</f>
        <v/>
      </c>
      <c r="T20" s="31" t="str">
        <f>IFERROR(INDEX(PRENOTAZIONI!$B:$B,SMALL(PRENOTAZIONI!$AL:$AL,17)),"")</f>
        <v/>
      </c>
      <c r="U20" s="32" t="str">
        <f t="shared" si="5"/>
        <v/>
      </c>
      <c r="V20" s="34" t="str">
        <f>IFERROR(INDEX(PRENOTAZIONI!$E:$E,SMALL(PRENOTAZIONI!$AL:$AL,17)),"")</f>
        <v/>
      </c>
      <c r="W20" s="34" t="str">
        <f>IFERROR(INDEX(PRENOTAZIONI!$F:$F,SMALL(PRENOTAZIONI!$AL:$AL,17)),"")</f>
        <v/>
      </c>
      <c r="X20" s="35" t="str">
        <f>IFERROR(INDEX(PRENOTAZIONI!$H:$H,SMALL(PRENOTAZIONI!$AL:$AL,17)),"")</f>
        <v/>
      </c>
      <c r="Y20" s="34" t="str">
        <f>IFERROR(INDEX(PRENOTAZIONI!$K:$K,SMALL(PRENOTAZIONI!$AL:$AL,17)),"")</f>
        <v/>
      </c>
      <c r="Z20" s="34"/>
      <c r="AA20" s="34"/>
      <c r="AB20" s="40" t="str">
        <f t="shared" si="6"/>
        <v/>
      </c>
      <c r="AC20" s="41" t="str">
        <f t="shared" si="7"/>
        <v/>
      </c>
    </row>
    <row r="21" spans="1:41" ht="22" customHeight="1" x14ac:dyDescent="0.2">
      <c r="A21" s="31" t="str">
        <f>IFERROR(INDEX(PRENOTAZIONI!$A:$A,SMALL(PRENOTAZIONI!$X:$X,18)),"")</f>
        <v/>
      </c>
      <c r="B21" s="31" t="str">
        <f>IFERROR(INDEX(PRENOTAZIONI!$B:$B,SMALL(PRENOTAZIONI!$X:$X,18)),"")</f>
        <v/>
      </c>
      <c r="C21" s="32" t="str">
        <f t="shared" si="0"/>
        <v/>
      </c>
      <c r="D21" s="34" t="str">
        <f>IFERROR(INDEX(PRENOTAZIONI!$E:$E,SMALL(PRENOTAZIONI!$X:$X,18)),"")</f>
        <v/>
      </c>
      <c r="E21" s="34" t="str">
        <f>IFERROR(INDEX(PRENOTAZIONI!$F:$F,SMALL(PRENOTAZIONI!$X:$X,18)),"")</f>
        <v/>
      </c>
      <c r="F21" s="34" t="str">
        <f>IFERROR(INDEX(PRENOTAZIONI!$G:$G,SMALL(PRENOTAZIONI!$X:$X,18)),"")</f>
        <v/>
      </c>
      <c r="G21" s="35" t="str">
        <f>IFERROR(INDEX(PRENOTAZIONI!$H:$H,SMALL(PRENOTAZIONI!$X:$X,18)),"")</f>
        <v/>
      </c>
      <c r="H21" s="146" t="str">
        <f t="shared" si="1"/>
        <v/>
      </c>
      <c r="I21" s="35" t="str">
        <f t="shared" si="8"/>
        <v/>
      </c>
      <c r="J21" s="149" t="str">
        <f t="shared" si="9"/>
        <v/>
      </c>
      <c r="K21" s="35" t="str">
        <f>IFERROR(INDEX(PRENOTAZIONI!$L:$L,SMALL(PRENOTAZIONI!$X:$X,18)),"")</f>
        <v/>
      </c>
      <c r="L21" s="150" t="str">
        <f t="shared" si="2"/>
        <v/>
      </c>
      <c r="M21" s="35" t="str">
        <f t="shared" si="3"/>
        <v/>
      </c>
      <c r="N21" s="35"/>
      <c r="O21" s="43"/>
      <c r="P21" s="150" t="str">
        <f t="shared" si="4"/>
        <v/>
      </c>
      <c r="Q21" s="47" t="str">
        <f>IFERROR(INDEX(PRENOTAZIONI!$R:$R,SMALL(PRENOTAZIONI!$X:$X,18)),"")</f>
        <v/>
      </c>
      <c r="R21" s="101"/>
      <c r="S21" s="99" t="str">
        <f>IFERROR(INDEX(PRENOTAZIONI!$A:$A,SMALL(PRENOTAZIONI!$AL:$AL,18)),"")</f>
        <v/>
      </c>
      <c r="T21" s="31" t="str">
        <f>IFERROR(INDEX(PRENOTAZIONI!$B:$B,SMALL(PRENOTAZIONI!$AL:$AL,18)),"")</f>
        <v/>
      </c>
      <c r="U21" s="32" t="str">
        <f t="shared" si="5"/>
        <v/>
      </c>
      <c r="V21" s="34" t="str">
        <f>IFERROR(INDEX(PRENOTAZIONI!$E:$E,SMALL(PRENOTAZIONI!$AL:$AL,18)),"")</f>
        <v/>
      </c>
      <c r="W21" s="34" t="str">
        <f>IFERROR(INDEX(PRENOTAZIONI!$F:$F,SMALL(PRENOTAZIONI!$AL:$AL,18)),"")</f>
        <v/>
      </c>
      <c r="X21" s="35" t="str">
        <f>IFERROR(INDEX(PRENOTAZIONI!$H:$H,SMALL(PRENOTAZIONI!$AL:$AL,18)),"")</f>
        <v/>
      </c>
      <c r="Y21" s="34" t="str">
        <f>IFERROR(INDEX(PRENOTAZIONI!$K:$K,SMALL(PRENOTAZIONI!$AL:$AL,18)),"")</f>
        <v/>
      </c>
      <c r="Z21" s="34"/>
      <c r="AA21" s="34"/>
      <c r="AB21" s="40" t="str">
        <f t="shared" si="6"/>
        <v/>
      </c>
      <c r="AC21" s="41" t="str">
        <f t="shared" si="7"/>
        <v/>
      </c>
    </row>
    <row r="22" spans="1:41" ht="22" customHeight="1" x14ac:dyDescent="0.2">
      <c r="A22" s="31" t="str">
        <f>IFERROR(INDEX(PRENOTAZIONI!$A:$A,SMALL(PRENOTAZIONI!$X:$X,19)),"")</f>
        <v/>
      </c>
      <c r="B22" s="31" t="str">
        <f>IFERROR(INDEX(PRENOTAZIONI!$B:$B,SMALL(PRENOTAZIONI!$X:$X,19)),"")</f>
        <v/>
      </c>
      <c r="C22" s="32" t="str">
        <f t="shared" si="0"/>
        <v/>
      </c>
      <c r="D22" s="34" t="str">
        <f>IFERROR(INDEX(PRENOTAZIONI!$E:$E,SMALL(PRENOTAZIONI!$X:$X,19)),"")</f>
        <v/>
      </c>
      <c r="E22" s="34" t="str">
        <f>IFERROR(INDEX(PRENOTAZIONI!$F:$F,SMALL(PRENOTAZIONI!$X:$X,19)),"")</f>
        <v/>
      </c>
      <c r="F22" s="34" t="str">
        <f>IFERROR(INDEX(PRENOTAZIONI!$G:$G,SMALL(PRENOTAZIONI!$X:$X,19)),"")</f>
        <v/>
      </c>
      <c r="G22" s="35" t="str">
        <f>IFERROR(INDEX(PRENOTAZIONI!$H:$H,SMALL(PRENOTAZIONI!$X:$X,19)),"")</f>
        <v/>
      </c>
      <c r="H22" s="146" t="str">
        <f t="shared" si="1"/>
        <v/>
      </c>
      <c r="I22" s="35" t="str">
        <f t="shared" si="8"/>
        <v/>
      </c>
      <c r="J22" s="149" t="str">
        <f t="shared" si="9"/>
        <v/>
      </c>
      <c r="K22" s="35" t="str">
        <f>IFERROR(INDEX(PRENOTAZIONI!$L:$L,SMALL(PRENOTAZIONI!$X:$X,19)),"")</f>
        <v/>
      </c>
      <c r="L22" s="150" t="str">
        <f t="shared" si="2"/>
        <v/>
      </c>
      <c r="M22" s="35" t="str">
        <f t="shared" si="3"/>
        <v/>
      </c>
      <c r="N22" s="35"/>
      <c r="O22" s="43"/>
      <c r="P22" s="150" t="str">
        <f t="shared" si="4"/>
        <v/>
      </c>
      <c r="Q22" s="47" t="str">
        <f>IFERROR(INDEX(PRENOTAZIONI!$R:$R,SMALL(PRENOTAZIONI!$X:$X,19)),"")</f>
        <v/>
      </c>
      <c r="R22" s="101"/>
      <c r="S22" s="99" t="str">
        <f>IFERROR(INDEX(PRENOTAZIONI!$A:$A,SMALL(PRENOTAZIONI!$AL:$AL,19)),"")</f>
        <v/>
      </c>
      <c r="T22" s="31" t="str">
        <f>IFERROR(INDEX(PRENOTAZIONI!$B:$B,SMALL(PRENOTAZIONI!$AL:$AL,19)),"")</f>
        <v/>
      </c>
      <c r="U22" s="32" t="str">
        <f t="shared" si="5"/>
        <v/>
      </c>
      <c r="V22" s="34" t="str">
        <f>IFERROR(INDEX(PRENOTAZIONI!$E:$E,SMALL(PRENOTAZIONI!$AL:$AL,19)),"")</f>
        <v/>
      </c>
      <c r="W22" s="34" t="str">
        <f>IFERROR(INDEX(PRENOTAZIONI!$F:$F,SMALL(PRENOTAZIONI!$AL:$AL,19)),"")</f>
        <v/>
      </c>
      <c r="X22" s="35" t="str">
        <f>IFERROR(INDEX(PRENOTAZIONI!$H:$H,SMALL(PRENOTAZIONI!$AL:$AL,19)),"")</f>
        <v/>
      </c>
      <c r="Y22" s="34" t="str">
        <f>IFERROR(INDEX(PRENOTAZIONI!$K:$K,SMALL(PRENOTAZIONI!$AL:$AL,19)),"")</f>
        <v/>
      </c>
      <c r="Z22" s="34"/>
      <c r="AA22" s="34"/>
      <c r="AB22" s="40" t="str">
        <f t="shared" si="6"/>
        <v/>
      </c>
      <c r="AC22" s="41" t="str">
        <f t="shared" si="7"/>
        <v/>
      </c>
    </row>
    <row r="23" spans="1:41" ht="22" customHeight="1" x14ac:dyDescent="0.2">
      <c r="A23" s="31" t="str">
        <f>IFERROR(INDEX(PRENOTAZIONI!$A:$A,SMALL(PRENOTAZIONI!$X:$X,20)),"")</f>
        <v/>
      </c>
      <c r="B23" s="31" t="str">
        <f>IFERROR(INDEX(PRENOTAZIONI!$B:$B,SMALL(PRENOTAZIONI!$X:$X,20)),"")</f>
        <v/>
      </c>
      <c r="C23" s="32" t="str">
        <f t="shared" si="0"/>
        <v/>
      </c>
      <c r="D23" s="34" t="str">
        <f>IFERROR(INDEX(PRENOTAZIONI!$E:$E,SMALL(PRENOTAZIONI!$X:$X,20)),"")</f>
        <v/>
      </c>
      <c r="E23" s="34" t="str">
        <f>IFERROR(INDEX(PRENOTAZIONI!$F:$F,SMALL(PRENOTAZIONI!$X:$X,20)),"")</f>
        <v/>
      </c>
      <c r="F23" s="34" t="str">
        <f>IFERROR(INDEX(PRENOTAZIONI!$G:$G,SMALL(PRENOTAZIONI!$X:$X,20)),"")</f>
        <v/>
      </c>
      <c r="G23" s="35" t="str">
        <f>IFERROR(INDEX(PRENOTAZIONI!$H:$H,SMALL(PRENOTAZIONI!$X:$X,20)),"")</f>
        <v/>
      </c>
      <c r="H23" s="146" t="str">
        <f t="shared" si="1"/>
        <v/>
      </c>
      <c r="I23" s="35" t="str">
        <f t="shared" si="8"/>
        <v/>
      </c>
      <c r="J23" s="149" t="str">
        <f t="shared" si="9"/>
        <v/>
      </c>
      <c r="K23" s="35" t="str">
        <f>IFERROR(INDEX(PRENOTAZIONI!$L:$L,SMALL(PRENOTAZIONI!$X:$X,20)),"")</f>
        <v/>
      </c>
      <c r="L23" s="150" t="str">
        <f t="shared" si="2"/>
        <v/>
      </c>
      <c r="M23" s="35" t="str">
        <f t="shared" si="3"/>
        <v/>
      </c>
      <c r="N23" s="35"/>
      <c r="O23" s="43"/>
      <c r="P23" s="150" t="str">
        <f t="shared" si="4"/>
        <v/>
      </c>
      <c r="Q23" s="47" t="str">
        <f>IFERROR(INDEX(PRENOTAZIONI!$R:$R,SMALL(PRENOTAZIONI!$X:$X,20)),"")</f>
        <v/>
      </c>
      <c r="R23" s="101"/>
      <c r="S23" s="99" t="str">
        <f>IFERROR(INDEX(PRENOTAZIONI!$A:$A,SMALL(PRENOTAZIONI!$AL:$AL,20)),"")</f>
        <v/>
      </c>
      <c r="T23" s="31" t="str">
        <f>IFERROR(INDEX(PRENOTAZIONI!$B:$B,SMALL(PRENOTAZIONI!$AL:$AL,20)),"")</f>
        <v/>
      </c>
      <c r="U23" s="32" t="str">
        <f t="shared" si="5"/>
        <v/>
      </c>
      <c r="V23" s="34" t="str">
        <f>IFERROR(INDEX(PRENOTAZIONI!$E:$E,SMALL(PRENOTAZIONI!$AL:$AL,20)),"")</f>
        <v/>
      </c>
      <c r="W23" s="34" t="str">
        <f>IFERROR(INDEX(PRENOTAZIONI!$F:$F,SMALL(PRENOTAZIONI!$AL:$AL,20)),"")</f>
        <v/>
      </c>
      <c r="X23" s="35" t="str">
        <f>IFERROR(INDEX(PRENOTAZIONI!$H:$H,SMALL(PRENOTAZIONI!$AL:$AL,20)),"")</f>
        <v/>
      </c>
      <c r="Y23" s="34" t="str">
        <f>IFERROR(INDEX(PRENOTAZIONI!$K:$K,SMALL(PRENOTAZIONI!$AL:$AL,20)),"")</f>
        <v/>
      </c>
      <c r="Z23" s="34"/>
      <c r="AA23" s="34"/>
      <c r="AB23" s="40" t="str">
        <f t="shared" si="6"/>
        <v/>
      </c>
      <c r="AC23" s="41" t="str">
        <f t="shared" si="7"/>
        <v/>
      </c>
    </row>
    <row r="24" spans="1:41" ht="22" customHeight="1" x14ac:dyDescent="0.2">
      <c r="A24" s="31" t="str">
        <f>IFERROR(INDEX(PRENOTAZIONI!$A:$A,SMALL(PRENOTAZIONI!$X:$X,21)),"")</f>
        <v/>
      </c>
      <c r="B24" s="31" t="str">
        <f>IFERROR(INDEX(PRENOTAZIONI!$B:$B,SMALL(PRENOTAZIONI!$X:$X,21)),"")</f>
        <v/>
      </c>
      <c r="C24" s="32" t="str">
        <f t="shared" si="0"/>
        <v/>
      </c>
      <c r="D24" s="34" t="str">
        <f>IFERROR(INDEX(PRENOTAZIONI!$E:$E,SMALL(PRENOTAZIONI!$X:$X,21)),"")</f>
        <v/>
      </c>
      <c r="E24" s="34" t="str">
        <f>IFERROR(INDEX(PRENOTAZIONI!$F:$F,SMALL(PRENOTAZIONI!$X:$X,21)),"")</f>
        <v/>
      </c>
      <c r="F24" s="34" t="str">
        <f>IFERROR(INDEX(PRENOTAZIONI!$G:$G,SMALL(PRENOTAZIONI!$X:$X,21)),"")</f>
        <v/>
      </c>
      <c r="G24" s="35" t="str">
        <f>IFERROR(INDEX(PRENOTAZIONI!$H:$H,SMALL(PRENOTAZIONI!$X:$X,21)),"")</f>
        <v/>
      </c>
      <c r="H24" s="146" t="str">
        <f t="shared" si="1"/>
        <v/>
      </c>
      <c r="I24" s="35" t="str">
        <f t="shared" si="8"/>
        <v/>
      </c>
      <c r="J24" s="149" t="str">
        <f t="shared" si="9"/>
        <v/>
      </c>
      <c r="K24" s="35" t="str">
        <f>IFERROR(INDEX(PRENOTAZIONI!$L:$L,SMALL(PRENOTAZIONI!$X:$X,21)),"")</f>
        <v/>
      </c>
      <c r="L24" s="150" t="str">
        <f t="shared" si="2"/>
        <v/>
      </c>
      <c r="M24" s="35" t="str">
        <f t="shared" si="3"/>
        <v/>
      </c>
      <c r="N24" s="35"/>
      <c r="O24" s="43"/>
      <c r="P24" s="150" t="str">
        <f t="shared" si="4"/>
        <v/>
      </c>
      <c r="Q24" s="47" t="str">
        <f>IFERROR(INDEX(PRENOTAZIONI!$R:$R,SMALL(PRENOTAZIONI!$X:$X,21)),"")</f>
        <v/>
      </c>
      <c r="R24" s="101"/>
      <c r="S24" s="99" t="str">
        <f>IFERROR(INDEX(PRENOTAZIONI!$A:$A,SMALL(PRENOTAZIONI!$AL:$AL,21)),"")</f>
        <v/>
      </c>
      <c r="T24" s="31" t="str">
        <f>IFERROR(INDEX(PRENOTAZIONI!$B:$B,SMALL(PRENOTAZIONI!$AL:$AL,21)),"")</f>
        <v/>
      </c>
      <c r="U24" s="32" t="str">
        <f t="shared" si="5"/>
        <v/>
      </c>
      <c r="V24" s="34" t="str">
        <f>IFERROR(INDEX(PRENOTAZIONI!$E:$E,SMALL(PRENOTAZIONI!$AL:$AL,21)),"")</f>
        <v/>
      </c>
      <c r="W24" s="34" t="str">
        <f>IFERROR(INDEX(PRENOTAZIONI!$F:$F,SMALL(PRENOTAZIONI!$AL:$AL,21)),"")</f>
        <v/>
      </c>
      <c r="X24" s="35" t="str">
        <f>IFERROR(INDEX(PRENOTAZIONI!$H:$H,SMALL(PRENOTAZIONI!$AL:$AL,21)),"")</f>
        <v/>
      </c>
      <c r="Y24" s="34" t="str">
        <f>IFERROR(INDEX(PRENOTAZIONI!$K:$K,SMALL(PRENOTAZIONI!$AL:$AL,21)),"")</f>
        <v/>
      </c>
      <c r="Z24" s="34"/>
      <c r="AA24" s="34"/>
      <c r="AB24" s="40" t="str">
        <f t="shared" si="6"/>
        <v/>
      </c>
      <c r="AC24" s="41" t="str">
        <f t="shared" si="7"/>
        <v/>
      </c>
    </row>
    <row r="25" spans="1:41" ht="22" customHeight="1" x14ac:dyDescent="0.2">
      <c r="A25" s="31" t="str">
        <f>IFERROR(INDEX(PRENOTAZIONI!$A:$A,SMALL(PRENOTAZIONI!$X:$X,22)),"")</f>
        <v/>
      </c>
      <c r="B25" s="31" t="str">
        <f>IFERROR(INDEX(PRENOTAZIONI!$B:$B,SMALL(PRENOTAZIONI!$X:$X,22)),"")</f>
        <v/>
      </c>
      <c r="C25" s="32" t="str">
        <f t="shared" si="0"/>
        <v/>
      </c>
      <c r="D25" s="34" t="str">
        <f>IFERROR(INDEX(PRENOTAZIONI!$E:$E,SMALL(PRENOTAZIONI!$X:$X,22)),"")</f>
        <v/>
      </c>
      <c r="E25" s="34" t="str">
        <f>IFERROR(INDEX(PRENOTAZIONI!$F:$F,SMALL(PRENOTAZIONI!$X:$X,22)),"")</f>
        <v/>
      </c>
      <c r="F25" s="34" t="str">
        <f>IFERROR(INDEX(PRENOTAZIONI!$G:$G,SMALL(PRENOTAZIONI!$X:$X,22)),"")</f>
        <v/>
      </c>
      <c r="G25" s="35" t="str">
        <f>IFERROR(INDEX(PRENOTAZIONI!$H:$H,SMALL(PRENOTAZIONI!$X:$X,22)),"")</f>
        <v/>
      </c>
      <c r="H25" s="146" t="str">
        <f t="shared" si="1"/>
        <v/>
      </c>
      <c r="I25" s="35" t="str">
        <f t="shared" si="8"/>
        <v/>
      </c>
      <c r="J25" s="149" t="str">
        <f t="shared" si="9"/>
        <v/>
      </c>
      <c r="K25" s="35" t="str">
        <f>IFERROR(INDEX(PRENOTAZIONI!$L:$L,SMALL(PRENOTAZIONI!$X:$X,22)),"")</f>
        <v/>
      </c>
      <c r="L25" s="150" t="str">
        <f t="shared" si="2"/>
        <v/>
      </c>
      <c r="M25" s="35" t="str">
        <f t="shared" si="3"/>
        <v/>
      </c>
      <c r="N25" s="35"/>
      <c r="O25" s="43"/>
      <c r="P25" s="150" t="str">
        <f t="shared" si="4"/>
        <v/>
      </c>
      <c r="Q25" s="47" t="str">
        <f>IFERROR(INDEX(PRENOTAZIONI!$R:$R,SMALL(PRENOTAZIONI!$X:$X,22)),"")</f>
        <v/>
      </c>
      <c r="R25" s="101"/>
      <c r="S25" s="99" t="str">
        <f>IFERROR(INDEX(PRENOTAZIONI!$A:$A,SMALL(PRENOTAZIONI!$AL:$AL,22)),"")</f>
        <v/>
      </c>
      <c r="T25" s="31" t="str">
        <f>IFERROR(INDEX(PRENOTAZIONI!$B:$B,SMALL(PRENOTAZIONI!$AL:$AL,22)),"")</f>
        <v/>
      </c>
      <c r="U25" s="32" t="str">
        <f t="shared" si="5"/>
        <v/>
      </c>
      <c r="V25" s="34" t="str">
        <f>IFERROR(INDEX(PRENOTAZIONI!$E:$E,SMALL(PRENOTAZIONI!$AL:$AL,22)),"")</f>
        <v/>
      </c>
      <c r="W25" s="34" t="str">
        <f>IFERROR(INDEX(PRENOTAZIONI!$F:$F,SMALL(PRENOTAZIONI!$AL:$AL,22)),"")</f>
        <v/>
      </c>
      <c r="X25" s="35" t="str">
        <f>IFERROR(INDEX(PRENOTAZIONI!$H:$H,SMALL(PRENOTAZIONI!$AL:$AL,22)),"")</f>
        <v/>
      </c>
      <c r="Y25" s="34" t="str">
        <f>IFERROR(INDEX(PRENOTAZIONI!$K:$K,SMALL(PRENOTAZIONI!$AL:$AL,22)),"")</f>
        <v/>
      </c>
      <c r="Z25" s="34"/>
      <c r="AA25" s="34"/>
      <c r="AB25" s="40" t="str">
        <f t="shared" si="6"/>
        <v/>
      </c>
      <c r="AC25" s="41" t="str">
        <f t="shared" si="7"/>
        <v/>
      </c>
    </row>
    <row r="26" spans="1:41" ht="22" customHeight="1" x14ac:dyDescent="0.2">
      <c r="A26" s="31" t="str">
        <f>IFERROR(INDEX(PRENOTAZIONI!$A:$A,SMALL(PRENOTAZIONI!$X:$X,23)),"")</f>
        <v/>
      </c>
      <c r="B26" s="31" t="str">
        <f>IFERROR(INDEX(PRENOTAZIONI!$B:$B,SMALL(PRENOTAZIONI!$X:$X,23)),"")</f>
        <v/>
      </c>
      <c r="C26" s="32" t="str">
        <f t="shared" si="0"/>
        <v/>
      </c>
      <c r="D26" s="34" t="str">
        <f>IFERROR(INDEX(PRENOTAZIONI!$E:$E,SMALL(PRENOTAZIONI!$X:$X,23)),"")</f>
        <v/>
      </c>
      <c r="E26" s="34" t="str">
        <f>IFERROR(INDEX(PRENOTAZIONI!$F:$F,SMALL(PRENOTAZIONI!$X:$X,23)),"")</f>
        <v/>
      </c>
      <c r="F26" s="34" t="str">
        <f>IFERROR(INDEX(PRENOTAZIONI!$G:$G,SMALL(PRENOTAZIONI!$X:$X,23)),"")</f>
        <v/>
      </c>
      <c r="G26" s="35" t="str">
        <f>IFERROR(INDEX(PRENOTAZIONI!$H:$H,SMALL(PRENOTAZIONI!$X:$X,23)),"")</f>
        <v/>
      </c>
      <c r="H26" s="146" t="str">
        <f t="shared" si="1"/>
        <v/>
      </c>
      <c r="I26" s="35" t="str">
        <f t="shared" si="8"/>
        <v/>
      </c>
      <c r="J26" s="149" t="str">
        <f t="shared" si="9"/>
        <v/>
      </c>
      <c r="K26" s="35" t="str">
        <f>IFERROR(INDEX(PRENOTAZIONI!$L:$L,SMALL(PRENOTAZIONI!$X:$X,23)),"")</f>
        <v/>
      </c>
      <c r="L26" s="150" t="str">
        <f t="shared" si="2"/>
        <v/>
      </c>
      <c r="M26" s="35" t="str">
        <f t="shared" si="3"/>
        <v/>
      </c>
      <c r="N26" s="35"/>
      <c r="O26" s="43"/>
      <c r="P26" s="150" t="str">
        <f t="shared" si="4"/>
        <v/>
      </c>
      <c r="Q26" s="47" t="str">
        <f>IFERROR(INDEX(PRENOTAZIONI!$R:$R,SMALL(PRENOTAZIONI!$X:$X,23)),"")</f>
        <v/>
      </c>
      <c r="R26" s="101"/>
      <c r="S26" s="99" t="str">
        <f>IFERROR(INDEX(PRENOTAZIONI!$A:$A,SMALL(PRENOTAZIONI!$AL:$AL,23)),"")</f>
        <v/>
      </c>
      <c r="T26" s="31" t="str">
        <f>IFERROR(INDEX(PRENOTAZIONI!$B:$B,SMALL(PRENOTAZIONI!$AL:$AL,23)),"")</f>
        <v/>
      </c>
      <c r="U26" s="32" t="str">
        <f t="shared" si="5"/>
        <v/>
      </c>
      <c r="V26" s="34" t="str">
        <f>IFERROR(INDEX(PRENOTAZIONI!$E:$E,SMALL(PRENOTAZIONI!$AL:$AL,23)),"")</f>
        <v/>
      </c>
      <c r="W26" s="34" t="str">
        <f>IFERROR(INDEX(PRENOTAZIONI!$F:$F,SMALL(PRENOTAZIONI!$AL:$AL,23)),"")</f>
        <v/>
      </c>
      <c r="X26" s="35" t="str">
        <f>IFERROR(INDEX(PRENOTAZIONI!$H:$H,SMALL(PRENOTAZIONI!$AL:$AL,23)),"")</f>
        <v/>
      </c>
      <c r="Y26" s="34" t="str">
        <f>IFERROR(INDEX(PRENOTAZIONI!$K:$K,SMALL(PRENOTAZIONI!$AL:$AL,23)),"")</f>
        <v/>
      </c>
      <c r="Z26" s="34"/>
      <c r="AA26" s="34"/>
      <c r="AB26" s="40" t="str">
        <f t="shared" si="6"/>
        <v/>
      </c>
      <c r="AC26" s="41" t="str">
        <f t="shared" si="7"/>
        <v/>
      </c>
    </row>
    <row r="27" spans="1:41" ht="22" customHeight="1" x14ac:dyDescent="0.2">
      <c r="A27" s="31" t="str">
        <f>IFERROR(INDEX(PRENOTAZIONI!$A:$A,SMALL(PRENOTAZIONI!$X:$X,24)),"")</f>
        <v/>
      </c>
      <c r="B27" s="31" t="str">
        <f>IFERROR(INDEX(PRENOTAZIONI!$B:$B,SMALL(PRENOTAZIONI!$X:$X,24)),"")</f>
        <v/>
      </c>
      <c r="C27" s="32" t="str">
        <f t="shared" si="0"/>
        <v/>
      </c>
      <c r="D27" s="34" t="str">
        <f>IFERROR(INDEX(PRENOTAZIONI!$E:$E,SMALL(PRENOTAZIONI!$X:$X,24)),"")</f>
        <v/>
      </c>
      <c r="E27" s="34" t="str">
        <f>IFERROR(INDEX(PRENOTAZIONI!$F:$F,SMALL(PRENOTAZIONI!$X:$X,24)),"")</f>
        <v/>
      </c>
      <c r="F27" s="34" t="str">
        <f>IFERROR(INDEX(PRENOTAZIONI!$G:$G,SMALL(PRENOTAZIONI!$X:$X,24)),"")</f>
        <v/>
      </c>
      <c r="G27" s="35" t="str">
        <f>IFERROR(INDEX(PRENOTAZIONI!$H:$H,SMALL(PRENOTAZIONI!$X:$X,24)),"")</f>
        <v/>
      </c>
      <c r="H27" s="146" t="str">
        <f t="shared" si="1"/>
        <v/>
      </c>
      <c r="I27" s="35" t="str">
        <f t="shared" si="8"/>
        <v/>
      </c>
      <c r="J27" s="149" t="str">
        <f t="shared" si="9"/>
        <v/>
      </c>
      <c r="K27" s="35" t="str">
        <f>IFERROR(INDEX(PRENOTAZIONI!$L:$L,SMALL(PRENOTAZIONI!$X:$X,24)),"")</f>
        <v/>
      </c>
      <c r="L27" s="150" t="str">
        <f t="shared" si="2"/>
        <v/>
      </c>
      <c r="M27" s="35" t="str">
        <f t="shared" si="3"/>
        <v/>
      </c>
      <c r="N27" s="35"/>
      <c r="O27" s="43"/>
      <c r="P27" s="150" t="str">
        <f t="shared" si="4"/>
        <v/>
      </c>
      <c r="Q27" s="47" t="str">
        <f>IFERROR(INDEX(PRENOTAZIONI!$R:$R,SMALL(PRENOTAZIONI!$X:$X,24)),"")</f>
        <v/>
      </c>
      <c r="R27" s="101"/>
      <c r="S27" s="99" t="str">
        <f>IFERROR(INDEX(PRENOTAZIONI!$A:$A,SMALL(PRENOTAZIONI!$AL:$AL,24)),"")</f>
        <v/>
      </c>
      <c r="T27" s="31" t="str">
        <f>IFERROR(INDEX(PRENOTAZIONI!$B:$B,SMALL(PRENOTAZIONI!$AL:$AL,24)),"")</f>
        <v/>
      </c>
      <c r="U27" s="32" t="str">
        <f t="shared" si="5"/>
        <v/>
      </c>
      <c r="V27" s="34" t="str">
        <f>IFERROR(INDEX(PRENOTAZIONI!$E:$E,SMALL(PRENOTAZIONI!$AL:$AL,24)),"")</f>
        <v/>
      </c>
      <c r="W27" s="34" t="str">
        <f>IFERROR(INDEX(PRENOTAZIONI!$F:$F,SMALL(PRENOTAZIONI!$AL:$AL,24)),"")</f>
        <v/>
      </c>
      <c r="X27" s="35" t="str">
        <f>IFERROR(INDEX(PRENOTAZIONI!$H:$H,SMALL(PRENOTAZIONI!$AL:$AL,24)),"")</f>
        <v/>
      </c>
      <c r="Y27" s="34" t="str">
        <f>IFERROR(INDEX(PRENOTAZIONI!$K:$K,SMALL(PRENOTAZIONI!$AL:$AL,24)),"")</f>
        <v/>
      </c>
      <c r="Z27" s="34"/>
      <c r="AA27" s="34"/>
      <c r="AB27" s="40" t="str">
        <f t="shared" si="6"/>
        <v/>
      </c>
      <c r="AC27" s="41" t="str">
        <f t="shared" si="7"/>
        <v/>
      </c>
    </row>
    <row r="28" spans="1:41" ht="22" customHeight="1" x14ac:dyDescent="0.2">
      <c r="A28" s="31" t="str">
        <f>IFERROR(INDEX(PRENOTAZIONI!$A:$A,SMALL(PRENOTAZIONI!$X:$X,25)),"")</f>
        <v/>
      </c>
      <c r="B28" s="31" t="str">
        <f>IFERROR(INDEX(PRENOTAZIONI!$B:$B,SMALL(PRENOTAZIONI!$X:$X,25)),"")</f>
        <v/>
      </c>
      <c r="C28" s="32" t="str">
        <f t="shared" si="0"/>
        <v/>
      </c>
      <c r="D28" s="34" t="str">
        <f>IFERROR(INDEX(PRENOTAZIONI!$E:$E,SMALL(PRENOTAZIONI!$X:$X,25)),"")</f>
        <v/>
      </c>
      <c r="E28" s="34" t="str">
        <f>IFERROR(INDEX(PRENOTAZIONI!$F:$F,SMALL(PRENOTAZIONI!$X:$X,25)),"")</f>
        <v/>
      </c>
      <c r="F28" s="34" t="str">
        <f>IFERROR(INDEX(PRENOTAZIONI!$G:$G,SMALL(PRENOTAZIONI!$X:$X,25)),"")</f>
        <v/>
      </c>
      <c r="G28" s="35" t="str">
        <f>IFERROR(INDEX(PRENOTAZIONI!$H:$H,SMALL(PRENOTAZIONI!$X:$X,25)),"")</f>
        <v/>
      </c>
      <c r="H28" s="146" t="str">
        <f t="shared" si="1"/>
        <v/>
      </c>
      <c r="I28" s="35" t="str">
        <f t="shared" si="8"/>
        <v/>
      </c>
      <c r="J28" s="149" t="str">
        <f t="shared" si="9"/>
        <v/>
      </c>
      <c r="K28" s="35" t="str">
        <f>IFERROR(INDEX(PRENOTAZIONI!$L:$L,SMALL(PRENOTAZIONI!$X:$X,25)),"")</f>
        <v/>
      </c>
      <c r="L28" s="150" t="str">
        <f t="shared" si="2"/>
        <v/>
      </c>
      <c r="M28" s="35" t="str">
        <f t="shared" si="3"/>
        <v/>
      </c>
      <c r="N28" s="35"/>
      <c r="O28" s="43"/>
      <c r="P28" s="150" t="str">
        <f t="shared" si="4"/>
        <v/>
      </c>
      <c r="Q28" s="47" t="str">
        <f>IFERROR(INDEX(PRENOTAZIONI!$R:$R,SMALL(PRENOTAZIONI!$X:$X,25)),"")</f>
        <v/>
      </c>
      <c r="R28" s="101"/>
      <c r="S28" s="99" t="str">
        <f>IFERROR(INDEX(PRENOTAZIONI!$A:$A,SMALL(PRENOTAZIONI!$AL:$AL,25)),"")</f>
        <v/>
      </c>
      <c r="T28" s="31" t="str">
        <f>IFERROR(INDEX(PRENOTAZIONI!$B:$B,SMALL(PRENOTAZIONI!$AL:$AL,25)),"")</f>
        <v/>
      </c>
      <c r="U28" s="32" t="str">
        <f t="shared" si="5"/>
        <v/>
      </c>
      <c r="V28" s="34" t="str">
        <f>IFERROR(INDEX(PRENOTAZIONI!$E:$E,SMALL(PRENOTAZIONI!$AL:$AL,25)),"")</f>
        <v/>
      </c>
      <c r="W28" s="34" t="str">
        <f>IFERROR(INDEX(PRENOTAZIONI!$F:$F,SMALL(PRENOTAZIONI!$AL:$AL,25)),"")</f>
        <v/>
      </c>
      <c r="X28" s="35" t="str">
        <f>IFERROR(INDEX(PRENOTAZIONI!$H:$H,SMALL(PRENOTAZIONI!$AL:$AL,25)),"")</f>
        <v/>
      </c>
      <c r="Y28" s="34" t="str">
        <f>IFERROR(INDEX(PRENOTAZIONI!$K:$K,SMALL(PRENOTAZIONI!$AL:$AL,25)),"")</f>
        <v/>
      </c>
      <c r="Z28" s="34"/>
      <c r="AA28" s="34"/>
      <c r="AB28" s="40" t="str">
        <f t="shared" si="6"/>
        <v/>
      </c>
      <c r="AC28" s="41" t="str">
        <f t="shared" si="7"/>
        <v/>
      </c>
    </row>
    <row r="29" spans="1:41" ht="22" customHeight="1" x14ac:dyDescent="0.2">
      <c r="A29" s="31" t="str">
        <f>IFERROR(INDEX(PRENOTAZIONI!$A:$A,SMALL(PRENOTAZIONI!$X:$X,26)),"")</f>
        <v/>
      </c>
      <c r="B29" s="31" t="str">
        <f>IFERROR(INDEX(PRENOTAZIONI!$B:$B,SMALL(PRENOTAZIONI!$X:$X,26)),"")</f>
        <v/>
      </c>
      <c r="C29" s="32" t="str">
        <f t="shared" si="0"/>
        <v/>
      </c>
      <c r="D29" s="34" t="str">
        <f>IFERROR(INDEX(PRENOTAZIONI!$E:$E,SMALL(PRENOTAZIONI!$X:$X,26)),"")</f>
        <v/>
      </c>
      <c r="E29" s="34" t="str">
        <f>IFERROR(INDEX(PRENOTAZIONI!$F:$F,SMALL(PRENOTAZIONI!$X:$X,26)),"")</f>
        <v/>
      </c>
      <c r="F29" s="34" t="str">
        <f>IFERROR(INDEX(PRENOTAZIONI!$G:$G,SMALL(PRENOTAZIONI!$X:$X,26)),"")</f>
        <v/>
      </c>
      <c r="G29" s="35" t="str">
        <f>IFERROR(INDEX(PRENOTAZIONI!$H:$H,SMALL(PRENOTAZIONI!$X:$X,26)),"")</f>
        <v/>
      </c>
      <c r="H29" s="146" t="str">
        <f t="shared" si="1"/>
        <v/>
      </c>
      <c r="I29" s="35" t="str">
        <f t="shared" si="8"/>
        <v/>
      </c>
      <c r="J29" s="149" t="str">
        <f t="shared" si="9"/>
        <v/>
      </c>
      <c r="K29" s="35" t="str">
        <f>IFERROR(INDEX(PRENOTAZIONI!$L:$L,SMALL(PRENOTAZIONI!$X:$X,26)),"")</f>
        <v/>
      </c>
      <c r="L29" s="150" t="str">
        <f t="shared" si="2"/>
        <v/>
      </c>
      <c r="M29" s="35" t="str">
        <f t="shared" si="3"/>
        <v/>
      </c>
      <c r="N29" s="35"/>
      <c r="O29" s="43"/>
      <c r="P29" s="150" t="str">
        <f t="shared" si="4"/>
        <v/>
      </c>
      <c r="Q29" s="47" t="str">
        <f>IFERROR(INDEX(PRENOTAZIONI!$R:$R,SMALL(PRENOTAZIONI!$X:$X,26)),"")</f>
        <v/>
      </c>
      <c r="R29" s="101"/>
      <c r="S29" s="99" t="str">
        <f>IFERROR(INDEX(PRENOTAZIONI!$A:$A,SMALL(PRENOTAZIONI!$AL:$AL,26)),"")</f>
        <v/>
      </c>
      <c r="T29" s="31" t="str">
        <f>IFERROR(INDEX(PRENOTAZIONI!$B:$B,SMALL(PRENOTAZIONI!$AL:$AL,26)),"")</f>
        <v/>
      </c>
      <c r="U29" s="32" t="str">
        <f t="shared" si="5"/>
        <v/>
      </c>
      <c r="V29" s="34" t="str">
        <f>IFERROR(INDEX(PRENOTAZIONI!$E:$E,SMALL(PRENOTAZIONI!$AL:$AL,26)),"")</f>
        <v/>
      </c>
      <c r="W29" s="34" t="str">
        <f>IFERROR(INDEX(PRENOTAZIONI!$F:$F,SMALL(PRENOTAZIONI!$AL:$AL,26)),"")</f>
        <v/>
      </c>
      <c r="X29" s="35" t="str">
        <f>IFERROR(INDEX(PRENOTAZIONI!$H:$H,SMALL(PRENOTAZIONI!$AL:$AL,26)),"")</f>
        <v/>
      </c>
      <c r="Y29" s="34" t="str">
        <f>IFERROR(INDEX(PRENOTAZIONI!$K:$K,SMALL(PRENOTAZIONI!$AL:$AL,26)),"")</f>
        <v/>
      </c>
      <c r="Z29" s="34"/>
      <c r="AA29" s="34"/>
      <c r="AB29" s="40" t="str">
        <f t="shared" si="6"/>
        <v/>
      </c>
      <c r="AC29" s="41" t="str">
        <f t="shared" si="7"/>
        <v/>
      </c>
    </row>
    <row r="30" spans="1:41" ht="22" customHeight="1" x14ac:dyDescent="0.2">
      <c r="A30" s="31" t="str">
        <f>IFERROR(INDEX(PRENOTAZIONI!$A:$A,SMALL(PRENOTAZIONI!$X:$X,27)),"")</f>
        <v/>
      </c>
      <c r="B30" s="31" t="str">
        <f>IFERROR(INDEX(PRENOTAZIONI!$B:$B,SMALL(PRENOTAZIONI!$X:$X,27)),"")</f>
        <v/>
      </c>
      <c r="C30" s="32" t="str">
        <f t="shared" si="0"/>
        <v/>
      </c>
      <c r="D30" s="34" t="str">
        <f>IFERROR(INDEX(PRENOTAZIONI!$E:$E,SMALL(PRENOTAZIONI!$X:$X,27)),"")</f>
        <v/>
      </c>
      <c r="E30" s="34" t="str">
        <f>IFERROR(INDEX(PRENOTAZIONI!$F:$F,SMALL(PRENOTAZIONI!$X:$X,27)),"")</f>
        <v/>
      </c>
      <c r="F30" s="34" t="str">
        <f>IFERROR(INDEX(PRENOTAZIONI!$G:$G,SMALL(PRENOTAZIONI!$X:$X,27)),"")</f>
        <v/>
      </c>
      <c r="G30" s="35" t="str">
        <f>IFERROR(INDEX(PRENOTAZIONI!$H:$H,SMALL(PRENOTAZIONI!$X:$X,27)),"")</f>
        <v/>
      </c>
      <c r="H30" s="146" t="str">
        <f t="shared" si="1"/>
        <v/>
      </c>
      <c r="I30" s="35" t="str">
        <f t="shared" si="8"/>
        <v/>
      </c>
      <c r="J30" s="149" t="str">
        <f t="shared" si="9"/>
        <v/>
      </c>
      <c r="K30" s="35" t="str">
        <f>IFERROR(INDEX(PRENOTAZIONI!$L:$L,SMALL(PRENOTAZIONI!$X:$X,27)),"")</f>
        <v/>
      </c>
      <c r="L30" s="150" t="str">
        <f t="shared" si="2"/>
        <v/>
      </c>
      <c r="M30" s="35" t="str">
        <f t="shared" si="3"/>
        <v/>
      </c>
      <c r="N30" s="35"/>
      <c r="O30" s="43"/>
      <c r="P30" s="150" t="str">
        <f t="shared" si="4"/>
        <v/>
      </c>
      <c r="Q30" s="47" t="str">
        <f>IFERROR(INDEX(PRENOTAZIONI!$R:$R,SMALL(PRENOTAZIONI!$X:$X,27)),"")</f>
        <v/>
      </c>
      <c r="R30" s="101"/>
      <c r="S30" s="99" t="str">
        <f>IFERROR(INDEX(PRENOTAZIONI!$A:$A,SMALL(PRENOTAZIONI!$AL:$AL,27)),"")</f>
        <v/>
      </c>
      <c r="T30" s="31" t="str">
        <f>IFERROR(INDEX(PRENOTAZIONI!$B:$B,SMALL(PRENOTAZIONI!$AL:$AL,27)),"")</f>
        <v/>
      </c>
      <c r="U30" s="32" t="str">
        <f t="shared" si="5"/>
        <v/>
      </c>
      <c r="V30" s="34" t="str">
        <f>IFERROR(INDEX(PRENOTAZIONI!$E:$E,SMALL(PRENOTAZIONI!$AL:$AL,27)),"")</f>
        <v/>
      </c>
      <c r="W30" s="34" t="str">
        <f>IFERROR(INDEX(PRENOTAZIONI!$F:$F,SMALL(PRENOTAZIONI!$AL:$AL,27)),"")</f>
        <v/>
      </c>
      <c r="X30" s="35" t="str">
        <f>IFERROR(INDEX(PRENOTAZIONI!$H:$H,SMALL(PRENOTAZIONI!$AL:$AL,27)),"")</f>
        <v/>
      </c>
      <c r="Y30" s="34" t="str">
        <f>IFERROR(INDEX(PRENOTAZIONI!$K:$K,SMALL(PRENOTAZIONI!$AL:$AL,27)),"")</f>
        <v/>
      </c>
      <c r="Z30" s="34"/>
      <c r="AA30" s="34"/>
      <c r="AB30" s="40" t="str">
        <f t="shared" si="6"/>
        <v/>
      </c>
      <c r="AC30" s="41" t="str">
        <f t="shared" si="7"/>
        <v/>
      </c>
    </row>
    <row r="31" spans="1:41" ht="22" customHeight="1" x14ac:dyDescent="0.2">
      <c r="A31" s="31" t="str">
        <f>IFERROR(INDEX(PRENOTAZIONI!$A:$A,SMALL(PRENOTAZIONI!$X:$X,28)),"")</f>
        <v/>
      </c>
      <c r="B31" s="31" t="str">
        <f>IFERROR(INDEX(PRENOTAZIONI!$B:$B,SMALL(PRENOTAZIONI!$X:$X,28)),"")</f>
        <v/>
      </c>
      <c r="C31" s="32" t="str">
        <f t="shared" si="0"/>
        <v/>
      </c>
      <c r="D31" s="34" t="str">
        <f>IFERROR(INDEX(PRENOTAZIONI!$E:$E,SMALL(PRENOTAZIONI!$X:$X,28)),"")</f>
        <v/>
      </c>
      <c r="E31" s="34" t="str">
        <f>IFERROR(INDEX(PRENOTAZIONI!$F:$F,SMALL(PRENOTAZIONI!$X:$X,28)),"")</f>
        <v/>
      </c>
      <c r="F31" s="34" t="str">
        <f>IFERROR(INDEX(PRENOTAZIONI!$G:$G,SMALL(PRENOTAZIONI!$X:$X,28)),"")</f>
        <v/>
      </c>
      <c r="G31" s="35" t="str">
        <f>IFERROR(INDEX(PRENOTAZIONI!$H:$H,SMALL(PRENOTAZIONI!$X:$X,28)),"")</f>
        <v/>
      </c>
      <c r="H31" s="146" t="str">
        <f t="shared" si="1"/>
        <v/>
      </c>
      <c r="I31" s="35" t="str">
        <f t="shared" si="8"/>
        <v/>
      </c>
      <c r="J31" s="149" t="str">
        <f t="shared" si="9"/>
        <v/>
      </c>
      <c r="K31" s="35" t="str">
        <f>IFERROR(INDEX(PRENOTAZIONI!$L:$L,SMALL(PRENOTAZIONI!$X:$X,28)),"")</f>
        <v/>
      </c>
      <c r="L31" s="150" t="str">
        <f t="shared" si="2"/>
        <v/>
      </c>
      <c r="M31" s="35" t="str">
        <f t="shared" si="3"/>
        <v/>
      </c>
      <c r="N31" s="35"/>
      <c r="O31" s="43"/>
      <c r="P31" s="150" t="str">
        <f t="shared" si="4"/>
        <v/>
      </c>
      <c r="Q31" s="47" t="str">
        <f>IFERROR(INDEX(PRENOTAZIONI!$R:$R,SMALL(PRENOTAZIONI!$X:$X,28)),"")</f>
        <v/>
      </c>
      <c r="R31" s="101"/>
      <c r="S31" s="99" t="str">
        <f>IFERROR(INDEX(PRENOTAZIONI!$A:$A,SMALL(PRENOTAZIONI!$AL:$AL,28)),"")</f>
        <v/>
      </c>
      <c r="T31" s="31" t="str">
        <f>IFERROR(INDEX(PRENOTAZIONI!$B:$B,SMALL(PRENOTAZIONI!$AL:$AL,28)),"")</f>
        <v/>
      </c>
      <c r="U31" s="32" t="str">
        <f t="shared" si="5"/>
        <v/>
      </c>
      <c r="V31" s="34" t="str">
        <f>IFERROR(INDEX(PRENOTAZIONI!$E:$E,SMALL(PRENOTAZIONI!$AL:$AL,28)),"")</f>
        <v/>
      </c>
      <c r="W31" s="34" t="str">
        <f>IFERROR(INDEX(PRENOTAZIONI!$F:$F,SMALL(PRENOTAZIONI!$AL:$AL,28)),"")</f>
        <v/>
      </c>
      <c r="X31" s="35" t="str">
        <f>IFERROR(INDEX(PRENOTAZIONI!$H:$H,SMALL(PRENOTAZIONI!$AL:$AL,28)),"")</f>
        <v/>
      </c>
      <c r="Y31" s="34" t="str">
        <f>IFERROR(INDEX(PRENOTAZIONI!$K:$K,SMALL(PRENOTAZIONI!$AL:$AL,28)),"")</f>
        <v/>
      </c>
      <c r="Z31" s="34"/>
      <c r="AA31" s="34"/>
      <c r="AB31" s="40" t="str">
        <f t="shared" si="6"/>
        <v/>
      </c>
      <c r="AC31" s="41" t="str">
        <f t="shared" si="7"/>
        <v/>
      </c>
    </row>
    <row r="32" spans="1:41" ht="22" customHeight="1" x14ac:dyDescent="0.2">
      <c r="A32" s="31" t="str">
        <f>IFERROR(INDEX(PRENOTAZIONI!$A:$A,SMALL(PRENOTAZIONI!$X:$X,29)),"")</f>
        <v/>
      </c>
      <c r="B32" s="31" t="str">
        <f>IFERROR(INDEX(PRENOTAZIONI!$B:$B,SMALL(PRENOTAZIONI!$X:$X,29)),"")</f>
        <v/>
      </c>
      <c r="C32" s="32" t="str">
        <f t="shared" si="0"/>
        <v/>
      </c>
      <c r="D32" s="34" t="str">
        <f>IFERROR(INDEX(PRENOTAZIONI!$E:$E,SMALL(PRENOTAZIONI!$X:$X,29)),"")</f>
        <v/>
      </c>
      <c r="E32" s="34" t="str">
        <f>IFERROR(INDEX(PRENOTAZIONI!$F:$F,SMALL(PRENOTAZIONI!$X:$X,29)),"")</f>
        <v/>
      </c>
      <c r="F32" s="34" t="str">
        <f>IFERROR(INDEX(PRENOTAZIONI!$G:$G,SMALL(PRENOTAZIONI!$X:$X,29)),"")</f>
        <v/>
      </c>
      <c r="G32" s="35" t="str">
        <f>IFERROR(INDEX(PRENOTAZIONI!$H:$H,SMALL(PRENOTAZIONI!$X:$X,29)),"")</f>
        <v/>
      </c>
      <c r="H32" s="146" t="str">
        <f t="shared" si="1"/>
        <v/>
      </c>
      <c r="I32" s="35" t="str">
        <f t="shared" si="8"/>
        <v/>
      </c>
      <c r="J32" s="149" t="str">
        <f t="shared" si="9"/>
        <v/>
      </c>
      <c r="K32" s="35" t="str">
        <f>IFERROR(INDEX(PRENOTAZIONI!$L:$L,SMALL(PRENOTAZIONI!$X:$X,29)),"")</f>
        <v/>
      </c>
      <c r="L32" s="150" t="str">
        <f t="shared" si="2"/>
        <v/>
      </c>
      <c r="M32" s="35" t="str">
        <f t="shared" si="3"/>
        <v/>
      </c>
      <c r="N32" s="35"/>
      <c r="O32" s="43"/>
      <c r="P32" s="150" t="str">
        <f t="shared" si="4"/>
        <v/>
      </c>
      <c r="Q32" s="47" t="str">
        <f>IFERROR(INDEX(PRENOTAZIONI!$R:$R,SMALL(PRENOTAZIONI!$X:$X,29)),"")</f>
        <v/>
      </c>
      <c r="R32" s="101"/>
      <c r="S32" s="99" t="str">
        <f>IFERROR(INDEX(PRENOTAZIONI!$A:$A,SMALL(PRENOTAZIONI!$AL:$AL,29)),"")</f>
        <v/>
      </c>
      <c r="T32" s="31" t="str">
        <f>IFERROR(INDEX(PRENOTAZIONI!$B:$B,SMALL(PRENOTAZIONI!$AL:$AL,29)),"")</f>
        <v/>
      </c>
      <c r="U32" s="32" t="str">
        <f t="shared" si="5"/>
        <v/>
      </c>
      <c r="V32" s="34" t="str">
        <f>IFERROR(INDEX(PRENOTAZIONI!$E:$E,SMALL(PRENOTAZIONI!$AL:$AL,29)),"")</f>
        <v/>
      </c>
      <c r="W32" s="34" t="str">
        <f>IFERROR(INDEX(PRENOTAZIONI!$F:$F,SMALL(PRENOTAZIONI!$AL:$AL,29)),"")</f>
        <v/>
      </c>
      <c r="X32" s="35" t="str">
        <f>IFERROR(INDEX(PRENOTAZIONI!$H:$H,SMALL(PRENOTAZIONI!$AL:$AL,29)),"")</f>
        <v/>
      </c>
      <c r="Y32" s="34" t="str">
        <f>IFERROR(INDEX(PRENOTAZIONI!$K:$K,SMALL(PRENOTAZIONI!$AL:$AL,29)),"")</f>
        <v/>
      </c>
      <c r="Z32" s="34"/>
      <c r="AA32" s="34"/>
      <c r="AB32" s="40" t="str">
        <f t="shared" si="6"/>
        <v/>
      </c>
      <c r="AC32" s="41" t="str">
        <f t="shared" si="7"/>
        <v/>
      </c>
    </row>
    <row r="33" spans="1:29" ht="22" customHeight="1" x14ac:dyDescent="0.2">
      <c r="A33" s="31" t="str">
        <f>IFERROR(INDEX(PRENOTAZIONI!$A:$A,SMALL(PRENOTAZIONI!$X:$X,30)),"")</f>
        <v/>
      </c>
      <c r="B33" s="31" t="str">
        <f>IFERROR(INDEX(PRENOTAZIONI!$B:$B,SMALL(PRENOTAZIONI!$X:$X,30)),"")</f>
        <v/>
      </c>
      <c r="C33" s="32" t="str">
        <f t="shared" si="0"/>
        <v/>
      </c>
      <c r="D33" s="34" t="str">
        <f>IFERROR(INDEX(PRENOTAZIONI!$E:$E,SMALL(PRENOTAZIONI!$X:$X,30)),"")</f>
        <v/>
      </c>
      <c r="E33" s="34" t="str">
        <f>IFERROR(INDEX(PRENOTAZIONI!$F:$F,SMALL(PRENOTAZIONI!$X:$X,30)),"")</f>
        <v/>
      </c>
      <c r="F33" s="34" t="str">
        <f>IFERROR(INDEX(PRENOTAZIONI!$G:$G,SMALL(PRENOTAZIONI!$X:$X,30)),"")</f>
        <v/>
      </c>
      <c r="G33" s="35" t="str">
        <f>IFERROR(INDEX(PRENOTAZIONI!$H:$H,SMALL(PRENOTAZIONI!$X:$X,30)),"")</f>
        <v/>
      </c>
      <c r="H33" s="146" t="str">
        <f t="shared" si="1"/>
        <v/>
      </c>
      <c r="I33" s="35" t="str">
        <f t="shared" si="8"/>
        <v/>
      </c>
      <c r="J33" s="149" t="str">
        <f t="shared" si="9"/>
        <v/>
      </c>
      <c r="K33" s="35" t="str">
        <f>IFERROR(INDEX(PRENOTAZIONI!$L:$L,SMALL(PRENOTAZIONI!$X:$X,30)),"")</f>
        <v/>
      </c>
      <c r="L33" s="150" t="str">
        <f t="shared" si="2"/>
        <v/>
      </c>
      <c r="M33" s="35" t="str">
        <f t="shared" si="3"/>
        <v/>
      </c>
      <c r="N33" s="35"/>
      <c r="O33" s="43"/>
      <c r="P33" s="150" t="str">
        <f t="shared" si="4"/>
        <v/>
      </c>
      <c r="Q33" s="47" t="str">
        <f>IFERROR(INDEX(PRENOTAZIONI!$R:$R,SMALL(PRENOTAZIONI!$X:$X,30)),"")</f>
        <v/>
      </c>
      <c r="R33" s="101"/>
      <c r="S33" s="99" t="str">
        <f>IFERROR(INDEX(PRENOTAZIONI!$A:$A,SMALL(PRENOTAZIONI!$AL:$AL,30)),"")</f>
        <v/>
      </c>
      <c r="T33" s="31" t="str">
        <f>IFERROR(INDEX(PRENOTAZIONI!$B:$B,SMALL(PRENOTAZIONI!$AL:$AL,30)),"")</f>
        <v/>
      </c>
      <c r="U33" s="32" t="str">
        <f t="shared" si="5"/>
        <v/>
      </c>
      <c r="V33" s="34" t="str">
        <f>IFERROR(INDEX(PRENOTAZIONI!$E:$E,SMALL(PRENOTAZIONI!$AL:$AL,30)),"")</f>
        <v/>
      </c>
      <c r="W33" s="34" t="str">
        <f>IFERROR(INDEX(PRENOTAZIONI!$F:$F,SMALL(PRENOTAZIONI!$AL:$AL,30)),"")</f>
        <v/>
      </c>
      <c r="X33" s="35" t="str">
        <f>IFERROR(INDEX(PRENOTAZIONI!$H:$H,SMALL(PRENOTAZIONI!$AL:$AL,30)),"")</f>
        <v/>
      </c>
      <c r="Y33" s="34" t="str">
        <f>IFERROR(INDEX(PRENOTAZIONI!$K:$K,SMALL(PRENOTAZIONI!$AL:$AL,30)),"")</f>
        <v/>
      </c>
      <c r="Z33" s="34"/>
      <c r="AA33" s="34"/>
      <c r="AB33" s="40" t="str">
        <f t="shared" si="6"/>
        <v/>
      </c>
      <c r="AC33" s="41" t="str">
        <f t="shared" si="7"/>
        <v/>
      </c>
    </row>
    <row r="34" spans="1:29" ht="24" customHeight="1" thickBot="1" x14ac:dyDescent="0.25">
      <c r="A34" s="31" t="str">
        <f>IFERROR(INDEX(PRENOTAZIONI!$A:$A,SMALL(PRENOTAZIONI!$X:$X,31)),"")</f>
        <v/>
      </c>
      <c r="B34" s="31" t="str">
        <f>IFERROR(INDEX(PRENOTAZIONI!$B:$B,SMALL(PRENOTAZIONI!$X:$X,31)),"")</f>
        <v/>
      </c>
      <c r="C34" s="32" t="str">
        <f t="shared" si="0"/>
        <v/>
      </c>
      <c r="D34" s="34" t="str">
        <f>IFERROR(INDEX(PRENOTAZIONI!$E:$E,SMALL(PRENOTAZIONI!$X:$X,31)),"")</f>
        <v/>
      </c>
      <c r="E34" s="34" t="str">
        <f>IFERROR(INDEX(PRENOTAZIONI!$F:$F,SMALL(PRENOTAZIONI!$X:$X,31)),"")</f>
        <v/>
      </c>
      <c r="F34" s="34" t="str">
        <f>IFERROR(INDEX(PRENOTAZIONI!$G:$G,SMALL(PRENOTAZIONI!$X:$X,31)),"")</f>
        <v/>
      </c>
      <c r="G34" s="35" t="str">
        <f>IFERROR(INDEX(PRENOTAZIONI!$H:$H,SMALL(PRENOTAZIONI!$X:$X,31)),"")</f>
        <v/>
      </c>
      <c r="H34" s="146" t="str">
        <f t="shared" si="1"/>
        <v/>
      </c>
      <c r="I34" s="35" t="str">
        <f t="shared" si="8"/>
        <v/>
      </c>
      <c r="J34" s="149" t="str">
        <f t="shared" si="9"/>
        <v/>
      </c>
      <c r="K34" s="35" t="str">
        <f>IFERROR(INDEX(PRENOTAZIONI!$L:$L,SMALL(PRENOTAZIONI!$X:$X,31)),"")</f>
        <v/>
      </c>
      <c r="L34" s="150" t="str">
        <f t="shared" si="2"/>
        <v/>
      </c>
      <c r="M34" s="35" t="str">
        <f t="shared" si="3"/>
        <v/>
      </c>
      <c r="N34" s="35"/>
      <c r="O34" s="43"/>
      <c r="P34" s="150" t="str">
        <f t="shared" si="4"/>
        <v/>
      </c>
      <c r="Q34" s="47" t="str">
        <f>IFERROR(INDEX(PRENOTAZIONI!$R:$R,SMALL(PRENOTAZIONI!$X:$X,31)),"")</f>
        <v/>
      </c>
      <c r="R34" s="49"/>
      <c r="S34" s="84" t="s">
        <v>147</v>
      </c>
      <c r="T34" s="42"/>
      <c r="U34" s="42"/>
      <c r="V34" s="42"/>
      <c r="W34" s="42"/>
      <c r="X34" s="21">
        <f>SUM(V4:V33)</f>
        <v>0</v>
      </c>
      <c r="Y34" s="42"/>
      <c r="Z34" s="42"/>
      <c r="AA34" s="42"/>
      <c r="AB34" s="21">
        <f>SUM(Z4:Z33)</f>
        <v>0</v>
      </c>
      <c r="AC34" s="21">
        <f>SUM(AA4:AA33)</f>
        <v>0</v>
      </c>
    </row>
    <row r="35" spans="1:29" ht="22" customHeight="1" x14ac:dyDescent="0.25">
      <c r="A35" s="31" t="str">
        <f>IFERROR(INDEX(PRENOTAZIONI!$A:$A,SMALL(PRENOTAZIONI!$X:$X,32)),"")</f>
        <v/>
      </c>
      <c r="B35" s="31" t="str">
        <f>IFERROR(INDEX(PRENOTAZIONI!$B:$B,SMALL(PRENOTAZIONI!$X:$X,32)),"")</f>
        <v/>
      </c>
      <c r="C35" s="32" t="str">
        <f t="shared" si="0"/>
        <v/>
      </c>
      <c r="D35" s="34" t="str">
        <f>IFERROR(INDEX(PRENOTAZIONI!$E:$E,SMALL(PRENOTAZIONI!$X:$X,32)),"")</f>
        <v/>
      </c>
      <c r="E35" s="34" t="str">
        <f>IFERROR(INDEX(PRENOTAZIONI!$F:$F,SMALL(PRENOTAZIONI!$X:$X,32)),"")</f>
        <v/>
      </c>
      <c r="F35" s="34" t="str">
        <f>IFERROR(INDEX(PRENOTAZIONI!$G:$G,SMALL(PRENOTAZIONI!$X:$X,32)),"")</f>
        <v/>
      </c>
      <c r="G35" s="35" t="str">
        <f>IFERROR(INDEX(PRENOTAZIONI!$H:$H,SMALL(PRENOTAZIONI!$X:$X,32)),"")</f>
        <v/>
      </c>
      <c r="H35" s="146" t="str">
        <f t="shared" si="1"/>
        <v/>
      </c>
      <c r="I35" s="35" t="str">
        <f t="shared" si="8"/>
        <v/>
      </c>
      <c r="J35" s="149" t="str">
        <f t="shared" si="9"/>
        <v/>
      </c>
      <c r="K35" s="35" t="str">
        <f>IFERROR(INDEX(PRENOTAZIONI!$L:$L,SMALL(PRENOTAZIONI!$X:$X,32)),"")</f>
        <v/>
      </c>
      <c r="L35" s="150" t="str">
        <f t="shared" si="2"/>
        <v/>
      </c>
      <c r="M35" s="35" t="str">
        <f t="shared" si="3"/>
        <v/>
      </c>
      <c r="N35" s="35"/>
      <c r="O35" s="43"/>
      <c r="P35" s="150" t="str">
        <f t="shared" si="4"/>
        <v/>
      </c>
      <c r="Q35" s="47" t="str">
        <f>IFERROR(INDEX(PRENOTAZIONI!$R:$R,SMALL(PRENOTAZIONI!$X:$X,32)),"")</f>
        <v/>
      </c>
      <c r="S35" s="78"/>
    </row>
    <row r="36" spans="1:29" ht="22" customHeight="1" x14ac:dyDescent="0.25">
      <c r="A36" s="31" t="str">
        <f>IFERROR(INDEX(PRENOTAZIONI!$A:$A,SMALL(PRENOTAZIONI!$X:$X,33)),"")</f>
        <v/>
      </c>
      <c r="B36" s="31" t="str">
        <f>IFERROR(INDEX(PRENOTAZIONI!$B:$B,SMALL(PRENOTAZIONI!$X:$X,33)),"")</f>
        <v/>
      </c>
      <c r="C36" s="32" t="str">
        <f t="shared" ref="C36:C63" si="11">IF(A36&lt;&gt;"",B36-A36,"")</f>
        <v/>
      </c>
      <c r="D36" s="34" t="str">
        <f>IFERROR(INDEX(PRENOTAZIONI!$E:$E,SMALL(PRENOTAZIONI!$X:$X,33)),"")</f>
        <v/>
      </c>
      <c r="E36" s="34" t="str">
        <f>IFERROR(INDEX(PRENOTAZIONI!$F:$F,SMALL(PRENOTAZIONI!$X:$X,33)),"")</f>
        <v/>
      </c>
      <c r="F36" s="34" t="str">
        <f>IFERROR(INDEX(PRENOTAZIONI!$G:$G,SMALL(PRENOTAZIONI!$X:$X,33)),"")</f>
        <v/>
      </c>
      <c r="G36" s="35" t="str">
        <f>IFERROR(INDEX(PRENOTAZIONI!$H:$H,SMALL(PRENOTAZIONI!$X:$X,33)),"")</f>
        <v/>
      </c>
      <c r="H36" s="146" t="str">
        <f t="shared" ref="H36:H63" si="12">IF(AND(G36&lt;&gt;"",C36&lt;&gt;"",C36&lt;&gt;0),G36/C36,"")</f>
        <v/>
      </c>
      <c r="I36" s="35" t="str">
        <f t="shared" si="8"/>
        <v/>
      </c>
      <c r="J36" s="149" t="str">
        <f t="shared" ref="J36:J63" si="13">IF(H36&lt;&gt;"",H36*0.22,"")</f>
        <v/>
      </c>
      <c r="K36" s="35" t="str">
        <f>IFERROR(INDEX(PRENOTAZIONI!$L:$L,SMALL(PRENOTAZIONI!$X:$X,33)),"")</f>
        <v/>
      </c>
      <c r="L36" s="150" t="str">
        <f t="shared" ref="L36:L63" si="14">IF(G36&lt;&gt;"",G36*0.21,"")</f>
        <v/>
      </c>
      <c r="M36" s="35" t="str">
        <f t="shared" ref="M36:M63" si="15">IF(G36&lt;&gt;"",G36*0.1,"")</f>
        <v/>
      </c>
      <c r="N36" s="35"/>
      <c r="O36" s="43"/>
      <c r="P36" s="150" t="str">
        <f t="shared" ref="P36:P63" si="16">IF(G36&lt;&gt;"",G36-I36-J36-L36-M36-N36,"")</f>
        <v/>
      </c>
      <c r="Q36" s="47" t="str">
        <f>IFERROR(INDEX(PRENOTAZIONI!$R:$R,SMALL(PRENOTAZIONI!$X:$X,33)),"")</f>
        <v/>
      </c>
      <c r="S36" s="78"/>
    </row>
    <row r="37" spans="1:29" ht="22" customHeight="1" x14ac:dyDescent="0.25">
      <c r="A37" s="31" t="str">
        <f>IFERROR(INDEX(PRENOTAZIONI!$A:$A,SMALL(PRENOTAZIONI!$X:$X,34)),"")</f>
        <v/>
      </c>
      <c r="B37" s="31" t="str">
        <f>IFERROR(INDEX(PRENOTAZIONI!$B:$B,SMALL(PRENOTAZIONI!$X:$X,34)),"")</f>
        <v/>
      </c>
      <c r="C37" s="32" t="str">
        <f t="shared" si="11"/>
        <v/>
      </c>
      <c r="D37" s="34" t="str">
        <f>IFERROR(INDEX(PRENOTAZIONI!$E:$E,SMALL(PRENOTAZIONI!$X:$X,34)),"")</f>
        <v/>
      </c>
      <c r="E37" s="34" t="str">
        <f>IFERROR(INDEX(PRENOTAZIONI!$F:$F,SMALL(PRENOTAZIONI!$X:$X,34)),"")</f>
        <v/>
      </c>
      <c r="F37" s="34" t="str">
        <f>IFERROR(INDEX(PRENOTAZIONI!$G:$G,SMALL(PRENOTAZIONI!$X:$X,34)),"")</f>
        <v/>
      </c>
      <c r="G37" s="35" t="str">
        <f>IFERROR(INDEX(PRENOTAZIONI!$H:$H,SMALL(PRENOTAZIONI!$X:$X,34)),"")</f>
        <v/>
      </c>
      <c r="H37" s="146" t="str">
        <f t="shared" si="12"/>
        <v/>
      </c>
      <c r="I37" s="35" t="str">
        <f t="shared" si="8"/>
        <v/>
      </c>
      <c r="J37" s="149" t="str">
        <f t="shared" si="13"/>
        <v/>
      </c>
      <c r="K37" s="35" t="str">
        <f>IFERROR(INDEX(PRENOTAZIONI!$L:$L,SMALL(PRENOTAZIONI!$X:$X,34)),"")</f>
        <v/>
      </c>
      <c r="L37" s="150" t="str">
        <f t="shared" si="14"/>
        <v/>
      </c>
      <c r="M37" s="35" t="str">
        <f t="shared" si="15"/>
        <v/>
      </c>
      <c r="N37" s="35"/>
      <c r="O37" s="43"/>
      <c r="P37" s="150" t="str">
        <f t="shared" si="16"/>
        <v/>
      </c>
      <c r="Q37" s="47" t="str">
        <f>IFERROR(INDEX(PRENOTAZIONI!$R:$R,SMALL(PRENOTAZIONI!$X:$X,34)),"")</f>
        <v/>
      </c>
      <c r="S37" s="78"/>
    </row>
    <row r="38" spans="1:29" ht="22" customHeight="1" x14ac:dyDescent="0.25">
      <c r="A38" s="31" t="str">
        <f>IFERROR(INDEX(PRENOTAZIONI!$A:$A,SMALL(PRENOTAZIONI!$X:$X,35)),"")</f>
        <v/>
      </c>
      <c r="B38" s="31" t="str">
        <f>IFERROR(INDEX(PRENOTAZIONI!$B:$B,SMALL(PRENOTAZIONI!$X:$X,35)),"")</f>
        <v/>
      </c>
      <c r="C38" s="32" t="str">
        <f t="shared" si="11"/>
        <v/>
      </c>
      <c r="D38" s="34" t="str">
        <f>IFERROR(INDEX(PRENOTAZIONI!$E:$E,SMALL(PRENOTAZIONI!$X:$X,35)),"")</f>
        <v/>
      </c>
      <c r="E38" s="34" t="str">
        <f>IFERROR(INDEX(PRENOTAZIONI!$F:$F,SMALL(PRENOTAZIONI!$X:$X,35)),"")</f>
        <v/>
      </c>
      <c r="F38" s="34" t="str">
        <f>IFERROR(INDEX(PRENOTAZIONI!$G:$G,SMALL(PRENOTAZIONI!$X:$X,35)),"")</f>
        <v/>
      </c>
      <c r="G38" s="35" t="str">
        <f>IFERROR(INDEX(PRENOTAZIONI!$H:$H,SMALL(PRENOTAZIONI!$X:$X,35)),"")</f>
        <v/>
      </c>
      <c r="H38" s="146" t="str">
        <f t="shared" si="12"/>
        <v/>
      </c>
      <c r="I38" s="35" t="str">
        <f t="shared" ref="I38:I63" si="17">IF(G38="","",IF(NOT(ISERROR(SEARCH("diretta",F38))),0,IF(NOT(ISERROR(SEARCH("booking",F38))),G38*0.165,IF(NOT(ISERROR(SEARCH("airbnb",F38))),G38*0.155,""))))</f>
        <v/>
      </c>
      <c r="J38" s="149" t="str">
        <f t="shared" si="13"/>
        <v/>
      </c>
      <c r="K38" s="35" t="str">
        <f>IFERROR(INDEX(PRENOTAZIONI!$L:$L,SMALL(PRENOTAZIONI!$X:$X,35)),"")</f>
        <v/>
      </c>
      <c r="L38" s="150" t="str">
        <f t="shared" si="14"/>
        <v/>
      </c>
      <c r="M38" s="35" t="str">
        <f t="shared" si="15"/>
        <v/>
      </c>
      <c r="N38" s="35"/>
      <c r="O38" s="43"/>
      <c r="P38" s="150" t="str">
        <f t="shared" si="16"/>
        <v/>
      </c>
      <c r="Q38" s="47" t="str">
        <f>IFERROR(INDEX(PRENOTAZIONI!$R:$R,SMALL(PRENOTAZIONI!$X:$X,35)),"")</f>
        <v/>
      </c>
      <c r="S38" s="78"/>
    </row>
    <row r="39" spans="1:29" ht="22" customHeight="1" x14ac:dyDescent="0.25">
      <c r="A39" s="31" t="str">
        <f>IFERROR(INDEX(PRENOTAZIONI!$A:$A,SMALL(PRENOTAZIONI!$X:$X,36)),"")</f>
        <v/>
      </c>
      <c r="B39" s="31" t="str">
        <f>IFERROR(INDEX(PRENOTAZIONI!$B:$B,SMALL(PRENOTAZIONI!$X:$X,36)),"")</f>
        <v/>
      </c>
      <c r="C39" s="32" t="str">
        <f t="shared" si="11"/>
        <v/>
      </c>
      <c r="D39" s="34" t="str">
        <f>IFERROR(INDEX(PRENOTAZIONI!$E:$E,SMALL(PRENOTAZIONI!$X:$X,36)),"")</f>
        <v/>
      </c>
      <c r="E39" s="34" t="str">
        <f>IFERROR(INDEX(PRENOTAZIONI!$F:$F,SMALL(PRENOTAZIONI!$X:$X,36)),"")</f>
        <v/>
      </c>
      <c r="F39" s="34" t="str">
        <f>IFERROR(INDEX(PRENOTAZIONI!$G:$G,SMALL(PRENOTAZIONI!$X:$X,36)),"")</f>
        <v/>
      </c>
      <c r="G39" s="35" t="str">
        <f>IFERROR(INDEX(PRENOTAZIONI!$H:$H,SMALL(PRENOTAZIONI!$X:$X,36)),"")</f>
        <v/>
      </c>
      <c r="H39" s="146" t="str">
        <f t="shared" si="12"/>
        <v/>
      </c>
      <c r="I39" s="35" t="str">
        <f t="shared" si="17"/>
        <v/>
      </c>
      <c r="J39" s="149" t="str">
        <f t="shared" si="13"/>
        <v/>
      </c>
      <c r="K39" s="35" t="str">
        <f>IFERROR(INDEX(PRENOTAZIONI!$L:$L,SMALL(PRENOTAZIONI!$X:$X,36)),"")</f>
        <v/>
      </c>
      <c r="L39" s="150" t="str">
        <f t="shared" si="14"/>
        <v/>
      </c>
      <c r="M39" s="35" t="str">
        <f t="shared" si="15"/>
        <v/>
      </c>
      <c r="N39" s="35"/>
      <c r="O39" s="43"/>
      <c r="P39" s="150" t="str">
        <f t="shared" si="16"/>
        <v/>
      </c>
      <c r="Q39" s="47" t="str">
        <f>IFERROR(INDEX(PRENOTAZIONI!$R:$R,SMALL(PRENOTAZIONI!$X:$X,36)),"")</f>
        <v/>
      </c>
      <c r="S39" s="78"/>
    </row>
    <row r="40" spans="1:29" ht="22" customHeight="1" x14ac:dyDescent="0.25">
      <c r="A40" s="31" t="str">
        <f>IFERROR(INDEX(PRENOTAZIONI!$A:$A,SMALL(PRENOTAZIONI!$X:$X,37)),"")</f>
        <v/>
      </c>
      <c r="B40" s="31" t="str">
        <f>IFERROR(INDEX(PRENOTAZIONI!$B:$B,SMALL(PRENOTAZIONI!$X:$X,37)),"")</f>
        <v/>
      </c>
      <c r="C40" s="32" t="str">
        <f t="shared" si="11"/>
        <v/>
      </c>
      <c r="D40" s="34" t="str">
        <f>IFERROR(INDEX(PRENOTAZIONI!$E:$E,SMALL(PRENOTAZIONI!$X:$X,37)),"")</f>
        <v/>
      </c>
      <c r="E40" s="34" t="str">
        <f>IFERROR(INDEX(PRENOTAZIONI!$F:$F,SMALL(PRENOTAZIONI!$X:$X,37)),"")</f>
        <v/>
      </c>
      <c r="F40" s="34" t="str">
        <f>IFERROR(INDEX(PRENOTAZIONI!$G:$G,SMALL(PRENOTAZIONI!$X:$X,37)),"")</f>
        <v/>
      </c>
      <c r="G40" s="35" t="str">
        <f>IFERROR(INDEX(PRENOTAZIONI!$H:$H,SMALL(PRENOTAZIONI!$X:$X,37)),"")</f>
        <v/>
      </c>
      <c r="H40" s="146" t="str">
        <f t="shared" si="12"/>
        <v/>
      </c>
      <c r="I40" s="35" t="str">
        <f t="shared" si="17"/>
        <v/>
      </c>
      <c r="J40" s="149" t="str">
        <f t="shared" si="13"/>
        <v/>
      </c>
      <c r="K40" s="35" t="str">
        <f>IFERROR(INDEX(PRENOTAZIONI!$L:$L,SMALL(PRENOTAZIONI!$X:$X,37)),"")</f>
        <v/>
      </c>
      <c r="L40" s="150" t="str">
        <f t="shared" si="14"/>
        <v/>
      </c>
      <c r="M40" s="35" t="str">
        <f t="shared" si="15"/>
        <v/>
      </c>
      <c r="N40" s="35"/>
      <c r="O40" s="43"/>
      <c r="P40" s="150" t="str">
        <f t="shared" si="16"/>
        <v/>
      </c>
      <c r="Q40" s="47" t="str">
        <f>IFERROR(INDEX(PRENOTAZIONI!$R:$R,SMALL(PRENOTAZIONI!$X:$X,37)),"")</f>
        <v/>
      </c>
      <c r="S40" s="78"/>
    </row>
    <row r="41" spans="1:29" ht="22" customHeight="1" x14ac:dyDescent="0.25">
      <c r="A41" s="31" t="str">
        <f>IFERROR(INDEX(PRENOTAZIONI!$A:$A,SMALL(PRENOTAZIONI!$X:$X,38)),"")</f>
        <v/>
      </c>
      <c r="B41" s="31" t="str">
        <f>IFERROR(INDEX(PRENOTAZIONI!$B:$B,SMALL(PRENOTAZIONI!$X:$X,38)),"")</f>
        <v/>
      </c>
      <c r="C41" s="32" t="str">
        <f t="shared" si="11"/>
        <v/>
      </c>
      <c r="D41" s="34" t="str">
        <f>IFERROR(INDEX(PRENOTAZIONI!$E:$E,SMALL(PRENOTAZIONI!$X:$X,38)),"")</f>
        <v/>
      </c>
      <c r="E41" s="34" t="str">
        <f>IFERROR(INDEX(PRENOTAZIONI!$F:$F,SMALL(PRENOTAZIONI!$X:$X,38)),"")</f>
        <v/>
      </c>
      <c r="F41" s="34" t="str">
        <f>IFERROR(INDEX(PRENOTAZIONI!$G:$G,SMALL(PRENOTAZIONI!$X:$X,38)),"")</f>
        <v/>
      </c>
      <c r="G41" s="35" t="str">
        <f>IFERROR(INDEX(PRENOTAZIONI!$H:$H,SMALL(PRENOTAZIONI!$X:$X,38)),"")</f>
        <v/>
      </c>
      <c r="H41" s="146" t="str">
        <f t="shared" si="12"/>
        <v/>
      </c>
      <c r="I41" s="35" t="str">
        <f t="shared" si="17"/>
        <v/>
      </c>
      <c r="J41" s="149" t="str">
        <f t="shared" si="13"/>
        <v/>
      </c>
      <c r="K41" s="35" t="str">
        <f>IFERROR(INDEX(PRENOTAZIONI!$L:$L,SMALL(PRENOTAZIONI!$X:$X,38)),"")</f>
        <v/>
      </c>
      <c r="L41" s="150" t="str">
        <f t="shared" si="14"/>
        <v/>
      </c>
      <c r="M41" s="35" t="str">
        <f t="shared" si="15"/>
        <v/>
      </c>
      <c r="N41" s="35"/>
      <c r="O41" s="43"/>
      <c r="P41" s="150" t="str">
        <f t="shared" si="16"/>
        <v/>
      </c>
      <c r="Q41" s="47" t="str">
        <f>IFERROR(INDEX(PRENOTAZIONI!$R:$R,SMALL(PRENOTAZIONI!$X:$X,38)),"")</f>
        <v/>
      </c>
      <c r="S41" s="78"/>
    </row>
    <row r="42" spans="1:29" ht="22" customHeight="1" x14ac:dyDescent="0.25">
      <c r="A42" s="31" t="str">
        <f>IFERROR(INDEX(PRENOTAZIONI!$A:$A,SMALL(PRENOTAZIONI!$X:$X,39)),"")</f>
        <v/>
      </c>
      <c r="B42" s="31" t="str">
        <f>IFERROR(INDEX(PRENOTAZIONI!$B:$B,SMALL(PRENOTAZIONI!$X:$X,39)),"")</f>
        <v/>
      </c>
      <c r="C42" s="32" t="str">
        <f t="shared" si="11"/>
        <v/>
      </c>
      <c r="D42" s="34" t="str">
        <f>IFERROR(INDEX(PRENOTAZIONI!$E:$E,SMALL(PRENOTAZIONI!$X:$X,39)),"")</f>
        <v/>
      </c>
      <c r="E42" s="34" t="str">
        <f>IFERROR(INDEX(PRENOTAZIONI!$F:$F,SMALL(PRENOTAZIONI!$X:$X,39)),"")</f>
        <v/>
      </c>
      <c r="F42" s="34" t="str">
        <f>IFERROR(INDEX(PRENOTAZIONI!$G:$G,SMALL(PRENOTAZIONI!$X:$X,39)),"")</f>
        <v/>
      </c>
      <c r="G42" s="35" t="str">
        <f>IFERROR(INDEX(PRENOTAZIONI!$H:$H,SMALL(PRENOTAZIONI!$X:$X,39)),"")</f>
        <v/>
      </c>
      <c r="H42" s="146" t="str">
        <f t="shared" si="12"/>
        <v/>
      </c>
      <c r="I42" s="35" t="str">
        <f t="shared" si="17"/>
        <v/>
      </c>
      <c r="J42" s="149" t="str">
        <f t="shared" si="13"/>
        <v/>
      </c>
      <c r="K42" s="35" t="str">
        <f>IFERROR(INDEX(PRENOTAZIONI!$L:$L,SMALL(PRENOTAZIONI!$X:$X,39)),"")</f>
        <v/>
      </c>
      <c r="L42" s="150" t="str">
        <f t="shared" si="14"/>
        <v/>
      </c>
      <c r="M42" s="35" t="str">
        <f t="shared" si="15"/>
        <v/>
      </c>
      <c r="N42" s="35"/>
      <c r="O42" s="43"/>
      <c r="P42" s="150" t="str">
        <f t="shared" si="16"/>
        <v/>
      </c>
      <c r="Q42" s="47" t="str">
        <f>IFERROR(INDEX(PRENOTAZIONI!$R:$R,SMALL(PRENOTAZIONI!$X:$X,39)),"")</f>
        <v/>
      </c>
      <c r="S42" s="78"/>
    </row>
    <row r="43" spans="1:29" ht="22" customHeight="1" x14ac:dyDescent="0.25">
      <c r="A43" s="31" t="str">
        <f>IFERROR(INDEX(PRENOTAZIONI!$A:$A,SMALL(PRENOTAZIONI!$X:$X,40)),"")</f>
        <v/>
      </c>
      <c r="B43" s="31" t="str">
        <f>IFERROR(INDEX(PRENOTAZIONI!$B:$B,SMALL(PRENOTAZIONI!$X:$X,40)),"")</f>
        <v/>
      </c>
      <c r="C43" s="32" t="str">
        <f t="shared" si="11"/>
        <v/>
      </c>
      <c r="D43" s="34" t="str">
        <f>IFERROR(INDEX(PRENOTAZIONI!$E:$E,SMALL(PRENOTAZIONI!$X:$X,40)),"")</f>
        <v/>
      </c>
      <c r="E43" s="34" t="str">
        <f>IFERROR(INDEX(PRENOTAZIONI!$F:$F,SMALL(PRENOTAZIONI!$X:$X,40)),"")</f>
        <v/>
      </c>
      <c r="F43" s="34" t="str">
        <f>IFERROR(INDEX(PRENOTAZIONI!$G:$G,SMALL(PRENOTAZIONI!$X:$X,40)),"")</f>
        <v/>
      </c>
      <c r="G43" s="35" t="str">
        <f>IFERROR(INDEX(PRENOTAZIONI!$H:$H,SMALL(PRENOTAZIONI!$X:$X,40)),"")</f>
        <v/>
      </c>
      <c r="H43" s="146" t="str">
        <f t="shared" si="12"/>
        <v/>
      </c>
      <c r="I43" s="35" t="str">
        <f t="shared" si="17"/>
        <v/>
      </c>
      <c r="J43" s="149" t="str">
        <f t="shared" si="13"/>
        <v/>
      </c>
      <c r="K43" s="35" t="str">
        <f>IFERROR(INDEX(PRENOTAZIONI!$L:$L,SMALL(PRENOTAZIONI!$X:$X,40)),"")</f>
        <v/>
      </c>
      <c r="L43" s="150" t="str">
        <f t="shared" si="14"/>
        <v/>
      </c>
      <c r="M43" s="35" t="str">
        <f t="shared" si="15"/>
        <v/>
      </c>
      <c r="N43" s="35"/>
      <c r="O43" s="43"/>
      <c r="P43" s="150" t="str">
        <f t="shared" si="16"/>
        <v/>
      </c>
      <c r="Q43" s="47" t="str">
        <f>IFERROR(INDEX(PRENOTAZIONI!$R:$R,SMALL(PRENOTAZIONI!$X:$X,40)),"")</f>
        <v/>
      </c>
      <c r="S43" s="78"/>
    </row>
    <row r="44" spans="1:29" ht="22" customHeight="1" x14ac:dyDescent="0.25">
      <c r="A44" s="31" t="str">
        <f>IFERROR(INDEX(PRENOTAZIONI!$A:$A,SMALL(PRENOTAZIONI!$X:$X,41)),"")</f>
        <v/>
      </c>
      <c r="B44" s="31" t="str">
        <f>IFERROR(INDEX(PRENOTAZIONI!$B:$B,SMALL(PRENOTAZIONI!$X:$X,41)),"")</f>
        <v/>
      </c>
      <c r="C44" s="32" t="str">
        <f t="shared" si="11"/>
        <v/>
      </c>
      <c r="D44" s="34" t="str">
        <f>IFERROR(INDEX(PRENOTAZIONI!$E:$E,SMALL(PRENOTAZIONI!$X:$X,41)),"")</f>
        <v/>
      </c>
      <c r="E44" s="34" t="str">
        <f>IFERROR(INDEX(PRENOTAZIONI!$F:$F,SMALL(PRENOTAZIONI!$X:$X,41)),"")</f>
        <v/>
      </c>
      <c r="F44" s="34" t="str">
        <f>IFERROR(INDEX(PRENOTAZIONI!$G:$G,SMALL(PRENOTAZIONI!$X:$X,41)),"")</f>
        <v/>
      </c>
      <c r="G44" s="35" t="str">
        <f>IFERROR(INDEX(PRENOTAZIONI!$H:$H,SMALL(PRENOTAZIONI!$X:$X,41)),"")</f>
        <v/>
      </c>
      <c r="H44" s="146" t="str">
        <f t="shared" si="12"/>
        <v/>
      </c>
      <c r="I44" s="35" t="str">
        <f t="shared" si="17"/>
        <v/>
      </c>
      <c r="J44" s="149" t="str">
        <f t="shared" si="13"/>
        <v/>
      </c>
      <c r="K44" s="35" t="str">
        <f>IFERROR(INDEX(PRENOTAZIONI!$L:$L,SMALL(PRENOTAZIONI!$X:$X,41)),"")</f>
        <v/>
      </c>
      <c r="L44" s="150" t="str">
        <f t="shared" si="14"/>
        <v/>
      </c>
      <c r="M44" s="35" t="str">
        <f t="shared" si="15"/>
        <v/>
      </c>
      <c r="N44" s="35"/>
      <c r="O44" s="43"/>
      <c r="P44" s="150" t="str">
        <f t="shared" si="16"/>
        <v/>
      </c>
      <c r="Q44" s="47" t="str">
        <f>IFERROR(INDEX(PRENOTAZIONI!$R:$R,SMALL(PRENOTAZIONI!$X:$X,41)),"")</f>
        <v/>
      </c>
      <c r="S44" s="78"/>
    </row>
    <row r="45" spans="1:29" ht="22" customHeight="1" x14ac:dyDescent="0.25">
      <c r="A45" s="31" t="str">
        <f>IFERROR(INDEX(PRENOTAZIONI!$A:$A,SMALL(PRENOTAZIONI!$X:$X,42)),"")</f>
        <v/>
      </c>
      <c r="B45" s="31" t="str">
        <f>IFERROR(INDEX(PRENOTAZIONI!$B:$B,SMALL(PRENOTAZIONI!$X:$X,42)),"")</f>
        <v/>
      </c>
      <c r="C45" s="32" t="str">
        <f t="shared" si="11"/>
        <v/>
      </c>
      <c r="D45" s="34" t="str">
        <f>IFERROR(INDEX(PRENOTAZIONI!$E:$E,SMALL(PRENOTAZIONI!$X:$X,42)),"")</f>
        <v/>
      </c>
      <c r="E45" s="34" t="str">
        <f>IFERROR(INDEX(PRENOTAZIONI!$F:$F,SMALL(PRENOTAZIONI!$X:$X,42)),"")</f>
        <v/>
      </c>
      <c r="F45" s="34" t="str">
        <f>IFERROR(INDEX(PRENOTAZIONI!$G:$G,SMALL(PRENOTAZIONI!$X:$X,42)),"")</f>
        <v/>
      </c>
      <c r="G45" s="35" t="str">
        <f>IFERROR(INDEX(PRENOTAZIONI!$H:$H,SMALL(PRENOTAZIONI!$X:$X,42)),"")</f>
        <v/>
      </c>
      <c r="H45" s="146" t="str">
        <f t="shared" si="12"/>
        <v/>
      </c>
      <c r="I45" s="35" t="str">
        <f t="shared" si="17"/>
        <v/>
      </c>
      <c r="J45" s="149" t="str">
        <f t="shared" si="13"/>
        <v/>
      </c>
      <c r="K45" s="35" t="str">
        <f>IFERROR(INDEX(PRENOTAZIONI!$L:$L,SMALL(PRENOTAZIONI!$X:$X,42)),"")</f>
        <v/>
      </c>
      <c r="L45" s="150" t="str">
        <f t="shared" si="14"/>
        <v/>
      </c>
      <c r="M45" s="35" t="str">
        <f t="shared" si="15"/>
        <v/>
      </c>
      <c r="N45" s="35"/>
      <c r="O45" s="43"/>
      <c r="P45" s="150" t="str">
        <f t="shared" si="16"/>
        <v/>
      </c>
      <c r="Q45" s="47" t="str">
        <f>IFERROR(INDEX(PRENOTAZIONI!$R:$R,SMALL(PRENOTAZIONI!$X:$X,42)),"")</f>
        <v/>
      </c>
      <c r="S45" s="78"/>
    </row>
    <row r="46" spans="1:29" ht="22" customHeight="1" x14ac:dyDescent="0.25">
      <c r="A46" s="31" t="str">
        <f>IFERROR(INDEX(PRENOTAZIONI!$A:$A,SMALL(PRENOTAZIONI!$X:$X,43)),"")</f>
        <v/>
      </c>
      <c r="B46" s="31" t="str">
        <f>IFERROR(INDEX(PRENOTAZIONI!$B:$B,SMALL(PRENOTAZIONI!$X:$X,43)),"")</f>
        <v/>
      </c>
      <c r="C46" s="32" t="str">
        <f t="shared" si="11"/>
        <v/>
      </c>
      <c r="D46" s="34" t="str">
        <f>IFERROR(INDEX(PRENOTAZIONI!$E:$E,SMALL(PRENOTAZIONI!$X:$X,43)),"")</f>
        <v/>
      </c>
      <c r="E46" s="34" t="str">
        <f>IFERROR(INDEX(PRENOTAZIONI!$F:$F,SMALL(PRENOTAZIONI!$X:$X,43)),"")</f>
        <v/>
      </c>
      <c r="F46" s="34" t="str">
        <f>IFERROR(INDEX(PRENOTAZIONI!$G:$G,SMALL(PRENOTAZIONI!$X:$X,43)),"")</f>
        <v/>
      </c>
      <c r="G46" s="35" t="str">
        <f>IFERROR(INDEX(PRENOTAZIONI!$H:$H,SMALL(PRENOTAZIONI!$X:$X,43)),"")</f>
        <v/>
      </c>
      <c r="H46" s="146" t="str">
        <f t="shared" si="12"/>
        <v/>
      </c>
      <c r="I46" s="35" t="str">
        <f t="shared" si="17"/>
        <v/>
      </c>
      <c r="J46" s="149" t="str">
        <f t="shared" si="13"/>
        <v/>
      </c>
      <c r="K46" s="35" t="str">
        <f>IFERROR(INDEX(PRENOTAZIONI!$L:$L,SMALL(PRENOTAZIONI!$X:$X,43)),"")</f>
        <v/>
      </c>
      <c r="L46" s="150" t="str">
        <f t="shared" si="14"/>
        <v/>
      </c>
      <c r="M46" s="35" t="str">
        <f t="shared" si="15"/>
        <v/>
      </c>
      <c r="N46" s="35"/>
      <c r="O46" s="43"/>
      <c r="P46" s="150" t="str">
        <f t="shared" si="16"/>
        <v/>
      </c>
      <c r="Q46" s="47" t="str">
        <f>IFERROR(INDEX(PRENOTAZIONI!$R:$R,SMALL(PRENOTAZIONI!$X:$X,43)),"")</f>
        <v/>
      </c>
      <c r="S46" s="78"/>
    </row>
    <row r="47" spans="1:29" ht="22" customHeight="1" x14ac:dyDescent="0.25">
      <c r="A47" s="31" t="str">
        <f>IFERROR(INDEX(PRENOTAZIONI!$A:$A,SMALL(PRENOTAZIONI!$X:$X,44)),"")</f>
        <v/>
      </c>
      <c r="B47" s="31" t="str">
        <f>IFERROR(INDEX(PRENOTAZIONI!$B:$B,SMALL(PRENOTAZIONI!$X:$X,44)),"")</f>
        <v/>
      </c>
      <c r="C47" s="32" t="str">
        <f t="shared" si="11"/>
        <v/>
      </c>
      <c r="D47" s="34" t="str">
        <f>IFERROR(INDEX(PRENOTAZIONI!$E:$E,SMALL(PRENOTAZIONI!$X:$X,44)),"")</f>
        <v/>
      </c>
      <c r="E47" s="34" t="str">
        <f>IFERROR(INDEX(PRENOTAZIONI!$F:$F,SMALL(PRENOTAZIONI!$X:$X,44)),"")</f>
        <v/>
      </c>
      <c r="F47" s="34" t="str">
        <f>IFERROR(INDEX(PRENOTAZIONI!$G:$G,SMALL(PRENOTAZIONI!$X:$X,44)),"")</f>
        <v/>
      </c>
      <c r="G47" s="35" t="str">
        <f>IFERROR(INDEX(PRENOTAZIONI!$H:$H,SMALL(PRENOTAZIONI!$X:$X,44)),"")</f>
        <v/>
      </c>
      <c r="H47" s="146" t="str">
        <f t="shared" si="12"/>
        <v/>
      </c>
      <c r="I47" s="35" t="str">
        <f t="shared" si="17"/>
        <v/>
      </c>
      <c r="J47" s="149" t="str">
        <f t="shared" si="13"/>
        <v/>
      </c>
      <c r="K47" s="35" t="str">
        <f>IFERROR(INDEX(PRENOTAZIONI!$L:$L,SMALL(PRENOTAZIONI!$X:$X,44)),"")</f>
        <v/>
      </c>
      <c r="L47" s="150" t="str">
        <f t="shared" si="14"/>
        <v/>
      </c>
      <c r="M47" s="35" t="str">
        <f t="shared" si="15"/>
        <v/>
      </c>
      <c r="N47" s="35"/>
      <c r="O47" s="43"/>
      <c r="P47" s="150" t="str">
        <f t="shared" si="16"/>
        <v/>
      </c>
      <c r="Q47" s="47" t="str">
        <f>IFERROR(INDEX(PRENOTAZIONI!$R:$R,SMALL(PRENOTAZIONI!$X:$X,44)),"")</f>
        <v/>
      </c>
      <c r="S47" s="78"/>
    </row>
    <row r="48" spans="1:29" ht="22" customHeight="1" x14ac:dyDescent="0.25">
      <c r="A48" s="31" t="str">
        <f>IFERROR(INDEX(PRENOTAZIONI!$A:$A,SMALL(PRENOTAZIONI!$X:$X,45)),"")</f>
        <v/>
      </c>
      <c r="B48" s="31" t="str">
        <f>IFERROR(INDEX(PRENOTAZIONI!$B:$B,SMALL(PRENOTAZIONI!$X:$X,45)),"")</f>
        <v/>
      </c>
      <c r="C48" s="32" t="str">
        <f t="shared" si="11"/>
        <v/>
      </c>
      <c r="D48" s="34" t="str">
        <f>IFERROR(INDEX(PRENOTAZIONI!$E:$E,SMALL(PRENOTAZIONI!$X:$X,45)),"")</f>
        <v/>
      </c>
      <c r="E48" s="34" t="str">
        <f>IFERROR(INDEX(PRENOTAZIONI!$F:$F,SMALL(PRENOTAZIONI!$X:$X,45)),"")</f>
        <v/>
      </c>
      <c r="F48" s="34" t="str">
        <f>IFERROR(INDEX(PRENOTAZIONI!$G:$G,SMALL(PRENOTAZIONI!$X:$X,45)),"")</f>
        <v/>
      </c>
      <c r="G48" s="35" t="str">
        <f>IFERROR(INDEX(PRENOTAZIONI!$H:$H,SMALL(PRENOTAZIONI!$X:$X,45)),"")</f>
        <v/>
      </c>
      <c r="H48" s="146" t="str">
        <f t="shared" si="12"/>
        <v/>
      </c>
      <c r="I48" s="35" t="str">
        <f t="shared" si="17"/>
        <v/>
      </c>
      <c r="J48" s="149" t="str">
        <f t="shared" si="13"/>
        <v/>
      </c>
      <c r="K48" s="35" t="str">
        <f>IFERROR(INDEX(PRENOTAZIONI!$L:$L,SMALL(PRENOTAZIONI!$X:$X,45)),"")</f>
        <v/>
      </c>
      <c r="L48" s="150" t="str">
        <f t="shared" si="14"/>
        <v/>
      </c>
      <c r="M48" s="35" t="str">
        <f t="shared" si="15"/>
        <v/>
      </c>
      <c r="N48" s="35"/>
      <c r="O48" s="43"/>
      <c r="P48" s="150" t="str">
        <f t="shared" si="16"/>
        <v/>
      </c>
      <c r="Q48" s="47" t="str">
        <f>IFERROR(INDEX(PRENOTAZIONI!$R:$R,SMALL(PRENOTAZIONI!$X:$X,45)),"")</f>
        <v/>
      </c>
      <c r="S48" s="78"/>
    </row>
    <row r="49" spans="1:19" ht="22" customHeight="1" x14ac:dyDescent="0.25">
      <c r="A49" s="31" t="str">
        <f>IFERROR(INDEX(PRENOTAZIONI!$A:$A,SMALL(PRENOTAZIONI!$X:$X,46)),"")</f>
        <v/>
      </c>
      <c r="B49" s="31" t="str">
        <f>IFERROR(INDEX(PRENOTAZIONI!$B:$B,SMALL(PRENOTAZIONI!$X:$X,46)),"")</f>
        <v/>
      </c>
      <c r="C49" s="32" t="str">
        <f t="shared" si="11"/>
        <v/>
      </c>
      <c r="D49" s="34" t="str">
        <f>IFERROR(INDEX(PRENOTAZIONI!$E:$E,SMALL(PRENOTAZIONI!$X:$X,46)),"")</f>
        <v/>
      </c>
      <c r="E49" s="34" t="str">
        <f>IFERROR(INDEX(PRENOTAZIONI!$F:$F,SMALL(PRENOTAZIONI!$X:$X,46)),"")</f>
        <v/>
      </c>
      <c r="F49" s="34" t="str">
        <f>IFERROR(INDEX(PRENOTAZIONI!$G:$G,SMALL(PRENOTAZIONI!$X:$X,46)),"")</f>
        <v/>
      </c>
      <c r="G49" s="35" t="str">
        <f>IFERROR(INDEX(PRENOTAZIONI!$H:$H,SMALL(PRENOTAZIONI!$X:$X,46)),"")</f>
        <v/>
      </c>
      <c r="H49" s="146" t="str">
        <f t="shared" si="12"/>
        <v/>
      </c>
      <c r="I49" s="35" t="str">
        <f t="shared" si="17"/>
        <v/>
      </c>
      <c r="J49" s="149" t="str">
        <f t="shared" si="13"/>
        <v/>
      </c>
      <c r="K49" s="35" t="str">
        <f>IFERROR(INDEX(PRENOTAZIONI!$L:$L,SMALL(PRENOTAZIONI!$X:$X,46)),"")</f>
        <v/>
      </c>
      <c r="L49" s="150" t="str">
        <f t="shared" si="14"/>
        <v/>
      </c>
      <c r="M49" s="35" t="str">
        <f t="shared" si="15"/>
        <v/>
      </c>
      <c r="N49" s="35"/>
      <c r="O49" s="43"/>
      <c r="P49" s="150" t="str">
        <f t="shared" si="16"/>
        <v/>
      </c>
      <c r="Q49" s="47" t="str">
        <f>IFERROR(INDEX(PRENOTAZIONI!$R:$R,SMALL(PRENOTAZIONI!$X:$X,46)),"")</f>
        <v/>
      </c>
      <c r="S49" s="78"/>
    </row>
    <row r="50" spans="1:19" ht="22" customHeight="1" x14ac:dyDescent="0.25">
      <c r="A50" s="31" t="str">
        <f>IFERROR(INDEX(PRENOTAZIONI!$A:$A,SMALL(PRENOTAZIONI!$X:$X,47)),"")</f>
        <v/>
      </c>
      <c r="B50" s="31" t="str">
        <f>IFERROR(INDEX(PRENOTAZIONI!$B:$B,SMALL(PRENOTAZIONI!$X:$X,47)),"")</f>
        <v/>
      </c>
      <c r="C50" s="32" t="str">
        <f t="shared" si="11"/>
        <v/>
      </c>
      <c r="D50" s="34" t="str">
        <f>IFERROR(INDEX(PRENOTAZIONI!$E:$E,SMALL(PRENOTAZIONI!$X:$X,47)),"")</f>
        <v/>
      </c>
      <c r="E50" s="34" t="str">
        <f>IFERROR(INDEX(PRENOTAZIONI!$F:$F,SMALL(PRENOTAZIONI!$X:$X,47)),"")</f>
        <v/>
      </c>
      <c r="F50" s="34" t="str">
        <f>IFERROR(INDEX(PRENOTAZIONI!$G:$G,SMALL(PRENOTAZIONI!$X:$X,47)),"")</f>
        <v/>
      </c>
      <c r="G50" s="35" t="str">
        <f>IFERROR(INDEX(PRENOTAZIONI!$H:$H,SMALL(PRENOTAZIONI!$X:$X,47)),"")</f>
        <v/>
      </c>
      <c r="H50" s="146" t="str">
        <f t="shared" si="12"/>
        <v/>
      </c>
      <c r="I50" s="35" t="str">
        <f t="shared" si="17"/>
        <v/>
      </c>
      <c r="J50" s="149" t="str">
        <f t="shared" si="13"/>
        <v/>
      </c>
      <c r="K50" s="35" t="str">
        <f>IFERROR(INDEX(PRENOTAZIONI!$L:$L,SMALL(PRENOTAZIONI!$X:$X,47)),"")</f>
        <v/>
      </c>
      <c r="L50" s="150" t="str">
        <f t="shared" si="14"/>
        <v/>
      </c>
      <c r="M50" s="35" t="str">
        <f t="shared" si="15"/>
        <v/>
      </c>
      <c r="N50" s="35"/>
      <c r="O50" s="43"/>
      <c r="P50" s="150" t="str">
        <f t="shared" si="16"/>
        <v/>
      </c>
      <c r="Q50" s="47" t="str">
        <f>IFERROR(INDEX(PRENOTAZIONI!$R:$R,SMALL(PRENOTAZIONI!$X:$X,47)),"")</f>
        <v/>
      </c>
      <c r="S50" s="78"/>
    </row>
    <row r="51" spans="1:19" ht="22" customHeight="1" x14ac:dyDescent="0.25">
      <c r="A51" s="31" t="str">
        <f>IFERROR(INDEX(PRENOTAZIONI!$A:$A,SMALL(PRENOTAZIONI!$X:$X,48)),"")</f>
        <v/>
      </c>
      <c r="B51" s="31" t="str">
        <f>IFERROR(INDEX(PRENOTAZIONI!$B:$B,SMALL(PRENOTAZIONI!$X:$X,48)),"")</f>
        <v/>
      </c>
      <c r="C51" s="32" t="str">
        <f t="shared" si="11"/>
        <v/>
      </c>
      <c r="D51" s="34" t="str">
        <f>IFERROR(INDEX(PRENOTAZIONI!$E:$E,SMALL(PRENOTAZIONI!$X:$X,48)),"")</f>
        <v/>
      </c>
      <c r="E51" s="34" t="str">
        <f>IFERROR(INDEX(PRENOTAZIONI!$F:$F,SMALL(PRENOTAZIONI!$X:$X,48)),"")</f>
        <v/>
      </c>
      <c r="F51" s="34" t="str">
        <f>IFERROR(INDEX(PRENOTAZIONI!$G:$G,SMALL(PRENOTAZIONI!$X:$X,48)),"")</f>
        <v/>
      </c>
      <c r="G51" s="35" t="str">
        <f>IFERROR(INDEX(PRENOTAZIONI!$H:$H,SMALL(PRENOTAZIONI!$X:$X,48)),"")</f>
        <v/>
      </c>
      <c r="H51" s="146" t="str">
        <f t="shared" si="12"/>
        <v/>
      </c>
      <c r="I51" s="35" t="str">
        <f t="shared" si="17"/>
        <v/>
      </c>
      <c r="J51" s="149" t="str">
        <f t="shared" si="13"/>
        <v/>
      </c>
      <c r="K51" s="35" t="str">
        <f>IFERROR(INDEX(PRENOTAZIONI!$L:$L,SMALL(PRENOTAZIONI!$X:$X,48)),"")</f>
        <v/>
      </c>
      <c r="L51" s="150" t="str">
        <f t="shared" si="14"/>
        <v/>
      </c>
      <c r="M51" s="35" t="str">
        <f t="shared" si="15"/>
        <v/>
      </c>
      <c r="N51" s="35"/>
      <c r="O51" s="43"/>
      <c r="P51" s="150" t="str">
        <f t="shared" si="16"/>
        <v/>
      </c>
      <c r="Q51" s="47" t="str">
        <f>IFERROR(INDEX(PRENOTAZIONI!$R:$R,SMALL(PRENOTAZIONI!$X:$X,48)),"")</f>
        <v/>
      </c>
      <c r="S51" s="78"/>
    </row>
    <row r="52" spans="1:19" ht="22" customHeight="1" x14ac:dyDescent="0.25">
      <c r="A52" s="31" t="str">
        <f>IFERROR(INDEX(PRENOTAZIONI!$A:$A,SMALL(PRENOTAZIONI!$X:$X,49)),"")</f>
        <v/>
      </c>
      <c r="B52" s="31" t="str">
        <f>IFERROR(INDEX(PRENOTAZIONI!$B:$B,SMALL(PRENOTAZIONI!$X:$X,49)),"")</f>
        <v/>
      </c>
      <c r="C52" s="32" t="str">
        <f t="shared" si="11"/>
        <v/>
      </c>
      <c r="D52" s="34" t="str">
        <f>IFERROR(INDEX(PRENOTAZIONI!$E:$E,SMALL(PRENOTAZIONI!$X:$X,49)),"")</f>
        <v/>
      </c>
      <c r="E52" s="34" t="str">
        <f>IFERROR(INDEX(PRENOTAZIONI!$F:$F,SMALL(PRENOTAZIONI!$X:$X,49)),"")</f>
        <v/>
      </c>
      <c r="F52" s="34" t="str">
        <f>IFERROR(INDEX(PRENOTAZIONI!$G:$G,SMALL(PRENOTAZIONI!$X:$X,49)),"")</f>
        <v/>
      </c>
      <c r="G52" s="35" t="str">
        <f>IFERROR(INDEX(PRENOTAZIONI!$H:$H,SMALL(PRENOTAZIONI!$X:$X,49)),"")</f>
        <v/>
      </c>
      <c r="H52" s="146" t="str">
        <f t="shared" si="12"/>
        <v/>
      </c>
      <c r="I52" s="35" t="str">
        <f t="shared" si="17"/>
        <v/>
      </c>
      <c r="J52" s="149" t="str">
        <f t="shared" si="13"/>
        <v/>
      </c>
      <c r="K52" s="35" t="str">
        <f>IFERROR(INDEX(PRENOTAZIONI!$L:$L,SMALL(PRENOTAZIONI!$X:$X,49)),"")</f>
        <v/>
      </c>
      <c r="L52" s="150" t="str">
        <f t="shared" si="14"/>
        <v/>
      </c>
      <c r="M52" s="35" t="str">
        <f t="shared" si="15"/>
        <v/>
      </c>
      <c r="N52" s="35"/>
      <c r="O52" s="43"/>
      <c r="P52" s="150" t="str">
        <f t="shared" si="16"/>
        <v/>
      </c>
      <c r="Q52" s="47" t="str">
        <f>IFERROR(INDEX(PRENOTAZIONI!$R:$R,SMALL(PRENOTAZIONI!$X:$X,49)),"")</f>
        <v/>
      </c>
      <c r="S52" s="78"/>
    </row>
    <row r="53" spans="1:19" ht="22" customHeight="1" x14ac:dyDescent="0.25">
      <c r="A53" s="31" t="str">
        <f>IFERROR(INDEX(PRENOTAZIONI!$A:$A,SMALL(PRENOTAZIONI!$X:$X,50)),"")</f>
        <v/>
      </c>
      <c r="B53" s="31" t="str">
        <f>IFERROR(INDEX(PRENOTAZIONI!$B:$B,SMALL(PRENOTAZIONI!$X:$X,50)),"")</f>
        <v/>
      </c>
      <c r="C53" s="32" t="str">
        <f t="shared" si="11"/>
        <v/>
      </c>
      <c r="D53" s="34" t="str">
        <f>IFERROR(INDEX(PRENOTAZIONI!$E:$E,SMALL(PRENOTAZIONI!$X:$X,50)),"")</f>
        <v/>
      </c>
      <c r="E53" s="34" t="str">
        <f>IFERROR(INDEX(PRENOTAZIONI!$F:$F,SMALL(PRENOTAZIONI!$X:$X,50)),"")</f>
        <v/>
      </c>
      <c r="F53" s="34" t="str">
        <f>IFERROR(INDEX(PRENOTAZIONI!$G:$G,SMALL(PRENOTAZIONI!$X:$X,50)),"")</f>
        <v/>
      </c>
      <c r="G53" s="35" t="str">
        <f>IFERROR(INDEX(PRENOTAZIONI!$H:$H,SMALL(PRENOTAZIONI!$X:$X,50)),"")</f>
        <v/>
      </c>
      <c r="H53" s="146" t="str">
        <f t="shared" si="12"/>
        <v/>
      </c>
      <c r="I53" s="35" t="str">
        <f t="shared" si="17"/>
        <v/>
      </c>
      <c r="J53" s="149" t="str">
        <f t="shared" si="13"/>
        <v/>
      </c>
      <c r="K53" s="35" t="str">
        <f>IFERROR(INDEX(PRENOTAZIONI!$L:$L,SMALL(PRENOTAZIONI!$X:$X,50)),"")</f>
        <v/>
      </c>
      <c r="L53" s="150" t="str">
        <f t="shared" si="14"/>
        <v/>
      </c>
      <c r="M53" s="35" t="str">
        <f t="shared" si="15"/>
        <v/>
      </c>
      <c r="N53" s="35"/>
      <c r="O53" s="43"/>
      <c r="P53" s="150" t="str">
        <f t="shared" si="16"/>
        <v/>
      </c>
      <c r="Q53" s="47" t="str">
        <f>IFERROR(INDEX(PRENOTAZIONI!$R:$R,SMALL(PRENOTAZIONI!$X:$X,50)),"")</f>
        <v/>
      </c>
      <c r="S53" s="78"/>
    </row>
    <row r="54" spans="1:19" ht="22" customHeight="1" x14ac:dyDescent="0.25">
      <c r="A54" s="31" t="str">
        <f>IFERROR(INDEX(PRENOTAZIONI!$A:$A,SMALL(PRENOTAZIONI!$X:$X,51)),"")</f>
        <v/>
      </c>
      <c r="B54" s="31" t="str">
        <f>IFERROR(INDEX(PRENOTAZIONI!$B:$B,SMALL(PRENOTAZIONI!$X:$X,51)),"")</f>
        <v/>
      </c>
      <c r="C54" s="32" t="str">
        <f t="shared" si="11"/>
        <v/>
      </c>
      <c r="D54" s="34" t="str">
        <f>IFERROR(INDEX(PRENOTAZIONI!$E:$E,SMALL(PRENOTAZIONI!$X:$X,51)),"")</f>
        <v/>
      </c>
      <c r="E54" s="34" t="str">
        <f>IFERROR(INDEX(PRENOTAZIONI!$F:$F,SMALL(PRENOTAZIONI!$X:$X,51)),"")</f>
        <v/>
      </c>
      <c r="F54" s="34" t="str">
        <f>IFERROR(INDEX(PRENOTAZIONI!$G:$G,SMALL(PRENOTAZIONI!$X:$X,51)),"")</f>
        <v/>
      </c>
      <c r="G54" s="35" t="str">
        <f>IFERROR(INDEX(PRENOTAZIONI!$H:$H,SMALL(PRENOTAZIONI!$X:$X,51)),"")</f>
        <v/>
      </c>
      <c r="H54" s="146" t="str">
        <f t="shared" si="12"/>
        <v/>
      </c>
      <c r="I54" s="35" t="str">
        <f t="shared" si="17"/>
        <v/>
      </c>
      <c r="J54" s="149" t="str">
        <f t="shared" si="13"/>
        <v/>
      </c>
      <c r="K54" s="35" t="str">
        <f>IFERROR(INDEX(PRENOTAZIONI!$L:$L,SMALL(PRENOTAZIONI!$X:$X,51)),"")</f>
        <v/>
      </c>
      <c r="L54" s="150" t="str">
        <f t="shared" si="14"/>
        <v/>
      </c>
      <c r="M54" s="35" t="str">
        <f t="shared" si="15"/>
        <v/>
      </c>
      <c r="N54" s="35"/>
      <c r="O54" s="43"/>
      <c r="P54" s="150" t="str">
        <f t="shared" si="16"/>
        <v/>
      </c>
      <c r="Q54" s="47" t="str">
        <f>IFERROR(INDEX(PRENOTAZIONI!$R:$R,SMALL(PRENOTAZIONI!$X:$X,51)),"")</f>
        <v/>
      </c>
      <c r="S54" s="78"/>
    </row>
    <row r="55" spans="1:19" ht="22" customHeight="1" x14ac:dyDescent="0.25">
      <c r="A55" s="31" t="str">
        <f>IFERROR(INDEX(PRENOTAZIONI!$A:$A,SMALL(PRENOTAZIONI!$X:$X,52)),"")</f>
        <v/>
      </c>
      <c r="B55" s="31" t="str">
        <f>IFERROR(INDEX(PRENOTAZIONI!$B:$B,SMALL(PRENOTAZIONI!$X:$X,52)),"")</f>
        <v/>
      </c>
      <c r="C55" s="32" t="str">
        <f t="shared" si="11"/>
        <v/>
      </c>
      <c r="D55" s="34" t="str">
        <f>IFERROR(INDEX(PRENOTAZIONI!$E:$E,SMALL(PRENOTAZIONI!$X:$X,52)),"")</f>
        <v/>
      </c>
      <c r="E55" s="34" t="str">
        <f>IFERROR(INDEX(PRENOTAZIONI!$F:$F,SMALL(PRENOTAZIONI!$X:$X,52)),"")</f>
        <v/>
      </c>
      <c r="F55" s="34" t="str">
        <f>IFERROR(INDEX(PRENOTAZIONI!$G:$G,SMALL(PRENOTAZIONI!$X:$X,52)),"")</f>
        <v/>
      </c>
      <c r="G55" s="35" t="str">
        <f>IFERROR(INDEX(PRENOTAZIONI!$H:$H,SMALL(PRENOTAZIONI!$X:$X,52)),"")</f>
        <v/>
      </c>
      <c r="H55" s="146" t="str">
        <f t="shared" si="12"/>
        <v/>
      </c>
      <c r="I55" s="35" t="str">
        <f t="shared" si="17"/>
        <v/>
      </c>
      <c r="J55" s="149" t="str">
        <f t="shared" si="13"/>
        <v/>
      </c>
      <c r="K55" s="35" t="str">
        <f>IFERROR(INDEX(PRENOTAZIONI!$L:$L,SMALL(PRENOTAZIONI!$X:$X,52)),"")</f>
        <v/>
      </c>
      <c r="L55" s="150" t="str">
        <f t="shared" si="14"/>
        <v/>
      </c>
      <c r="M55" s="35" t="str">
        <f t="shared" si="15"/>
        <v/>
      </c>
      <c r="N55" s="35"/>
      <c r="O55" s="43"/>
      <c r="P55" s="150" t="str">
        <f t="shared" si="16"/>
        <v/>
      </c>
      <c r="Q55" s="47" t="str">
        <f>IFERROR(INDEX(PRENOTAZIONI!$R:$R,SMALL(PRENOTAZIONI!$X:$X,52)),"")</f>
        <v/>
      </c>
      <c r="S55" s="78"/>
    </row>
    <row r="56" spans="1:19" ht="22" customHeight="1" x14ac:dyDescent="0.25">
      <c r="A56" s="31" t="str">
        <f>IFERROR(INDEX(PRENOTAZIONI!$A:$A,SMALL(PRENOTAZIONI!$X:$X,53)),"")</f>
        <v/>
      </c>
      <c r="B56" s="31" t="str">
        <f>IFERROR(INDEX(PRENOTAZIONI!$B:$B,SMALL(PRENOTAZIONI!$X:$X,53)),"")</f>
        <v/>
      </c>
      <c r="C56" s="32" t="str">
        <f t="shared" si="11"/>
        <v/>
      </c>
      <c r="D56" s="34" t="str">
        <f>IFERROR(INDEX(PRENOTAZIONI!$E:$E,SMALL(PRENOTAZIONI!$X:$X,53)),"")</f>
        <v/>
      </c>
      <c r="E56" s="34" t="str">
        <f>IFERROR(INDEX(PRENOTAZIONI!$F:$F,SMALL(PRENOTAZIONI!$X:$X,53)),"")</f>
        <v/>
      </c>
      <c r="F56" s="34" t="str">
        <f>IFERROR(INDEX(PRENOTAZIONI!$G:$G,SMALL(PRENOTAZIONI!$X:$X,53)),"")</f>
        <v/>
      </c>
      <c r="G56" s="35" t="str">
        <f>IFERROR(INDEX(PRENOTAZIONI!$H:$H,SMALL(PRENOTAZIONI!$X:$X,53)),"")</f>
        <v/>
      </c>
      <c r="H56" s="146" t="str">
        <f t="shared" si="12"/>
        <v/>
      </c>
      <c r="I56" s="35" t="str">
        <f t="shared" si="17"/>
        <v/>
      </c>
      <c r="J56" s="149" t="str">
        <f t="shared" si="13"/>
        <v/>
      </c>
      <c r="K56" s="35" t="str">
        <f>IFERROR(INDEX(PRENOTAZIONI!$L:$L,SMALL(PRENOTAZIONI!$X:$X,53)),"")</f>
        <v/>
      </c>
      <c r="L56" s="150" t="str">
        <f t="shared" si="14"/>
        <v/>
      </c>
      <c r="M56" s="35" t="str">
        <f t="shared" si="15"/>
        <v/>
      </c>
      <c r="N56" s="35"/>
      <c r="O56" s="43"/>
      <c r="P56" s="150" t="str">
        <f t="shared" si="16"/>
        <v/>
      </c>
      <c r="Q56" s="47" t="str">
        <f>IFERROR(INDEX(PRENOTAZIONI!$R:$R,SMALL(PRENOTAZIONI!$X:$X,53)),"")</f>
        <v/>
      </c>
      <c r="S56" s="78"/>
    </row>
    <row r="57" spans="1:19" ht="22" customHeight="1" x14ac:dyDescent="0.25">
      <c r="A57" s="31" t="str">
        <f>IFERROR(INDEX(PRENOTAZIONI!$A:$A,SMALL(PRENOTAZIONI!$X:$X,54)),"")</f>
        <v/>
      </c>
      <c r="B57" s="31" t="str">
        <f>IFERROR(INDEX(PRENOTAZIONI!$B:$B,SMALL(PRENOTAZIONI!$X:$X,54)),"")</f>
        <v/>
      </c>
      <c r="C57" s="32" t="str">
        <f t="shared" si="11"/>
        <v/>
      </c>
      <c r="D57" s="34" t="str">
        <f>IFERROR(INDEX(PRENOTAZIONI!$E:$E,SMALL(PRENOTAZIONI!$X:$X,54)),"")</f>
        <v/>
      </c>
      <c r="E57" s="34" t="str">
        <f>IFERROR(INDEX(PRENOTAZIONI!$F:$F,SMALL(PRENOTAZIONI!$X:$X,54)),"")</f>
        <v/>
      </c>
      <c r="F57" s="34" t="str">
        <f>IFERROR(INDEX(PRENOTAZIONI!$G:$G,SMALL(PRENOTAZIONI!$X:$X,54)),"")</f>
        <v/>
      </c>
      <c r="G57" s="35" t="str">
        <f>IFERROR(INDEX(PRENOTAZIONI!$H:$H,SMALL(PRENOTAZIONI!$X:$X,54)),"")</f>
        <v/>
      </c>
      <c r="H57" s="146" t="str">
        <f t="shared" si="12"/>
        <v/>
      </c>
      <c r="I57" s="35" t="str">
        <f t="shared" si="17"/>
        <v/>
      </c>
      <c r="J57" s="149" t="str">
        <f t="shared" si="13"/>
        <v/>
      </c>
      <c r="K57" s="35" t="str">
        <f>IFERROR(INDEX(PRENOTAZIONI!$L:$L,SMALL(PRENOTAZIONI!$X:$X,54)),"")</f>
        <v/>
      </c>
      <c r="L57" s="150" t="str">
        <f t="shared" si="14"/>
        <v/>
      </c>
      <c r="M57" s="35" t="str">
        <f t="shared" si="15"/>
        <v/>
      </c>
      <c r="N57" s="35"/>
      <c r="O57" s="43"/>
      <c r="P57" s="150" t="str">
        <f t="shared" si="16"/>
        <v/>
      </c>
      <c r="Q57" s="47" t="str">
        <f>IFERROR(INDEX(PRENOTAZIONI!$R:$R,SMALL(PRENOTAZIONI!$X:$X,54)),"")</f>
        <v/>
      </c>
      <c r="S57" s="78"/>
    </row>
    <row r="58" spans="1:19" ht="22" customHeight="1" x14ac:dyDescent="0.25">
      <c r="A58" s="31" t="str">
        <f>IFERROR(INDEX(PRENOTAZIONI!$A:$A,SMALL(PRENOTAZIONI!$X:$X,55)),"")</f>
        <v/>
      </c>
      <c r="B58" s="31" t="str">
        <f>IFERROR(INDEX(PRENOTAZIONI!$B:$B,SMALL(PRENOTAZIONI!$X:$X,55)),"")</f>
        <v/>
      </c>
      <c r="C58" s="32" t="str">
        <f t="shared" si="11"/>
        <v/>
      </c>
      <c r="D58" s="34" t="str">
        <f>IFERROR(INDEX(PRENOTAZIONI!$E:$E,SMALL(PRENOTAZIONI!$X:$X,55)),"")</f>
        <v/>
      </c>
      <c r="E58" s="34" t="str">
        <f>IFERROR(INDEX(PRENOTAZIONI!$F:$F,SMALL(PRENOTAZIONI!$X:$X,55)),"")</f>
        <v/>
      </c>
      <c r="F58" s="34" t="str">
        <f>IFERROR(INDEX(PRENOTAZIONI!$G:$G,SMALL(PRENOTAZIONI!$X:$X,55)),"")</f>
        <v/>
      </c>
      <c r="G58" s="35" t="str">
        <f>IFERROR(INDEX(PRENOTAZIONI!$H:$H,SMALL(PRENOTAZIONI!$X:$X,55)),"")</f>
        <v/>
      </c>
      <c r="H58" s="146" t="str">
        <f t="shared" si="12"/>
        <v/>
      </c>
      <c r="I58" s="35" t="str">
        <f t="shared" si="17"/>
        <v/>
      </c>
      <c r="J58" s="149" t="str">
        <f t="shared" si="13"/>
        <v/>
      </c>
      <c r="K58" s="35" t="str">
        <f>IFERROR(INDEX(PRENOTAZIONI!$L:$L,SMALL(PRENOTAZIONI!$X:$X,55)),"")</f>
        <v/>
      </c>
      <c r="L58" s="150" t="str">
        <f t="shared" si="14"/>
        <v/>
      </c>
      <c r="M58" s="35" t="str">
        <f t="shared" si="15"/>
        <v/>
      </c>
      <c r="N58" s="35"/>
      <c r="O58" s="43"/>
      <c r="P58" s="150" t="str">
        <f t="shared" si="16"/>
        <v/>
      </c>
      <c r="Q58" s="47" t="str">
        <f>IFERROR(INDEX(PRENOTAZIONI!$R:$R,SMALL(PRENOTAZIONI!$X:$X,55)),"")</f>
        <v/>
      </c>
      <c r="S58" s="78"/>
    </row>
    <row r="59" spans="1:19" ht="22" customHeight="1" x14ac:dyDescent="0.25">
      <c r="A59" s="31" t="str">
        <f>IFERROR(INDEX(PRENOTAZIONI!$A:$A,SMALL(PRENOTAZIONI!$X:$X,56)),"")</f>
        <v/>
      </c>
      <c r="B59" s="31" t="str">
        <f>IFERROR(INDEX(PRENOTAZIONI!$B:$B,SMALL(PRENOTAZIONI!$X:$X,56)),"")</f>
        <v/>
      </c>
      <c r="C59" s="32" t="str">
        <f t="shared" si="11"/>
        <v/>
      </c>
      <c r="D59" s="34" t="str">
        <f>IFERROR(INDEX(PRENOTAZIONI!$E:$E,SMALL(PRENOTAZIONI!$X:$X,56)),"")</f>
        <v/>
      </c>
      <c r="E59" s="34" t="str">
        <f>IFERROR(INDEX(PRENOTAZIONI!$F:$F,SMALL(PRENOTAZIONI!$X:$X,56)),"")</f>
        <v/>
      </c>
      <c r="F59" s="34" t="str">
        <f>IFERROR(INDEX(PRENOTAZIONI!$G:$G,SMALL(PRENOTAZIONI!$X:$X,56)),"")</f>
        <v/>
      </c>
      <c r="G59" s="35" t="str">
        <f>IFERROR(INDEX(PRENOTAZIONI!$H:$H,SMALL(PRENOTAZIONI!$X:$X,56)),"")</f>
        <v/>
      </c>
      <c r="H59" s="146" t="str">
        <f t="shared" si="12"/>
        <v/>
      </c>
      <c r="I59" s="35" t="str">
        <f t="shared" si="17"/>
        <v/>
      </c>
      <c r="J59" s="149" t="str">
        <f t="shared" si="13"/>
        <v/>
      </c>
      <c r="K59" s="35" t="str">
        <f>IFERROR(INDEX(PRENOTAZIONI!$L:$L,SMALL(PRENOTAZIONI!$X:$X,56)),"")</f>
        <v/>
      </c>
      <c r="L59" s="150" t="str">
        <f t="shared" si="14"/>
        <v/>
      </c>
      <c r="M59" s="35" t="str">
        <f t="shared" si="15"/>
        <v/>
      </c>
      <c r="N59" s="35"/>
      <c r="O59" s="35"/>
      <c r="P59" s="150" t="str">
        <f t="shared" si="16"/>
        <v/>
      </c>
      <c r="Q59" s="47" t="str">
        <f>IFERROR(INDEX(PRENOTAZIONI!$R:$R,SMALL(PRENOTAZIONI!$X:$X,56)),"")</f>
        <v/>
      </c>
      <c r="S59" s="78"/>
    </row>
    <row r="60" spans="1:19" ht="22" customHeight="1" x14ac:dyDescent="0.25">
      <c r="A60" s="31" t="str">
        <f>IFERROR(INDEX(PRENOTAZIONI!$A:$A,SMALL(PRENOTAZIONI!$X:$X,57)),"")</f>
        <v/>
      </c>
      <c r="B60" s="31" t="str">
        <f>IFERROR(INDEX(PRENOTAZIONI!$B:$B,SMALL(PRENOTAZIONI!$X:$X,57)),"")</f>
        <v/>
      </c>
      <c r="C60" s="32" t="str">
        <f t="shared" si="11"/>
        <v/>
      </c>
      <c r="D60" s="34" t="str">
        <f>IFERROR(INDEX(PRENOTAZIONI!$E:$E,SMALL(PRENOTAZIONI!$X:$X,57)),"")</f>
        <v/>
      </c>
      <c r="E60" s="34" t="str">
        <f>IFERROR(INDEX(PRENOTAZIONI!$F:$F,SMALL(PRENOTAZIONI!$X:$X,57)),"")</f>
        <v/>
      </c>
      <c r="F60" s="34" t="str">
        <f>IFERROR(INDEX(PRENOTAZIONI!$G:$G,SMALL(PRENOTAZIONI!$X:$X,57)),"")</f>
        <v/>
      </c>
      <c r="G60" s="35" t="str">
        <f>IFERROR(INDEX(PRENOTAZIONI!$H:$H,SMALL(PRENOTAZIONI!$X:$X,57)),"")</f>
        <v/>
      </c>
      <c r="H60" s="146" t="str">
        <f t="shared" si="12"/>
        <v/>
      </c>
      <c r="I60" s="35" t="str">
        <f t="shared" si="17"/>
        <v/>
      </c>
      <c r="J60" s="149" t="str">
        <f t="shared" si="13"/>
        <v/>
      </c>
      <c r="K60" s="35" t="str">
        <f>IFERROR(INDEX(PRENOTAZIONI!$L:$L,SMALL(PRENOTAZIONI!$X:$X,57)),"")</f>
        <v/>
      </c>
      <c r="L60" s="150" t="str">
        <f t="shared" si="14"/>
        <v/>
      </c>
      <c r="M60" s="35" t="str">
        <f t="shared" si="15"/>
        <v/>
      </c>
      <c r="N60" s="35"/>
      <c r="O60" s="35"/>
      <c r="P60" s="150" t="str">
        <f t="shared" si="16"/>
        <v/>
      </c>
      <c r="Q60" s="47" t="str">
        <f>IFERROR(INDEX(PRENOTAZIONI!$R:$R,SMALL(PRENOTAZIONI!$X:$X,57)),"")</f>
        <v/>
      </c>
      <c r="S60" s="78"/>
    </row>
    <row r="61" spans="1:19" ht="22" customHeight="1" x14ac:dyDescent="0.25">
      <c r="A61" s="31" t="str">
        <f>IFERROR(INDEX(PRENOTAZIONI!$A:$A,SMALL(PRENOTAZIONI!$X:$X,58)),"")</f>
        <v/>
      </c>
      <c r="B61" s="31" t="str">
        <f>IFERROR(INDEX(PRENOTAZIONI!$B:$B,SMALL(PRENOTAZIONI!$X:$X,58)),"")</f>
        <v/>
      </c>
      <c r="C61" s="32" t="str">
        <f t="shared" si="11"/>
        <v/>
      </c>
      <c r="D61" s="34" t="str">
        <f>IFERROR(INDEX(PRENOTAZIONI!$E:$E,SMALL(PRENOTAZIONI!$X:$X,58)),"")</f>
        <v/>
      </c>
      <c r="E61" s="34" t="str">
        <f>IFERROR(INDEX(PRENOTAZIONI!$F:$F,SMALL(PRENOTAZIONI!$X:$X,58)),"")</f>
        <v/>
      </c>
      <c r="F61" s="34" t="str">
        <f>IFERROR(INDEX(PRENOTAZIONI!$G:$G,SMALL(PRENOTAZIONI!$X:$X,58)),"")</f>
        <v/>
      </c>
      <c r="G61" s="35" t="str">
        <f>IFERROR(INDEX(PRENOTAZIONI!$H:$H,SMALL(PRENOTAZIONI!$X:$X,58)),"")</f>
        <v/>
      </c>
      <c r="H61" s="146" t="str">
        <f t="shared" si="12"/>
        <v/>
      </c>
      <c r="I61" s="35" t="str">
        <f t="shared" si="17"/>
        <v/>
      </c>
      <c r="J61" s="149" t="str">
        <f t="shared" si="13"/>
        <v/>
      </c>
      <c r="K61" s="35" t="str">
        <f>IFERROR(INDEX(PRENOTAZIONI!$L:$L,SMALL(PRENOTAZIONI!$X:$X,58)),"")</f>
        <v/>
      </c>
      <c r="L61" s="150" t="str">
        <f t="shared" si="14"/>
        <v/>
      </c>
      <c r="M61" s="35" t="str">
        <f t="shared" si="15"/>
        <v/>
      </c>
      <c r="N61" s="35"/>
      <c r="O61" s="35"/>
      <c r="P61" s="150" t="str">
        <f t="shared" si="16"/>
        <v/>
      </c>
      <c r="Q61" s="47" t="str">
        <f>IFERROR(INDEX(PRENOTAZIONI!$R:$R,SMALL(PRENOTAZIONI!$X:$X,58)),"")</f>
        <v/>
      </c>
      <c r="S61" s="78"/>
    </row>
    <row r="62" spans="1:19" ht="22" customHeight="1" x14ac:dyDescent="0.25">
      <c r="A62" s="31" t="str">
        <f>IFERROR(INDEX(PRENOTAZIONI!$A:$A,SMALL(PRENOTAZIONI!$X:$X,59)),"")</f>
        <v/>
      </c>
      <c r="B62" s="31" t="str">
        <f>IFERROR(INDEX(PRENOTAZIONI!$B:$B,SMALL(PRENOTAZIONI!$X:$X,59)),"")</f>
        <v/>
      </c>
      <c r="C62" s="32" t="str">
        <f t="shared" si="11"/>
        <v/>
      </c>
      <c r="D62" s="34" t="str">
        <f>IFERROR(INDEX(PRENOTAZIONI!$E:$E,SMALL(PRENOTAZIONI!$X:$X,59)),"")</f>
        <v/>
      </c>
      <c r="E62" s="34" t="str">
        <f>IFERROR(INDEX(PRENOTAZIONI!$F:$F,SMALL(PRENOTAZIONI!$X:$X,59)),"")</f>
        <v/>
      </c>
      <c r="F62" s="34" t="str">
        <f>IFERROR(INDEX(PRENOTAZIONI!$G:$G,SMALL(PRENOTAZIONI!$X:$X,59)),"")</f>
        <v/>
      </c>
      <c r="G62" s="35" t="str">
        <f>IFERROR(INDEX(PRENOTAZIONI!$H:$H,SMALL(PRENOTAZIONI!$X:$X,59)),"")</f>
        <v/>
      </c>
      <c r="H62" s="146" t="str">
        <f t="shared" si="12"/>
        <v/>
      </c>
      <c r="I62" s="35" t="str">
        <f t="shared" si="17"/>
        <v/>
      </c>
      <c r="J62" s="149" t="str">
        <f t="shared" si="13"/>
        <v/>
      </c>
      <c r="K62" s="35" t="str">
        <f>IFERROR(INDEX(PRENOTAZIONI!$L:$L,SMALL(PRENOTAZIONI!$X:$X,59)),"")</f>
        <v/>
      </c>
      <c r="L62" s="150" t="str">
        <f t="shared" si="14"/>
        <v/>
      </c>
      <c r="M62" s="35" t="str">
        <f t="shared" si="15"/>
        <v/>
      </c>
      <c r="N62" s="35"/>
      <c r="O62" s="35"/>
      <c r="P62" s="150" t="str">
        <f t="shared" si="16"/>
        <v/>
      </c>
      <c r="Q62" s="47" t="str">
        <f>IFERROR(INDEX(PRENOTAZIONI!$R:$R,SMALL(PRENOTAZIONI!$X:$X,59)),"")</f>
        <v/>
      </c>
      <c r="S62" s="78"/>
    </row>
    <row r="63" spans="1:19" ht="22" customHeight="1" x14ac:dyDescent="0.25">
      <c r="A63" s="31" t="str">
        <f>IFERROR(INDEX(PRENOTAZIONI!$A:$A,SMALL(PRENOTAZIONI!$X:$X,60)),"")</f>
        <v/>
      </c>
      <c r="B63" s="31" t="str">
        <f>IFERROR(INDEX(PRENOTAZIONI!$B:$B,SMALL(PRENOTAZIONI!$X:$X,60)),"")</f>
        <v/>
      </c>
      <c r="C63" s="32" t="str">
        <f t="shared" si="11"/>
        <v/>
      </c>
      <c r="D63" s="34" t="str">
        <f>IFERROR(INDEX(PRENOTAZIONI!$E:$E,SMALL(PRENOTAZIONI!$X:$X,60)),"")</f>
        <v/>
      </c>
      <c r="E63" s="34" t="str">
        <f>IFERROR(INDEX(PRENOTAZIONI!$F:$F,SMALL(PRENOTAZIONI!$X:$X,60)),"")</f>
        <v/>
      </c>
      <c r="F63" s="34" t="str">
        <f>IFERROR(INDEX(PRENOTAZIONI!$G:$G,SMALL(PRENOTAZIONI!$X:$X,60)),"")</f>
        <v/>
      </c>
      <c r="G63" s="35" t="str">
        <f>IFERROR(INDEX(PRENOTAZIONI!$H:$H,SMALL(PRENOTAZIONI!$X:$X,60)),"")</f>
        <v/>
      </c>
      <c r="H63" s="146" t="str">
        <f t="shared" si="12"/>
        <v/>
      </c>
      <c r="I63" s="35" t="str">
        <f t="shared" si="17"/>
        <v/>
      </c>
      <c r="J63" s="149" t="str">
        <f t="shared" si="13"/>
        <v/>
      </c>
      <c r="K63" s="35" t="str">
        <f>IFERROR(INDEX(PRENOTAZIONI!$L:$L,SMALL(PRENOTAZIONI!$X:$X,60)),"")</f>
        <v/>
      </c>
      <c r="L63" s="150" t="str">
        <f t="shared" si="14"/>
        <v/>
      </c>
      <c r="M63" s="35" t="str">
        <f t="shared" si="15"/>
        <v/>
      </c>
      <c r="N63" s="35"/>
      <c r="O63" s="35"/>
      <c r="P63" s="150" t="str">
        <f t="shared" si="16"/>
        <v/>
      </c>
      <c r="Q63" s="47" t="str">
        <f>IFERROR(INDEX(PRENOTAZIONI!$R:$R,SMALL(PRENOTAZIONI!$X:$X,60)),"")</f>
        <v/>
      </c>
      <c r="S63" s="78"/>
    </row>
    <row r="64" spans="1:19" ht="19" customHeight="1" x14ac:dyDescent="0.25">
      <c r="S64" s="78"/>
    </row>
    <row r="65" spans="19:19" ht="19" customHeight="1" x14ac:dyDescent="0.25">
      <c r="S65" s="78"/>
    </row>
  </sheetData>
  <autoFilter ref="A3:P63" xr:uid="{00000000-0009-0000-0000-00000C000000}"/>
  <pageMargins left="0.75" right="0.75" top="1" bottom="1" header="0.5" footer="0.5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95959"/>
  </sheetPr>
  <dimension ref="A1:BH6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7" customWidth="1"/>
    <col min="4" max="4" width="22" customWidth="1"/>
    <col min="5" max="5" width="10" customWidth="1"/>
    <col min="6" max="6" width="12" customWidth="1"/>
    <col min="7" max="9" width="11" customWidth="1"/>
    <col min="10" max="10" width="13" customWidth="1"/>
    <col min="11" max="11" width="8" customWidth="1"/>
    <col min="12" max="12" width="10" customWidth="1"/>
    <col min="13" max="13" width="13" customWidth="1"/>
    <col min="14" max="14" width="10" customWidth="1"/>
    <col min="15" max="15" width="20" customWidth="1"/>
    <col min="16" max="16" width="10" customWidth="1"/>
    <col min="17" max="17" width="18" customWidth="1"/>
    <col min="18" max="18" width="28" customWidth="1"/>
    <col min="19" max="20" width="11" customWidth="1"/>
    <col min="21" max="21" width="7" customWidth="1"/>
    <col min="22" max="22" width="20" customWidth="1"/>
    <col min="23" max="23" width="10" customWidth="1"/>
    <col min="24" max="24" width="11" customWidth="1"/>
    <col min="25" max="25" width="12" customWidth="1"/>
    <col min="26" max="27" width="10" customWidth="1"/>
    <col min="28" max="29" width="12" customWidth="1"/>
    <col min="30" max="30" width="13" customWidth="1"/>
    <col min="31" max="31" width="2" customWidth="1"/>
    <col min="32" max="32" width="13" customWidth="1"/>
    <col min="33" max="34" width="8" customWidth="1"/>
    <col min="35" max="35" width="13" customWidth="1"/>
    <col min="36" max="36" width="11" customWidth="1"/>
    <col min="37" max="37" width="10" customWidth="1"/>
    <col min="38" max="38" width="12" customWidth="1"/>
    <col min="39" max="41" width="11" customWidth="1"/>
  </cols>
  <sheetData>
    <row r="1" spans="1:60" ht="28" customHeight="1" x14ac:dyDescent="0.25">
      <c r="A1" s="1" t="s">
        <v>299</v>
      </c>
      <c r="B1" s="2"/>
      <c r="C1" s="2"/>
      <c r="D1" s="2"/>
      <c r="E1" s="2"/>
      <c r="F1" s="2"/>
      <c r="G1" s="2"/>
      <c r="I1" s="2"/>
      <c r="J1" s="148"/>
      <c r="K1" s="2"/>
      <c r="L1" s="2"/>
      <c r="M1" s="2"/>
      <c r="N1" s="2"/>
      <c r="O1" s="2"/>
      <c r="P1" s="2"/>
      <c r="Q1" s="2"/>
      <c r="R1" s="2"/>
      <c r="T1" s="77"/>
      <c r="AF1" s="38"/>
      <c r="AG1" s="110" t="s">
        <v>300</v>
      </c>
      <c r="AH1" s="108"/>
      <c r="AI1" s="108"/>
      <c r="AJ1" s="108"/>
      <c r="AK1" s="108"/>
      <c r="AL1" s="108"/>
      <c r="AM1" s="108"/>
      <c r="AN1" s="108"/>
      <c r="AO1" s="109"/>
      <c r="AP1" s="109"/>
    </row>
    <row r="2" spans="1:60" ht="4" customHeight="1" x14ac:dyDescent="0.25">
      <c r="A2" s="38"/>
      <c r="B2" s="39"/>
      <c r="C2" s="39"/>
      <c r="D2" s="39"/>
      <c r="E2" s="39"/>
      <c r="F2" s="39"/>
      <c r="G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7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</row>
    <row r="3" spans="1:60" ht="30" customHeight="1" x14ac:dyDescent="0.2">
      <c r="A3" s="27" t="s">
        <v>1</v>
      </c>
      <c r="B3" s="27" t="s">
        <v>2</v>
      </c>
      <c r="C3" s="27" t="s">
        <v>3</v>
      </c>
      <c r="D3" s="27" t="s">
        <v>5</v>
      </c>
      <c r="E3" s="27" t="s">
        <v>248</v>
      </c>
      <c r="F3" s="27" t="s">
        <v>7</v>
      </c>
      <c r="G3" s="27" t="s">
        <v>8</v>
      </c>
      <c r="H3" s="145" t="s">
        <v>9</v>
      </c>
      <c r="I3" s="27" t="s">
        <v>249</v>
      </c>
      <c r="J3" s="145" t="s">
        <v>250</v>
      </c>
      <c r="K3" s="27" t="s">
        <v>11</v>
      </c>
      <c r="L3" s="27" t="s">
        <v>12</v>
      </c>
      <c r="M3" s="27" t="s">
        <v>251</v>
      </c>
      <c r="N3" s="27" t="s">
        <v>252</v>
      </c>
      <c r="O3" s="27" t="s">
        <v>253</v>
      </c>
      <c r="P3" s="27" t="s">
        <v>254</v>
      </c>
      <c r="Q3" s="27" t="s">
        <v>255</v>
      </c>
      <c r="R3" s="27" t="s">
        <v>18</v>
      </c>
      <c r="S3" s="3"/>
      <c r="T3" s="83" t="s">
        <v>1</v>
      </c>
      <c r="U3" s="3" t="s">
        <v>2</v>
      </c>
      <c r="V3" s="3" t="s">
        <v>3</v>
      </c>
      <c r="W3" s="3" t="s">
        <v>5</v>
      </c>
      <c r="X3" s="3" t="s">
        <v>248</v>
      </c>
      <c r="Y3" s="3" t="s">
        <v>8</v>
      </c>
      <c r="Z3" s="3" t="s">
        <v>11</v>
      </c>
      <c r="AA3" s="3" t="s">
        <v>256</v>
      </c>
      <c r="AB3" s="3" t="s">
        <v>257</v>
      </c>
      <c r="AC3" s="3" t="s">
        <v>252</v>
      </c>
      <c r="AD3" s="3" t="s">
        <v>255</v>
      </c>
      <c r="AF3" s="44"/>
      <c r="AG3" s="111" t="s">
        <v>175</v>
      </c>
      <c r="AH3" s="111" t="s">
        <v>258</v>
      </c>
      <c r="AI3" s="111" t="s">
        <v>179</v>
      </c>
      <c r="AJ3" s="111" t="s">
        <v>176</v>
      </c>
      <c r="AK3" s="111" t="s">
        <v>259</v>
      </c>
      <c r="AL3" s="111" t="s">
        <v>260</v>
      </c>
      <c r="AM3" s="111" t="s">
        <v>261</v>
      </c>
      <c r="AN3" s="107" t="s">
        <v>251</v>
      </c>
      <c r="AO3" s="107" t="s">
        <v>250</v>
      </c>
      <c r="AP3" s="112" t="s">
        <v>262</v>
      </c>
    </row>
    <row r="4" spans="1:60" ht="20" customHeight="1" x14ac:dyDescent="0.2">
      <c r="A4" s="31" t="str">
        <f>IFERROR(INDEX(PRENOTAZIONI!$A:$A,SMALL(PRENOTAZIONI!$AD:$AD,1)),"")</f>
        <v/>
      </c>
      <c r="B4" s="31" t="str">
        <f>IFERROR(INDEX(PRENOTAZIONI!$B:$B,SMALL(PRENOTAZIONI!$AD:$AD,1)),"")</f>
        <v/>
      </c>
      <c r="C4" s="32" t="str">
        <f t="shared" ref="C4:C35" si="0">IF(A4&lt;&gt;"",B4-A4,"")</f>
        <v/>
      </c>
      <c r="D4" s="34" t="str">
        <f>IFERROR(INDEX(PRENOTAZIONI!$E:$E,SMALL(PRENOTAZIONI!$AD:$AD,1)),"")</f>
        <v/>
      </c>
      <c r="E4" s="34" t="str">
        <f>IFERROR(INDEX(PRENOTAZIONI!$F:$F,SMALL(PRENOTAZIONI!$AD:$AD,1)),"")</f>
        <v/>
      </c>
      <c r="F4" s="34" t="str">
        <f>IFERROR(INDEX(PRENOTAZIONI!$G:$G,SMALL(PRENOTAZIONI!$AD:$AD,1)),"")</f>
        <v/>
      </c>
      <c r="G4" s="35" t="str">
        <f>IFERROR(INDEX(PRENOTAZIONI!$H:$H,SMALL(PRENOTAZIONI!$AD:$AD,1)),"")</f>
        <v/>
      </c>
      <c r="H4" s="146" t="str">
        <f t="shared" ref="H4:H35" si="1">IF(AND(G4&lt;&gt;"",C4&lt;&gt;"",C4&lt;&gt;0),G4/C4,"")</f>
        <v/>
      </c>
      <c r="I4" s="35" t="str">
        <f t="shared" ref="I4:I35" si="2">IF(G4="","",IF(NOT(ISERROR(SEARCH("diretta",F4))),0,IF(NOT(ISERROR(SEARCH("booking",F4))),G4*0.15,IF(NOT(ISERROR(SEARCH("airbnb",F4))),G4*0.155,""))))</f>
        <v/>
      </c>
      <c r="J4" s="149" t="str">
        <f t="shared" ref="J4:J35" si="3">IF(H4&lt;&gt;"",H4*0.22,"")</f>
        <v/>
      </c>
      <c r="K4" s="34" t="str">
        <f>IFERROR(INDEX(PRENOTAZIONI!$K:$K,SMALL(PRENOTAZIONI!$AD:$AD,1)),"")</f>
        <v/>
      </c>
      <c r="L4" s="35" t="str">
        <f>IFERROR(INDEX(PRENOTAZIONI!$L:$L,SMALL(PRENOTAZIONI!$AD:$AD,1)),"")</f>
        <v/>
      </c>
      <c r="M4" s="150" t="str">
        <f t="shared" ref="M4:M35" si="4">IF(G4&lt;&gt;"",G4*0.21,"")</f>
        <v/>
      </c>
      <c r="N4" s="35" t="str">
        <f t="shared" ref="N4:N35" si="5">IF(G4&lt;&gt;"",G4*0.25,"")</f>
        <v/>
      </c>
      <c r="O4" s="35"/>
      <c r="P4" s="43"/>
      <c r="Q4" s="150" t="str">
        <f t="shared" ref="Q4:Q35" si="6">IF(G4&lt;&gt;"",G4-I4-J4-M4-N4-O4,"")</f>
        <v/>
      </c>
      <c r="R4" s="34" t="str">
        <f>IFERROR(INDEX(PRENOTAZIONI!$R:$R,SMALL(PRENOTAZIONI!$AD:$AD,1)),"")</f>
        <v/>
      </c>
      <c r="S4" s="31"/>
      <c r="T4" s="80" t="str">
        <f>IFERROR(INDEX(PRENOTAZIONI!$A:$A,SMALL(PRENOTAZIONI!$AR:$AR,1)),"")</f>
        <v/>
      </c>
      <c r="U4" s="31" t="str">
        <f>IFERROR(INDEX(PRENOTAZIONI!$B:$B,SMALL(PRENOTAZIONI!$AR:$AR,1)),"")</f>
        <v/>
      </c>
      <c r="V4" s="32" t="str">
        <f t="shared" ref="V4:V33" si="7">IF(T4&lt;&gt;"",U4-T4,"")</f>
        <v/>
      </c>
      <c r="W4" s="34" t="str">
        <f>IFERROR(INDEX(PRENOTAZIONI!$E:$E,SMALL(PRENOTAZIONI!$AR:$AR,1)),"")</f>
        <v/>
      </c>
      <c r="X4" s="34" t="str">
        <f>IFERROR(INDEX(PRENOTAZIONI!$F:$F,SMALL(PRENOTAZIONI!$AR:$AR,1)),"")</f>
        <v/>
      </c>
      <c r="Y4" s="35" t="str">
        <f>IFERROR(INDEX(PRENOTAZIONI!$H:$H,SMALL(PRENOTAZIONI!$AR:$AR,1)),"")</f>
        <v/>
      </c>
      <c r="Z4" s="34" t="str">
        <f>IFERROR(INDEX(PRENOTAZIONI!$K:$K,SMALL(PRENOTAZIONI!$AR:$AR,1)),"")</f>
        <v/>
      </c>
      <c r="AA4" s="34"/>
      <c r="AB4" s="34"/>
      <c r="AC4" s="40" t="str">
        <f t="shared" ref="AC4:AC33" si="8">IF(X4&lt;&gt;"",X4*0.25,"")</f>
        <v/>
      </c>
      <c r="AD4" s="41" t="str">
        <f t="shared" ref="AD4:AD33" si="9">IF(X4&lt;&gt;"",X4-AB4,"")</f>
        <v/>
      </c>
      <c r="AF4" s="38"/>
      <c r="AG4" s="113" t="s">
        <v>174</v>
      </c>
      <c r="AH4" s="114">
        <f>SUMPRODUCT((MONTH(PRENOTAZIONI!$A$3:$A$262)=1)*(YEAR(PRENOTAZIONI!$A$3:$A$262)=2026)*(PRENOTAZIONI!$D$3:$D$262="White Cottage"))</f>
        <v>0</v>
      </c>
      <c r="AI4" s="114">
        <f>SUMPRODUCT((PRENOTAZIONI!$A$3:$A$262&lt;DATE(2026,2,1))*(PRENOTAZIONI!$B$3:$B$262&gt;DATE(2026,1,1))*(YEAR(PRENOTAZIONI!$A$3:$A$262)=2026)*(PRENOTAZIONI!$D$3:$D$262="White Cottage")*((PRENOTAZIONI!$B$3:$B$262*(PRENOTAZIONI!$B$3:$B$262&lt;DATE(2026,2,1))+DATE(2026,2,1)*(PRENOTAZIONI!$B$3:$B$262&gt;=DATE(2026,2,1)))-(PRENOTAZIONI!$A$3:$A$262*(PRENOTAZIONI!$A$3:$A$262&gt;DATE(2026,1,1))+DATE(2026,1,1)*(PRENOTAZIONI!$A$3:$A$262&lt;=DATE(2026,1,1)))))</f>
        <v>0</v>
      </c>
      <c r="AJ4" s="151">
        <f>SUMIF(A4:A33,"&gt;="&amp;DATE(2026,1,1),G4:G33)-SUMIF(A4:A33,"&gt;="&amp;DATE(2026,2,1),G4:G33)</f>
        <v>0</v>
      </c>
      <c r="AK4" s="151">
        <f>SUMIF(A4:A33,"&gt;="&amp;DATE(2026,1,1),I4:I33)-SUMIF(A4:A33,"&gt;="&amp;DATE(2026,2,1),I4:I33)</f>
        <v>0</v>
      </c>
      <c r="AL4" s="151">
        <f>SUMIF(A4:A33,"&gt;="&amp;DATE(2026,1,1),L4:L33)-SUMIF(A4:A33,"&gt;="&amp;DATE(2026,2,1),L4:L33)</f>
        <v>0</v>
      </c>
      <c r="AM4" s="151">
        <f>SUMIF(A4:A33,"&gt;="&amp;DATE(2026,1,1),N4:N33)-SUMIF(A4:A33,"&gt;="&amp;DATE(2026,2,1),N4:N33)</f>
        <v>0</v>
      </c>
      <c r="AN4" s="152">
        <f>SUMIF(A4:A33,"&gt;="&amp;DATE(2026,1,1),M4:M33)-SUMIF(A4:A33,"&gt;="&amp;DATE(2026,2,1),M4:M33)</f>
        <v>0</v>
      </c>
      <c r="AO4" s="152">
        <f>SUMIF(A4:A33,"&gt;="&amp;DATE(2026,1,1),J4:J33)-SUMIF(A4:A33,"&gt;="&amp;DATE(2026,2,1),J4:J33)</f>
        <v>0</v>
      </c>
      <c r="AP4" s="153">
        <f>SUMIF(A4:A33,"&gt;="&amp;DATE(2026,1,1),Q4:Q33)-SUMIF(A4:A33,"&gt;="&amp;DATE(2026,2,1),Q4:Q33)</f>
        <v>0</v>
      </c>
    </row>
    <row r="5" spans="1:60" ht="20" customHeight="1" x14ac:dyDescent="0.2">
      <c r="A5" s="31" t="str">
        <f>IFERROR(INDEX(PRENOTAZIONI!$A:$A,SMALL(PRENOTAZIONI!$AD:$AD,2)),"")</f>
        <v/>
      </c>
      <c r="B5" s="31" t="str">
        <f>IFERROR(INDEX(PRENOTAZIONI!$B:$B,SMALL(PRENOTAZIONI!$AD:$AD,2)),"")</f>
        <v/>
      </c>
      <c r="C5" s="32" t="str">
        <f t="shared" si="0"/>
        <v/>
      </c>
      <c r="D5" s="34" t="str">
        <f>IFERROR(INDEX(PRENOTAZIONI!$E:$E,SMALL(PRENOTAZIONI!$AD:$AD,2)),"")</f>
        <v/>
      </c>
      <c r="E5" s="34" t="str">
        <f>IFERROR(INDEX(PRENOTAZIONI!$F:$F,SMALL(PRENOTAZIONI!$AD:$AD,2)),"")</f>
        <v/>
      </c>
      <c r="F5" s="34" t="str">
        <f>IFERROR(INDEX(PRENOTAZIONI!$G:$G,SMALL(PRENOTAZIONI!$AD:$AD,2)),"")</f>
        <v/>
      </c>
      <c r="G5" s="35" t="str">
        <f>IFERROR(INDEX(PRENOTAZIONI!$H:$H,SMALL(PRENOTAZIONI!$AD:$AD,2)),"")</f>
        <v/>
      </c>
      <c r="H5" s="146" t="str">
        <f t="shared" si="1"/>
        <v/>
      </c>
      <c r="I5" s="35" t="str">
        <f t="shared" si="2"/>
        <v/>
      </c>
      <c r="J5" s="149" t="str">
        <f t="shared" si="3"/>
        <v/>
      </c>
      <c r="K5" s="34" t="str">
        <f>IFERROR(INDEX(PRENOTAZIONI!$K:$K,SMALL(PRENOTAZIONI!$AD:$AD,2)),"")</f>
        <v/>
      </c>
      <c r="L5" s="35" t="str">
        <f>IFERROR(INDEX(PRENOTAZIONI!$L:$L,SMALL(PRENOTAZIONI!$AD:$AD,2)),"")</f>
        <v/>
      </c>
      <c r="M5" s="150" t="str">
        <f t="shared" si="4"/>
        <v/>
      </c>
      <c r="N5" s="35" t="str">
        <f t="shared" si="5"/>
        <v/>
      </c>
      <c r="O5" s="35"/>
      <c r="P5" s="43"/>
      <c r="Q5" s="150" t="str">
        <f t="shared" si="6"/>
        <v/>
      </c>
      <c r="R5" s="34" t="str">
        <f>IFERROR(INDEX(PRENOTAZIONI!$R:$R,SMALL(PRENOTAZIONI!$AD:$AD,2)),"")</f>
        <v/>
      </c>
      <c r="S5" s="31"/>
      <c r="T5" s="80" t="str">
        <f>IFERROR(INDEX(PRENOTAZIONI!$A:$A,SMALL(PRENOTAZIONI!$AR:$AR,2)),"")</f>
        <v/>
      </c>
      <c r="U5" s="31" t="str">
        <f>IFERROR(INDEX(PRENOTAZIONI!$B:$B,SMALL(PRENOTAZIONI!$AR:$AR,2)),"")</f>
        <v/>
      </c>
      <c r="V5" s="32" t="str">
        <f t="shared" si="7"/>
        <v/>
      </c>
      <c r="W5" s="34" t="str">
        <f>IFERROR(INDEX(PRENOTAZIONI!$E:$E,SMALL(PRENOTAZIONI!$AR:$AR,2)),"")</f>
        <v/>
      </c>
      <c r="X5" s="34" t="str">
        <f>IFERROR(INDEX(PRENOTAZIONI!$F:$F,SMALL(PRENOTAZIONI!$AR:$AR,2)),"")</f>
        <v/>
      </c>
      <c r="Y5" s="35" t="str">
        <f>IFERROR(INDEX(PRENOTAZIONI!$H:$H,SMALL(PRENOTAZIONI!$AR:$AR,2)),"")</f>
        <v/>
      </c>
      <c r="Z5" s="34" t="str">
        <f>IFERROR(INDEX(PRENOTAZIONI!$K:$K,SMALL(PRENOTAZIONI!$AR:$AR,2)),"")</f>
        <v/>
      </c>
      <c r="AA5" s="34"/>
      <c r="AB5" s="34"/>
      <c r="AC5" s="40" t="str">
        <f t="shared" si="8"/>
        <v/>
      </c>
      <c r="AD5" s="41" t="str">
        <f t="shared" si="9"/>
        <v/>
      </c>
      <c r="AF5" s="38"/>
      <c r="AG5" s="113" t="s">
        <v>182</v>
      </c>
      <c r="AH5" s="114">
        <f>SUMPRODUCT((MONTH(PRENOTAZIONI!$A$3:$A$262)=2)*(YEAR(PRENOTAZIONI!$A$3:$A$262)=2026)*(PRENOTAZIONI!$D$3:$D$262="White Cottage"))</f>
        <v>0</v>
      </c>
      <c r="AI5" s="114">
        <f>SUMPRODUCT((PRENOTAZIONI!$A$3:$A$262&lt;DATE(2026,3,1))*(PRENOTAZIONI!$B$3:$B$262&gt;DATE(2026,2,1))*(YEAR(PRENOTAZIONI!$A$3:$A$262)=2026)*(PRENOTAZIONI!$D$3:$D$262="White Cottage")*((PRENOTAZIONI!$B$3:$B$262*(PRENOTAZIONI!$B$3:$B$262&lt;DATE(2026,3,1))+DATE(2026,3,1)*(PRENOTAZIONI!$B$3:$B$262&gt;=DATE(2026,3,1)))-(PRENOTAZIONI!$A$3:$A$262*(PRENOTAZIONI!$A$3:$A$262&gt;DATE(2026,2,1))+DATE(2026,2,1)*(PRENOTAZIONI!$A$3:$A$262&lt;=DATE(2026,2,1)))))</f>
        <v>0</v>
      </c>
      <c r="AJ5" s="151">
        <f>SUMIF(A4:A33,"&gt;="&amp;DATE(2026,2,1),G4:G33)-SUMIF(A4:A33,"&gt;="&amp;DATE(2026,3,1),G4:G33)</f>
        <v>0</v>
      </c>
      <c r="AK5" s="151">
        <f>SUMIF(A4:A33,"&gt;="&amp;DATE(2026,2,1),I4:I33)-SUMIF(A4:A33,"&gt;="&amp;DATE(2026,3,1),I4:I33)</f>
        <v>0</v>
      </c>
      <c r="AL5" s="151">
        <f>SUMIF(A4:A33,"&gt;="&amp;DATE(2026,2,1),L4:L33)-SUMIF(A4:A33,"&gt;="&amp;DATE(2026,3,1),L4:L33)</f>
        <v>0</v>
      </c>
      <c r="AM5" s="151">
        <f>SUMIF(A4:A33,"&gt;="&amp;DATE(2026,2,1),N4:N33)-SUMIF(A4:A33,"&gt;="&amp;DATE(2026,3,1),N4:N33)</f>
        <v>0</v>
      </c>
      <c r="AN5" s="152">
        <f>SUMIF(A4:A33,"&gt;="&amp;DATE(2026,2,1),M4:M33)-SUMIF(A4:A33,"&gt;="&amp;DATE(2026,3,1),M4:M33)</f>
        <v>0</v>
      </c>
      <c r="AO5" s="152">
        <f>SUMIF(A4:A33,"&gt;="&amp;DATE(2026,2,1),J4:J33)-SUMIF(A4:A33,"&gt;="&amp;DATE(2026,3,1),J4:J33)</f>
        <v>0</v>
      </c>
      <c r="AP5" s="153">
        <f>SUMIF(A4:A33,"&gt;="&amp;DATE(2026,2,1),Q4:Q33)-SUMIF(A4:A33,"&gt;="&amp;DATE(2026,3,1),Q4:Q33)</f>
        <v>0</v>
      </c>
    </row>
    <row r="6" spans="1:60" ht="20" customHeight="1" x14ac:dyDescent="0.2">
      <c r="A6" s="31" t="str">
        <f>IFERROR(INDEX(PRENOTAZIONI!$A:$A,SMALL(PRENOTAZIONI!$AD:$AD,3)),"")</f>
        <v/>
      </c>
      <c r="B6" s="31" t="str">
        <f>IFERROR(INDEX(PRENOTAZIONI!$B:$B,SMALL(PRENOTAZIONI!$AD:$AD,3)),"")</f>
        <v/>
      </c>
      <c r="C6" s="32" t="str">
        <f t="shared" si="0"/>
        <v/>
      </c>
      <c r="D6" s="34" t="str">
        <f>IFERROR(INDEX(PRENOTAZIONI!$E:$E,SMALL(PRENOTAZIONI!$AD:$AD,3)),"")</f>
        <v/>
      </c>
      <c r="E6" s="34" t="str">
        <f>IFERROR(INDEX(PRENOTAZIONI!$F:$F,SMALL(PRENOTAZIONI!$AD:$AD,3)),"")</f>
        <v/>
      </c>
      <c r="F6" s="34" t="str">
        <f>IFERROR(INDEX(PRENOTAZIONI!$G:$G,SMALL(PRENOTAZIONI!$AD:$AD,3)),"")</f>
        <v/>
      </c>
      <c r="G6" s="35" t="str">
        <f>IFERROR(INDEX(PRENOTAZIONI!$H:$H,SMALL(PRENOTAZIONI!$AD:$AD,3)),"")</f>
        <v/>
      </c>
      <c r="H6" s="146" t="str">
        <f t="shared" si="1"/>
        <v/>
      </c>
      <c r="I6" s="35" t="str">
        <f t="shared" si="2"/>
        <v/>
      </c>
      <c r="J6" s="149" t="str">
        <f t="shared" si="3"/>
        <v/>
      </c>
      <c r="K6" s="34" t="str">
        <f>IFERROR(INDEX(PRENOTAZIONI!$K:$K,SMALL(PRENOTAZIONI!$AD:$AD,3)),"")</f>
        <v/>
      </c>
      <c r="L6" s="35" t="str">
        <f>IFERROR(INDEX(PRENOTAZIONI!$L:$L,SMALL(PRENOTAZIONI!$AD:$AD,3)),"")</f>
        <v/>
      </c>
      <c r="M6" s="150" t="str">
        <f t="shared" si="4"/>
        <v/>
      </c>
      <c r="N6" s="35" t="str">
        <f t="shared" si="5"/>
        <v/>
      </c>
      <c r="O6" s="35"/>
      <c r="P6" s="43"/>
      <c r="Q6" s="150" t="str">
        <f t="shared" si="6"/>
        <v/>
      </c>
      <c r="R6" s="34" t="str">
        <f>IFERROR(INDEX(PRENOTAZIONI!$R:$R,SMALL(PRENOTAZIONI!$AD:$AD,3)),"")</f>
        <v/>
      </c>
      <c r="S6" s="31"/>
      <c r="T6" s="80" t="str">
        <f>IFERROR(INDEX(PRENOTAZIONI!$A:$A,SMALL(PRENOTAZIONI!$AR:$AR,3)),"")</f>
        <v/>
      </c>
      <c r="U6" s="31" t="str">
        <f>IFERROR(INDEX(PRENOTAZIONI!$B:$B,SMALL(PRENOTAZIONI!$AR:$AR,3)),"")</f>
        <v/>
      </c>
      <c r="V6" s="32" t="str">
        <f t="shared" si="7"/>
        <v/>
      </c>
      <c r="W6" s="34" t="str">
        <f>IFERROR(INDEX(PRENOTAZIONI!$E:$E,SMALL(PRENOTAZIONI!$AR:$AR,3)),"")</f>
        <v/>
      </c>
      <c r="X6" s="34" t="str">
        <f>IFERROR(INDEX(PRENOTAZIONI!$F:$F,SMALL(PRENOTAZIONI!$AR:$AR,3)),"")</f>
        <v/>
      </c>
      <c r="Y6" s="35" t="str">
        <f>IFERROR(INDEX(PRENOTAZIONI!$H:$H,SMALL(PRENOTAZIONI!$AR:$AR,3)),"")</f>
        <v/>
      </c>
      <c r="Z6" s="34" t="str">
        <f>IFERROR(INDEX(PRENOTAZIONI!$K:$K,SMALL(PRENOTAZIONI!$AR:$AR,3)),"")</f>
        <v/>
      </c>
      <c r="AA6" s="34"/>
      <c r="AB6" s="34"/>
      <c r="AC6" s="40" t="str">
        <f t="shared" si="8"/>
        <v/>
      </c>
      <c r="AD6" s="41" t="str">
        <f t="shared" si="9"/>
        <v/>
      </c>
      <c r="AF6" s="38"/>
      <c r="AG6" s="113" t="s">
        <v>183</v>
      </c>
      <c r="AH6" s="114">
        <f>SUMPRODUCT((MONTH(PRENOTAZIONI!$A$3:$A$262)=3)*(YEAR(PRENOTAZIONI!$A$3:$A$262)=2026)*(PRENOTAZIONI!$D$3:$D$262="White Cottage"))</f>
        <v>0</v>
      </c>
      <c r="AI6" s="114">
        <f>SUMPRODUCT((PRENOTAZIONI!$A$3:$A$262&lt;DATE(2026,4,1))*(PRENOTAZIONI!$B$3:$B$262&gt;DATE(2026,3,1))*(YEAR(PRENOTAZIONI!$A$3:$A$262)=2026)*(PRENOTAZIONI!$D$3:$D$262="White Cottage")*((PRENOTAZIONI!$B$3:$B$262*(PRENOTAZIONI!$B$3:$B$262&lt;DATE(2026,4,1))+DATE(2026,4,1)*(PRENOTAZIONI!$B$3:$B$262&gt;=DATE(2026,4,1)))-(PRENOTAZIONI!$A$3:$A$262*(PRENOTAZIONI!$A$3:$A$262&gt;DATE(2026,3,1))+DATE(2026,3,1)*(PRENOTAZIONI!$A$3:$A$262&lt;=DATE(2026,3,1)))))</f>
        <v>0</v>
      </c>
      <c r="AJ6" s="151">
        <f>SUMIF(A4:A33,"&gt;="&amp;DATE(2026,3,1),G4:G33)-SUMIF(A4:A33,"&gt;="&amp;DATE(2026,4,1),G4:G33)</f>
        <v>0</v>
      </c>
      <c r="AK6" s="151">
        <f>SUMIF(A4:A33,"&gt;="&amp;DATE(2026,3,1),I4:I33)-SUMIF(A4:A33,"&gt;="&amp;DATE(2026,4,1),I4:I33)</f>
        <v>0</v>
      </c>
      <c r="AL6" s="151">
        <f>SUMIF(A4:A33,"&gt;="&amp;DATE(2026,3,1),L4:L33)-SUMIF(A4:A33,"&gt;="&amp;DATE(2026,4,1),L4:L33)</f>
        <v>0</v>
      </c>
      <c r="AM6" s="151">
        <f>SUMIF(A4:A33,"&gt;="&amp;DATE(2026,3,1),N4:N33)-SUMIF(A4:A33,"&gt;="&amp;DATE(2026,4,1),N4:N33)</f>
        <v>0</v>
      </c>
      <c r="AN6" s="152">
        <f>SUMIF(A4:A33,"&gt;="&amp;DATE(2026,3,1),M4:M33)-SUMIF(A4:A33,"&gt;="&amp;DATE(2026,4,1),M4:M33)</f>
        <v>0</v>
      </c>
      <c r="AO6" s="152">
        <f>SUMIF(A4:A33,"&gt;="&amp;DATE(2026,3,1),J4:J33)-SUMIF(A4:A33,"&gt;="&amp;DATE(2026,4,1),J4:J33)</f>
        <v>0</v>
      </c>
      <c r="AP6" s="153">
        <f>SUMIF(A4:A33,"&gt;="&amp;DATE(2026,3,1),Q4:Q33)-SUMIF(A4:A33,"&gt;="&amp;DATE(2026,4,1),Q4:Q33)</f>
        <v>0</v>
      </c>
    </row>
    <row r="7" spans="1:60" ht="20" customHeight="1" x14ac:dyDescent="0.2">
      <c r="A7" s="31" t="str">
        <f>IFERROR(INDEX(PRENOTAZIONI!$A:$A,SMALL(PRENOTAZIONI!$AD:$AD,4)),"")</f>
        <v/>
      </c>
      <c r="B7" s="31" t="str">
        <f>IFERROR(INDEX(PRENOTAZIONI!$B:$B,SMALL(PRENOTAZIONI!$AD:$AD,4)),"")</f>
        <v/>
      </c>
      <c r="C7" s="32" t="str">
        <f t="shared" si="0"/>
        <v/>
      </c>
      <c r="D7" s="34" t="str">
        <f>IFERROR(INDEX(PRENOTAZIONI!$E:$E,SMALL(PRENOTAZIONI!$AD:$AD,4)),"")</f>
        <v/>
      </c>
      <c r="E7" s="34" t="str">
        <f>IFERROR(INDEX(PRENOTAZIONI!$F:$F,SMALL(PRENOTAZIONI!$AD:$AD,4)),"")</f>
        <v/>
      </c>
      <c r="F7" s="34" t="str">
        <f>IFERROR(INDEX(PRENOTAZIONI!$G:$G,SMALL(PRENOTAZIONI!$AD:$AD,4)),"")</f>
        <v/>
      </c>
      <c r="G7" s="35" t="str">
        <f>IFERROR(INDEX(PRENOTAZIONI!$H:$H,SMALL(PRENOTAZIONI!$AD:$AD,4)),"")</f>
        <v/>
      </c>
      <c r="H7" s="146" t="str">
        <f t="shared" si="1"/>
        <v/>
      </c>
      <c r="I7" s="35" t="str">
        <f t="shared" si="2"/>
        <v/>
      </c>
      <c r="J7" s="149" t="str">
        <f t="shared" si="3"/>
        <v/>
      </c>
      <c r="K7" s="34" t="str">
        <f>IFERROR(INDEX(PRENOTAZIONI!$K:$K,SMALL(PRENOTAZIONI!$AD:$AD,4)),"")</f>
        <v/>
      </c>
      <c r="L7" s="35" t="str">
        <f>IFERROR(INDEX(PRENOTAZIONI!$L:$L,SMALL(PRENOTAZIONI!$AD:$AD,4)),"")</f>
        <v/>
      </c>
      <c r="M7" s="150" t="str">
        <f t="shared" si="4"/>
        <v/>
      </c>
      <c r="N7" s="35" t="str">
        <f t="shared" si="5"/>
        <v/>
      </c>
      <c r="O7" s="35"/>
      <c r="P7" s="43"/>
      <c r="Q7" s="150" t="str">
        <f t="shared" si="6"/>
        <v/>
      </c>
      <c r="R7" s="34" t="str">
        <f>IFERROR(INDEX(PRENOTAZIONI!$R:$R,SMALL(PRENOTAZIONI!$AD:$AD,4)),"")</f>
        <v/>
      </c>
      <c r="S7" s="31"/>
      <c r="T7" s="80" t="str">
        <f>IFERROR(INDEX(PRENOTAZIONI!$A:$A,SMALL(PRENOTAZIONI!$AR:$AR,4)),"")</f>
        <v/>
      </c>
      <c r="U7" s="31" t="str">
        <f>IFERROR(INDEX(PRENOTAZIONI!$B:$B,SMALL(PRENOTAZIONI!$AR:$AR,4)),"")</f>
        <v/>
      </c>
      <c r="V7" s="32" t="str">
        <f t="shared" si="7"/>
        <v/>
      </c>
      <c r="W7" s="34" t="str">
        <f>IFERROR(INDEX(PRENOTAZIONI!$E:$E,SMALL(PRENOTAZIONI!$AR:$AR,4)),"")</f>
        <v/>
      </c>
      <c r="X7" s="34" t="str">
        <f>IFERROR(INDEX(PRENOTAZIONI!$F:$F,SMALL(PRENOTAZIONI!$AR:$AR,4)),"")</f>
        <v/>
      </c>
      <c r="Y7" s="35" t="str">
        <f>IFERROR(INDEX(PRENOTAZIONI!$H:$H,SMALL(PRENOTAZIONI!$AR:$AR,4)),"")</f>
        <v/>
      </c>
      <c r="Z7" s="34" t="str">
        <f>IFERROR(INDEX(PRENOTAZIONI!$K:$K,SMALL(PRENOTAZIONI!$AR:$AR,4)),"")</f>
        <v/>
      </c>
      <c r="AA7" s="34"/>
      <c r="AB7" s="34"/>
      <c r="AC7" s="40" t="str">
        <f t="shared" si="8"/>
        <v/>
      </c>
      <c r="AD7" s="41" t="str">
        <f t="shared" si="9"/>
        <v/>
      </c>
      <c r="AF7" s="38"/>
      <c r="AG7" s="113" t="s">
        <v>184</v>
      </c>
      <c r="AH7" s="114">
        <f>SUMPRODUCT((MONTH(PRENOTAZIONI!$A$3:$A$262)=4)*(YEAR(PRENOTAZIONI!$A$3:$A$262)=2026)*(PRENOTAZIONI!$D$3:$D$262="White Cottage"))</f>
        <v>0</v>
      </c>
      <c r="AI7" s="114">
        <f>SUMPRODUCT((PRENOTAZIONI!$A$3:$A$262&lt;DATE(2026,5,1))*(PRENOTAZIONI!$B$3:$B$262&gt;DATE(2026,4,1))*(YEAR(PRENOTAZIONI!$A$3:$A$262)=2026)*(PRENOTAZIONI!$D$3:$D$262="White Cottage")*((PRENOTAZIONI!$B$3:$B$262*(PRENOTAZIONI!$B$3:$B$262&lt;DATE(2026,5,1))+DATE(2026,5,1)*(PRENOTAZIONI!$B$3:$B$262&gt;=DATE(2026,5,1)))-(PRENOTAZIONI!$A$3:$A$262*(PRENOTAZIONI!$A$3:$A$262&gt;DATE(2026,4,1))+DATE(2026,4,1)*(PRENOTAZIONI!$A$3:$A$262&lt;=DATE(2026,4,1)))))</f>
        <v>0</v>
      </c>
      <c r="AJ7" s="151">
        <f>SUMIF(A4:A33,"&gt;="&amp;DATE(2026,4,1),G4:G33)-SUMIF(A4:A33,"&gt;="&amp;DATE(2026,5,1),G4:G33)</f>
        <v>0</v>
      </c>
      <c r="AK7" s="151">
        <f>SUMIF(A4:A33,"&gt;="&amp;DATE(2026,4,1),I4:I33)-SUMIF(A4:A33,"&gt;="&amp;DATE(2026,5,1),I4:I33)</f>
        <v>0</v>
      </c>
      <c r="AL7" s="151">
        <f>SUMIF(A4:A33,"&gt;="&amp;DATE(2026,4,1),L4:L33)-SUMIF(A4:A33,"&gt;="&amp;DATE(2026,5,1),L4:L33)</f>
        <v>0</v>
      </c>
      <c r="AM7" s="151">
        <f>SUMIF(A4:A33,"&gt;="&amp;DATE(2026,4,1),N4:N33)-SUMIF(A4:A33,"&gt;="&amp;DATE(2026,5,1),N4:N33)</f>
        <v>0</v>
      </c>
      <c r="AN7" s="152">
        <f>SUMIF(A4:A33,"&gt;="&amp;DATE(2026,4,1),M4:M33)-SUMIF(A4:A33,"&gt;="&amp;DATE(2026,5,1),M4:M33)</f>
        <v>0</v>
      </c>
      <c r="AO7" s="152">
        <f>SUMIF(A4:A33,"&gt;="&amp;DATE(2026,4,1),J4:J33)-SUMIF(A4:A33,"&gt;="&amp;DATE(2026,5,1),J4:J33)</f>
        <v>0</v>
      </c>
      <c r="AP7" s="153">
        <f>SUMIF(A4:A33,"&gt;="&amp;DATE(2026,4,1),Q4:Q33)-SUMIF(A4:A33,"&gt;="&amp;DATE(2026,5,1),Q4:Q33)</f>
        <v>0</v>
      </c>
    </row>
    <row r="8" spans="1:60" ht="20" customHeight="1" x14ac:dyDescent="0.2">
      <c r="A8" s="31" t="str">
        <f>IFERROR(INDEX(PRENOTAZIONI!$A:$A,SMALL(PRENOTAZIONI!$AD:$AD,5)),"")</f>
        <v/>
      </c>
      <c r="B8" s="31" t="str">
        <f>IFERROR(INDEX(PRENOTAZIONI!$B:$B,SMALL(PRENOTAZIONI!$AD:$AD,5)),"")</f>
        <v/>
      </c>
      <c r="C8" s="32" t="str">
        <f t="shared" si="0"/>
        <v/>
      </c>
      <c r="D8" s="34" t="str">
        <f>IFERROR(INDEX(PRENOTAZIONI!$E:$E,SMALL(PRENOTAZIONI!$AD:$AD,5)),"")</f>
        <v/>
      </c>
      <c r="E8" s="34" t="str">
        <f>IFERROR(INDEX(PRENOTAZIONI!$F:$F,SMALL(PRENOTAZIONI!$AD:$AD,5)),"")</f>
        <v/>
      </c>
      <c r="F8" s="34" t="str">
        <f>IFERROR(INDEX(PRENOTAZIONI!$G:$G,SMALL(PRENOTAZIONI!$AD:$AD,5)),"")</f>
        <v/>
      </c>
      <c r="G8" s="35" t="str">
        <f>IFERROR(INDEX(PRENOTAZIONI!$H:$H,SMALL(PRENOTAZIONI!$AD:$AD,5)),"")</f>
        <v/>
      </c>
      <c r="H8" s="146" t="str">
        <f t="shared" si="1"/>
        <v/>
      </c>
      <c r="I8" s="35" t="str">
        <f t="shared" si="2"/>
        <v/>
      </c>
      <c r="J8" s="149" t="str">
        <f t="shared" si="3"/>
        <v/>
      </c>
      <c r="K8" s="34" t="str">
        <f>IFERROR(INDEX(PRENOTAZIONI!$K:$K,SMALL(PRENOTAZIONI!$AD:$AD,5)),"")</f>
        <v/>
      </c>
      <c r="L8" s="35" t="str">
        <f>IFERROR(INDEX(PRENOTAZIONI!$L:$L,SMALL(PRENOTAZIONI!$AD:$AD,5)),"")</f>
        <v/>
      </c>
      <c r="M8" s="150" t="str">
        <f t="shared" si="4"/>
        <v/>
      </c>
      <c r="N8" s="35" t="str">
        <f t="shared" si="5"/>
        <v/>
      </c>
      <c r="O8" s="35"/>
      <c r="P8" s="43"/>
      <c r="Q8" s="150" t="str">
        <f t="shared" si="6"/>
        <v/>
      </c>
      <c r="R8" s="34" t="str">
        <f>IFERROR(INDEX(PRENOTAZIONI!$R:$R,SMALL(PRENOTAZIONI!$AD:$AD,5)),"")</f>
        <v/>
      </c>
      <c r="S8" s="31"/>
      <c r="T8" s="80" t="str">
        <f>IFERROR(INDEX(PRENOTAZIONI!$A:$A,SMALL(PRENOTAZIONI!$AR:$AR,5)),"")</f>
        <v/>
      </c>
      <c r="U8" s="31" t="str">
        <f>IFERROR(INDEX(PRENOTAZIONI!$B:$B,SMALL(PRENOTAZIONI!$AR:$AR,5)),"")</f>
        <v/>
      </c>
      <c r="V8" s="32" t="str">
        <f t="shared" si="7"/>
        <v/>
      </c>
      <c r="W8" s="34" t="str">
        <f>IFERROR(INDEX(PRENOTAZIONI!$E:$E,SMALL(PRENOTAZIONI!$AR:$AR,5)),"")</f>
        <v/>
      </c>
      <c r="X8" s="34" t="str">
        <f>IFERROR(INDEX(PRENOTAZIONI!$F:$F,SMALL(PRENOTAZIONI!$AR:$AR,5)),"")</f>
        <v/>
      </c>
      <c r="Y8" s="35" t="str">
        <f>IFERROR(INDEX(PRENOTAZIONI!$H:$H,SMALL(PRENOTAZIONI!$AR:$AR,5)),"")</f>
        <v/>
      </c>
      <c r="Z8" s="34" t="str">
        <f>IFERROR(INDEX(PRENOTAZIONI!$K:$K,SMALL(PRENOTAZIONI!$AR:$AR,5)),"")</f>
        <v/>
      </c>
      <c r="AA8" s="34"/>
      <c r="AB8" s="34"/>
      <c r="AC8" s="40" t="str">
        <f t="shared" si="8"/>
        <v/>
      </c>
      <c r="AD8" s="41" t="str">
        <f t="shared" si="9"/>
        <v/>
      </c>
      <c r="AF8" s="38"/>
      <c r="AG8" s="113" t="s">
        <v>185</v>
      </c>
      <c r="AH8" s="114">
        <f>SUMPRODUCT((MONTH(PRENOTAZIONI!$A$3:$A$262)=5)*(YEAR(PRENOTAZIONI!$A$3:$A$262)=2026)*(PRENOTAZIONI!$D$3:$D$262="White Cottage"))</f>
        <v>0</v>
      </c>
      <c r="AI8" s="114">
        <f>SUMPRODUCT((PRENOTAZIONI!$A$3:$A$262&lt;DATE(2026,6,1))*(PRENOTAZIONI!$B$3:$B$262&gt;DATE(2026,5,1))*(YEAR(PRENOTAZIONI!$A$3:$A$262)=2026)*(PRENOTAZIONI!$D$3:$D$262="White Cottage")*((PRENOTAZIONI!$B$3:$B$262*(PRENOTAZIONI!$B$3:$B$262&lt;DATE(2026,6,1))+DATE(2026,6,1)*(PRENOTAZIONI!$B$3:$B$262&gt;=DATE(2026,6,1)))-(PRENOTAZIONI!$A$3:$A$262*(PRENOTAZIONI!$A$3:$A$262&gt;DATE(2026,5,1))+DATE(2026,5,1)*(PRENOTAZIONI!$A$3:$A$262&lt;=DATE(2026,5,1)))))</f>
        <v>0</v>
      </c>
      <c r="AJ8" s="151">
        <f>SUMIF(A4:A33,"&gt;="&amp;DATE(2026,5,1),G4:G33)-SUMIF(A4:A33,"&gt;="&amp;DATE(2026,6,1),G4:G33)</f>
        <v>0</v>
      </c>
      <c r="AK8" s="151">
        <f>SUMIF(A4:A33,"&gt;="&amp;DATE(2026,5,1),I4:I33)-SUMIF(A4:A33,"&gt;="&amp;DATE(2026,6,1),I4:I33)</f>
        <v>0</v>
      </c>
      <c r="AL8" s="151">
        <f>SUMIF(A4:A33,"&gt;="&amp;DATE(2026,5,1),L4:L33)-SUMIF(A4:A33,"&gt;="&amp;DATE(2026,6,1),L4:L33)</f>
        <v>0</v>
      </c>
      <c r="AM8" s="151">
        <f>SUMIF(A4:A33,"&gt;="&amp;DATE(2026,5,1),N4:N33)-SUMIF(A4:A33,"&gt;="&amp;DATE(2026,6,1),N4:N33)</f>
        <v>0</v>
      </c>
      <c r="AN8" s="152">
        <f>SUMIF(A4:A33,"&gt;="&amp;DATE(2026,5,1),M4:M33)-SUMIF(A4:A33,"&gt;="&amp;DATE(2026,6,1),M4:M33)</f>
        <v>0</v>
      </c>
      <c r="AO8" s="152">
        <f>SUMIF(A4:A33,"&gt;="&amp;DATE(2026,5,1),J4:J33)-SUMIF(A4:A33,"&gt;="&amp;DATE(2026,6,1),J4:J33)</f>
        <v>0</v>
      </c>
      <c r="AP8" s="153">
        <f>SUMIF(A4:A33,"&gt;="&amp;DATE(2026,5,1),Q4:Q33)-SUMIF(A4:A33,"&gt;="&amp;DATE(2026,6,1),Q4:Q33)</f>
        <v>0</v>
      </c>
    </row>
    <row r="9" spans="1:60" ht="20" customHeight="1" x14ac:dyDescent="0.2">
      <c r="A9" s="31" t="str">
        <f>IFERROR(INDEX(PRENOTAZIONI!$A:$A,SMALL(PRENOTAZIONI!$AD:$AD,6)),"")</f>
        <v/>
      </c>
      <c r="B9" s="31" t="str">
        <f>IFERROR(INDEX(PRENOTAZIONI!$B:$B,SMALL(PRENOTAZIONI!$AD:$AD,6)),"")</f>
        <v/>
      </c>
      <c r="C9" s="32" t="str">
        <f t="shared" si="0"/>
        <v/>
      </c>
      <c r="D9" s="34" t="str">
        <f>IFERROR(INDEX(PRENOTAZIONI!$E:$E,SMALL(PRENOTAZIONI!$AD:$AD,6)),"")</f>
        <v/>
      </c>
      <c r="E9" s="34" t="str">
        <f>IFERROR(INDEX(PRENOTAZIONI!$F:$F,SMALL(PRENOTAZIONI!$AD:$AD,6)),"")</f>
        <v/>
      </c>
      <c r="F9" s="34" t="str">
        <f>IFERROR(INDEX(PRENOTAZIONI!$G:$G,SMALL(PRENOTAZIONI!$AD:$AD,6)),"")</f>
        <v/>
      </c>
      <c r="G9" s="35" t="str">
        <f>IFERROR(INDEX(PRENOTAZIONI!$H:$H,SMALL(PRENOTAZIONI!$AD:$AD,6)),"")</f>
        <v/>
      </c>
      <c r="H9" s="146" t="str">
        <f t="shared" si="1"/>
        <v/>
      </c>
      <c r="I9" s="35" t="str">
        <f t="shared" si="2"/>
        <v/>
      </c>
      <c r="J9" s="149" t="str">
        <f t="shared" si="3"/>
        <v/>
      </c>
      <c r="K9" s="34" t="str">
        <f>IFERROR(INDEX(PRENOTAZIONI!$K:$K,SMALL(PRENOTAZIONI!$AD:$AD,6)),"")</f>
        <v/>
      </c>
      <c r="L9" s="35" t="str">
        <f>IFERROR(INDEX(PRENOTAZIONI!$L:$L,SMALL(PRENOTAZIONI!$AD:$AD,6)),"")</f>
        <v/>
      </c>
      <c r="M9" s="150" t="str">
        <f t="shared" si="4"/>
        <v/>
      </c>
      <c r="N9" s="35" t="str">
        <f t="shared" si="5"/>
        <v/>
      </c>
      <c r="O9" s="35"/>
      <c r="P9" s="43"/>
      <c r="Q9" s="150" t="str">
        <f t="shared" si="6"/>
        <v/>
      </c>
      <c r="R9" s="34" t="str">
        <f>IFERROR(INDEX(PRENOTAZIONI!$R:$R,SMALL(PRENOTAZIONI!$AD:$AD,6)),"")</f>
        <v/>
      </c>
      <c r="S9" s="31"/>
      <c r="T9" s="80" t="str">
        <f>IFERROR(INDEX(PRENOTAZIONI!$A:$A,SMALL(PRENOTAZIONI!$AR:$AR,6)),"")</f>
        <v/>
      </c>
      <c r="U9" s="31" t="str">
        <f>IFERROR(INDEX(PRENOTAZIONI!$B:$B,SMALL(PRENOTAZIONI!$AR:$AR,6)),"")</f>
        <v/>
      </c>
      <c r="V9" s="32" t="str">
        <f t="shared" si="7"/>
        <v/>
      </c>
      <c r="W9" s="34" t="str">
        <f>IFERROR(INDEX(PRENOTAZIONI!$E:$E,SMALL(PRENOTAZIONI!$AR:$AR,6)),"")</f>
        <v/>
      </c>
      <c r="X9" s="34" t="str">
        <f>IFERROR(INDEX(PRENOTAZIONI!$F:$F,SMALL(PRENOTAZIONI!$AR:$AR,6)),"")</f>
        <v/>
      </c>
      <c r="Y9" s="35" t="str">
        <f>IFERROR(INDEX(PRENOTAZIONI!$H:$H,SMALL(PRENOTAZIONI!$AR:$AR,6)),"")</f>
        <v/>
      </c>
      <c r="Z9" s="34" t="str">
        <f>IFERROR(INDEX(PRENOTAZIONI!$K:$K,SMALL(PRENOTAZIONI!$AR:$AR,6)),"")</f>
        <v/>
      </c>
      <c r="AA9" s="34"/>
      <c r="AB9" s="34"/>
      <c r="AC9" s="40" t="str">
        <f t="shared" si="8"/>
        <v/>
      </c>
      <c r="AD9" s="41" t="str">
        <f t="shared" si="9"/>
        <v/>
      </c>
      <c r="AF9" s="38"/>
      <c r="AG9" s="113" t="s">
        <v>186</v>
      </c>
      <c r="AH9" s="114">
        <f>SUMPRODUCT((MONTH(PRENOTAZIONI!$A$3:$A$262)=6)*(YEAR(PRENOTAZIONI!$A$3:$A$262)=2026)*(PRENOTAZIONI!$D$3:$D$262="White Cottage"))</f>
        <v>0</v>
      </c>
      <c r="AI9" s="114">
        <f>SUMPRODUCT((PRENOTAZIONI!$A$3:$A$262&lt;DATE(2026,7,1))*(PRENOTAZIONI!$B$3:$B$262&gt;DATE(2026,6,1))*(YEAR(PRENOTAZIONI!$A$3:$A$262)=2026)*(PRENOTAZIONI!$D$3:$D$262="White Cottage")*((PRENOTAZIONI!$B$3:$B$262*(PRENOTAZIONI!$B$3:$B$262&lt;DATE(2026,7,1))+DATE(2026,7,1)*(PRENOTAZIONI!$B$3:$B$262&gt;=DATE(2026,7,1)))-(PRENOTAZIONI!$A$3:$A$262*(PRENOTAZIONI!$A$3:$A$262&gt;DATE(2026,6,1))+DATE(2026,6,1)*(PRENOTAZIONI!$A$3:$A$262&lt;=DATE(2026,6,1)))))</f>
        <v>0</v>
      </c>
      <c r="AJ9" s="151">
        <f>SUMIF(A4:A33,"&gt;="&amp;DATE(2026,6,1),G4:G33)-SUMIF(A4:A33,"&gt;="&amp;DATE(2026,7,1),G4:G33)</f>
        <v>0</v>
      </c>
      <c r="AK9" s="151">
        <f>SUMIF(A4:A33,"&gt;="&amp;DATE(2026,6,1),I4:I33)-SUMIF(A4:A33,"&gt;="&amp;DATE(2026,7,1),I4:I33)</f>
        <v>0</v>
      </c>
      <c r="AL9" s="151">
        <f>SUMIF(A4:A33,"&gt;="&amp;DATE(2026,6,1),L4:L33)-SUMIF(A4:A33,"&gt;="&amp;DATE(2026,7,1),L4:L33)</f>
        <v>0</v>
      </c>
      <c r="AM9" s="151">
        <f>SUMIF(A4:A33,"&gt;="&amp;DATE(2026,6,1),N4:N33)-SUMIF(A4:A33,"&gt;="&amp;DATE(2026,7,1),N4:N33)</f>
        <v>0</v>
      </c>
      <c r="AN9" s="152">
        <f>SUMIF(A4:A33,"&gt;="&amp;DATE(2026,6,1),M4:M33)-SUMIF(A4:A33,"&gt;="&amp;DATE(2026,7,1),M4:M33)</f>
        <v>0</v>
      </c>
      <c r="AO9" s="152">
        <f>SUMIF(A4:A33,"&gt;="&amp;DATE(2026,6,1),J4:J33)-SUMIF(A4:A33,"&gt;="&amp;DATE(2026,7,1),J4:J33)</f>
        <v>0</v>
      </c>
      <c r="AP9" s="153">
        <f>SUMIF(A4:A33,"&gt;="&amp;DATE(2026,6,1),Q4:Q33)-SUMIF(A4:A33,"&gt;="&amp;DATE(2026,7,1),Q4:Q33)</f>
        <v>0</v>
      </c>
    </row>
    <row r="10" spans="1:60" ht="20" customHeight="1" x14ac:dyDescent="0.2">
      <c r="A10" s="31" t="str">
        <f>IFERROR(INDEX(PRENOTAZIONI!$A:$A,SMALL(PRENOTAZIONI!$AD:$AD,7)),"")</f>
        <v/>
      </c>
      <c r="B10" s="31" t="str">
        <f>IFERROR(INDEX(PRENOTAZIONI!$B:$B,SMALL(PRENOTAZIONI!$AD:$AD,7)),"")</f>
        <v/>
      </c>
      <c r="C10" s="32" t="str">
        <f t="shared" si="0"/>
        <v/>
      </c>
      <c r="D10" s="34" t="str">
        <f>IFERROR(INDEX(PRENOTAZIONI!$E:$E,SMALL(PRENOTAZIONI!$AD:$AD,7)),"")</f>
        <v/>
      </c>
      <c r="E10" s="34" t="str">
        <f>IFERROR(INDEX(PRENOTAZIONI!$F:$F,SMALL(PRENOTAZIONI!$AD:$AD,7)),"")</f>
        <v/>
      </c>
      <c r="F10" s="34" t="str">
        <f>IFERROR(INDEX(PRENOTAZIONI!$G:$G,SMALL(PRENOTAZIONI!$AD:$AD,7)),"")</f>
        <v/>
      </c>
      <c r="G10" s="35" t="str">
        <f>IFERROR(INDEX(PRENOTAZIONI!$H:$H,SMALL(PRENOTAZIONI!$AD:$AD,7)),"")</f>
        <v/>
      </c>
      <c r="H10" s="146" t="str">
        <f t="shared" si="1"/>
        <v/>
      </c>
      <c r="I10" s="35" t="str">
        <f t="shared" si="2"/>
        <v/>
      </c>
      <c r="J10" s="149" t="str">
        <f t="shared" si="3"/>
        <v/>
      </c>
      <c r="K10" s="34" t="str">
        <f>IFERROR(INDEX(PRENOTAZIONI!$K:$K,SMALL(PRENOTAZIONI!$AD:$AD,7)),"")</f>
        <v/>
      </c>
      <c r="L10" s="35" t="str">
        <f>IFERROR(INDEX(PRENOTAZIONI!$L:$L,SMALL(PRENOTAZIONI!$AD:$AD,7)),"")</f>
        <v/>
      </c>
      <c r="M10" s="150" t="str">
        <f t="shared" si="4"/>
        <v/>
      </c>
      <c r="N10" s="35" t="str">
        <f t="shared" si="5"/>
        <v/>
      </c>
      <c r="O10" s="35"/>
      <c r="P10" s="43"/>
      <c r="Q10" s="150" t="str">
        <f t="shared" si="6"/>
        <v/>
      </c>
      <c r="R10" s="34" t="str">
        <f>IFERROR(INDEX(PRENOTAZIONI!$R:$R,SMALL(PRENOTAZIONI!$AD:$AD,7)),"")</f>
        <v/>
      </c>
      <c r="S10" s="31"/>
      <c r="T10" s="80" t="str">
        <f>IFERROR(INDEX(PRENOTAZIONI!$A:$A,SMALL(PRENOTAZIONI!$AR:$AR,7)),"")</f>
        <v/>
      </c>
      <c r="U10" s="31" t="str">
        <f>IFERROR(INDEX(PRENOTAZIONI!$B:$B,SMALL(PRENOTAZIONI!$AR:$AR,7)),"")</f>
        <v/>
      </c>
      <c r="V10" s="32" t="str">
        <f t="shared" si="7"/>
        <v/>
      </c>
      <c r="W10" s="34" t="str">
        <f>IFERROR(INDEX(PRENOTAZIONI!$E:$E,SMALL(PRENOTAZIONI!$AR:$AR,7)),"")</f>
        <v/>
      </c>
      <c r="X10" s="34" t="str">
        <f>IFERROR(INDEX(PRENOTAZIONI!$F:$F,SMALL(PRENOTAZIONI!$AR:$AR,7)),"")</f>
        <v/>
      </c>
      <c r="Y10" s="35" t="str">
        <f>IFERROR(INDEX(PRENOTAZIONI!$H:$H,SMALL(PRENOTAZIONI!$AR:$AR,7)),"")</f>
        <v/>
      </c>
      <c r="Z10" s="34" t="str">
        <f>IFERROR(INDEX(PRENOTAZIONI!$K:$K,SMALL(PRENOTAZIONI!$AR:$AR,7)),"")</f>
        <v/>
      </c>
      <c r="AA10" s="34"/>
      <c r="AB10" s="34"/>
      <c r="AC10" s="40" t="str">
        <f t="shared" si="8"/>
        <v/>
      </c>
      <c r="AD10" s="41" t="str">
        <f t="shared" si="9"/>
        <v/>
      </c>
      <c r="AF10" s="38"/>
      <c r="AG10" s="113" t="s">
        <v>187</v>
      </c>
      <c r="AH10" s="114">
        <f>SUMPRODUCT((MONTH(PRENOTAZIONI!$A$3:$A$262)=7)*(YEAR(PRENOTAZIONI!$A$3:$A$262)=2026)*(PRENOTAZIONI!$D$3:$D$262="White Cottage"))</f>
        <v>0</v>
      </c>
      <c r="AI10" s="114">
        <f>SUMPRODUCT((PRENOTAZIONI!$A$3:$A$262&lt;DATE(2026,8,1))*(PRENOTAZIONI!$B$3:$B$262&gt;DATE(2026,7,1))*(YEAR(PRENOTAZIONI!$A$3:$A$262)=2026)*(PRENOTAZIONI!$D$3:$D$262="White Cottage")*((PRENOTAZIONI!$B$3:$B$262*(PRENOTAZIONI!$B$3:$B$262&lt;DATE(2026,8,1))+DATE(2026,8,1)*(PRENOTAZIONI!$B$3:$B$262&gt;=DATE(2026,8,1)))-(PRENOTAZIONI!$A$3:$A$262*(PRENOTAZIONI!$A$3:$A$262&gt;DATE(2026,7,1))+DATE(2026,7,1)*(PRENOTAZIONI!$A$3:$A$262&lt;=DATE(2026,7,1)))))</f>
        <v>0</v>
      </c>
      <c r="AJ10" s="151">
        <f>SUMIF(A4:A33,"&gt;="&amp;DATE(2026,7,1),G4:G33)-SUMIF(A4:A33,"&gt;="&amp;DATE(2026,8,1),G4:G33)</f>
        <v>0</v>
      </c>
      <c r="AK10" s="151">
        <f>SUMIF(A4:A33,"&gt;="&amp;DATE(2026,7,1),I4:I33)-SUMIF(A4:A33,"&gt;="&amp;DATE(2026,8,1),I4:I33)</f>
        <v>0</v>
      </c>
      <c r="AL10" s="151">
        <f>SUMIF(A4:A33,"&gt;="&amp;DATE(2026,7,1),L4:L33)-SUMIF(A4:A33,"&gt;="&amp;DATE(2026,8,1),L4:L33)</f>
        <v>0</v>
      </c>
      <c r="AM10" s="151">
        <f>SUMIF(A4:A33,"&gt;="&amp;DATE(2026,7,1),N4:N33)-SUMIF(A4:A33,"&gt;="&amp;DATE(2026,8,1),N4:N33)</f>
        <v>0</v>
      </c>
      <c r="AN10" s="152">
        <f>SUMIF(A4:A33,"&gt;="&amp;DATE(2026,7,1),M4:M33)-SUMIF(A4:A33,"&gt;="&amp;DATE(2026,8,1),M4:M33)</f>
        <v>0</v>
      </c>
      <c r="AO10" s="152">
        <f>SUMIF(A4:A33,"&gt;="&amp;DATE(2026,7,1),J4:J33)-SUMIF(A4:A33,"&gt;="&amp;DATE(2026,8,1),J4:J33)</f>
        <v>0</v>
      </c>
      <c r="AP10" s="153">
        <f>SUMIF(A4:A33,"&gt;="&amp;DATE(2026,7,1),Q4:Q33)-SUMIF(A4:A33,"&gt;="&amp;DATE(2026,8,1),Q4:Q33)</f>
        <v>0</v>
      </c>
    </row>
    <row r="11" spans="1:60" ht="20" customHeight="1" x14ac:dyDescent="0.2">
      <c r="A11" s="31" t="str">
        <f>IFERROR(INDEX(PRENOTAZIONI!$A:$A,SMALL(PRENOTAZIONI!$AD:$AD,8)),"")</f>
        <v/>
      </c>
      <c r="B11" s="31" t="str">
        <f>IFERROR(INDEX(PRENOTAZIONI!$B:$B,SMALL(PRENOTAZIONI!$AD:$AD,8)),"")</f>
        <v/>
      </c>
      <c r="C11" s="32" t="str">
        <f t="shared" si="0"/>
        <v/>
      </c>
      <c r="D11" s="34" t="str">
        <f>IFERROR(INDEX(PRENOTAZIONI!$E:$E,SMALL(PRENOTAZIONI!$AD:$AD,8)),"")</f>
        <v/>
      </c>
      <c r="E11" s="34" t="str">
        <f>IFERROR(INDEX(PRENOTAZIONI!$F:$F,SMALL(PRENOTAZIONI!$AD:$AD,8)),"")</f>
        <v/>
      </c>
      <c r="F11" s="34" t="str">
        <f>IFERROR(INDEX(PRENOTAZIONI!$G:$G,SMALL(PRENOTAZIONI!$AD:$AD,8)),"")</f>
        <v/>
      </c>
      <c r="G11" s="35" t="str">
        <f>IFERROR(INDEX(PRENOTAZIONI!$H:$H,SMALL(PRENOTAZIONI!$AD:$AD,8)),"")</f>
        <v/>
      </c>
      <c r="H11" s="146" t="str">
        <f t="shared" si="1"/>
        <v/>
      </c>
      <c r="I11" s="35" t="str">
        <f t="shared" si="2"/>
        <v/>
      </c>
      <c r="J11" s="149" t="str">
        <f t="shared" si="3"/>
        <v/>
      </c>
      <c r="K11" s="34" t="str">
        <f>IFERROR(INDEX(PRENOTAZIONI!$K:$K,SMALL(PRENOTAZIONI!$AD:$AD,8)),"")</f>
        <v/>
      </c>
      <c r="L11" s="35" t="str">
        <f>IFERROR(INDEX(PRENOTAZIONI!$L:$L,SMALL(PRENOTAZIONI!$AD:$AD,8)),"")</f>
        <v/>
      </c>
      <c r="M11" s="150" t="str">
        <f t="shared" si="4"/>
        <v/>
      </c>
      <c r="N11" s="35" t="str">
        <f t="shared" si="5"/>
        <v/>
      </c>
      <c r="O11" s="35"/>
      <c r="P11" s="43"/>
      <c r="Q11" s="150" t="str">
        <f t="shared" si="6"/>
        <v/>
      </c>
      <c r="R11" s="34" t="str">
        <f>IFERROR(INDEX(PRENOTAZIONI!$R:$R,SMALL(PRENOTAZIONI!$AD:$AD,8)),"")</f>
        <v/>
      </c>
      <c r="S11" s="31"/>
      <c r="T11" s="80" t="str">
        <f>IFERROR(INDEX(PRENOTAZIONI!$A:$A,SMALL(PRENOTAZIONI!$AR:$AR,8)),"")</f>
        <v/>
      </c>
      <c r="U11" s="31" t="str">
        <f>IFERROR(INDEX(PRENOTAZIONI!$B:$B,SMALL(PRENOTAZIONI!$AR:$AR,8)),"")</f>
        <v/>
      </c>
      <c r="V11" s="32" t="str">
        <f t="shared" si="7"/>
        <v/>
      </c>
      <c r="W11" s="34" t="str">
        <f>IFERROR(INDEX(PRENOTAZIONI!$E:$E,SMALL(PRENOTAZIONI!$AR:$AR,8)),"")</f>
        <v/>
      </c>
      <c r="X11" s="34" t="str">
        <f>IFERROR(INDEX(PRENOTAZIONI!$F:$F,SMALL(PRENOTAZIONI!$AR:$AR,8)),"")</f>
        <v/>
      </c>
      <c r="Y11" s="35" t="str">
        <f>IFERROR(INDEX(PRENOTAZIONI!$H:$H,SMALL(PRENOTAZIONI!$AR:$AR,8)),"")</f>
        <v/>
      </c>
      <c r="Z11" s="34" t="str">
        <f>IFERROR(INDEX(PRENOTAZIONI!$K:$K,SMALL(PRENOTAZIONI!$AR:$AR,8)),"")</f>
        <v/>
      </c>
      <c r="AA11" s="34"/>
      <c r="AB11" s="34"/>
      <c r="AC11" s="40" t="str">
        <f t="shared" si="8"/>
        <v/>
      </c>
      <c r="AD11" s="41" t="str">
        <f t="shared" si="9"/>
        <v/>
      </c>
      <c r="AF11" s="38"/>
      <c r="AG11" s="113" t="s">
        <v>188</v>
      </c>
      <c r="AH11" s="114">
        <f>SUMPRODUCT((MONTH(PRENOTAZIONI!$A$3:$A$262)=8)*(YEAR(PRENOTAZIONI!$A$3:$A$262)=2026)*(PRENOTAZIONI!$D$3:$D$262="White Cottage"))</f>
        <v>0</v>
      </c>
      <c r="AI11" s="114">
        <f>SUMPRODUCT((PRENOTAZIONI!$A$3:$A$262&lt;DATE(2026,9,1))*(PRENOTAZIONI!$B$3:$B$262&gt;DATE(2026,8,1))*(YEAR(PRENOTAZIONI!$A$3:$A$262)=2026)*(PRENOTAZIONI!$D$3:$D$262="White Cottage")*((PRENOTAZIONI!$B$3:$B$262*(PRENOTAZIONI!$B$3:$B$262&lt;DATE(2026,9,1))+DATE(2026,9,1)*(PRENOTAZIONI!$B$3:$B$262&gt;=DATE(2026,9,1)))-(PRENOTAZIONI!$A$3:$A$262*(PRENOTAZIONI!$A$3:$A$262&gt;DATE(2026,8,1))+DATE(2026,8,1)*(PRENOTAZIONI!$A$3:$A$262&lt;=DATE(2026,8,1)))))</f>
        <v>0</v>
      </c>
      <c r="AJ11" s="151">
        <f>SUMIF(A4:A33,"&gt;="&amp;DATE(2026,8,1),G4:G33)-SUMIF(A4:A33,"&gt;="&amp;DATE(2026,9,1),G4:G33)</f>
        <v>0</v>
      </c>
      <c r="AK11" s="151">
        <f>SUMIF(A4:A33,"&gt;="&amp;DATE(2026,8,1),I4:I33)-SUMIF(A4:A33,"&gt;="&amp;DATE(2026,9,1),I4:I33)</f>
        <v>0</v>
      </c>
      <c r="AL11" s="151">
        <f>SUMIF(A4:A33,"&gt;="&amp;DATE(2026,8,1),L4:L33)-SUMIF(A4:A33,"&gt;="&amp;DATE(2026,9,1),L4:L33)</f>
        <v>0</v>
      </c>
      <c r="AM11" s="151">
        <f>SUMIF(A4:A33,"&gt;="&amp;DATE(2026,8,1),N4:N33)-SUMIF(A4:A33,"&gt;="&amp;DATE(2026,9,1),N4:N33)</f>
        <v>0</v>
      </c>
      <c r="AN11" s="152">
        <f>SUMIF(A4:A33,"&gt;="&amp;DATE(2026,8,1),M4:M33)-SUMIF(A4:A33,"&gt;="&amp;DATE(2026,9,1),M4:M33)</f>
        <v>0</v>
      </c>
      <c r="AO11" s="152">
        <f>SUMIF(A4:A33,"&gt;="&amp;DATE(2026,8,1),J4:J33)-SUMIF(A4:A33,"&gt;="&amp;DATE(2026,9,1),J4:J33)</f>
        <v>0</v>
      </c>
      <c r="AP11" s="153">
        <f>SUMIF(A4:A33,"&gt;="&amp;DATE(2026,8,1),Q4:Q33)-SUMIF(A4:A33,"&gt;="&amp;DATE(2026,9,1),Q4:Q33)</f>
        <v>0</v>
      </c>
    </row>
    <row r="12" spans="1:60" ht="20" customHeight="1" x14ac:dyDescent="0.2">
      <c r="A12" s="31" t="str">
        <f>IFERROR(INDEX(PRENOTAZIONI!$A:$A,SMALL(PRENOTAZIONI!$AD:$AD,9)),"")</f>
        <v/>
      </c>
      <c r="B12" s="31" t="str">
        <f>IFERROR(INDEX(PRENOTAZIONI!$B:$B,SMALL(PRENOTAZIONI!$AD:$AD,9)),"")</f>
        <v/>
      </c>
      <c r="C12" s="32" t="str">
        <f t="shared" si="0"/>
        <v/>
      </c>
      <c r="D12" s="34" t="str">
        <f>IFERROR(INDEX(PRENOTAZIONI!$E:$E,SMALL(PRENOTAZIONI!$AD:$AD,9)),"")</f>
        <v/>
      </c>
      <c r="E12" s="34" t="str">
        <f>IFERROR(INDEX(PRENOTAZIONI!$F:$F,SMALL(PRENOTAZIONI!$AD:$AD,9)),"")</f>
        <v/>
      </c>
      <c r="F12" s="34" t="str">
        <f>IFERROR(INDEX(PRENOTAZIONI!$G:$G,SMALL(PRENOTAZIONI!$AD:$AD,9)),"")</f>
        <v/>
      </c>
      <c r="G12" s="35" t="str">
        <f>IFERROR(INDEX(PRENOTAZIONI!$H:$H,SMALL(PRENOTAZIONI!$AD:$AD,9)),"")</f>
        <v/>
      </c>
      <c r="H12" s="146" t="str">
        <f t="shared" si="1"/>
        <v/>
      </c>
      <c r="I12" s="35" t="str">
        <f t="shared" si="2"/>
        <v/>
      </c>
      <c r="J12" s="149" t="str">
        <f t="shared" si="3"/>
        <v/>
      </c>
      <c r="K12" s="34" t="str">
        <f>IFERROR(INDEX(PRENOTAZIONI!$K:$K,SMALL(PRENOTAZIONI!$AD:$AD,9)),"")</f>
        <v/>
      </c>
      <c r="L12" s="35" t="str">
        <f>IFERROR(INDEX(PRENOTAZIONI!$L:$L,SMALL(PRENOTAZIONI!$AD:$AD,9)),"")</f>
        <v/>
      </c>
      <c r="M12" s="150" t="str">
        <f t="shared" si="4"/>
        <v/>
      </c>
      <c r="N12" s="35" t="str">
        <f t="shared" si="5"/>
        <v/>
      </c>
      <c r="O12" s="35"/>
      <c r="P12" s="43"/>
      <c r="Q12" s="150" t="str">
        <f t="shared" si="6"/>
        <v/>
      </c>
      <c r="R12" s="34" t="str">
        <f>IFERROR(INDEX(PRENOTAZIONI!$R:$R,SMALL(PRENOTAZIONI!$AD:$AD,9)),"")</f>
        <v/>
      </c>
      <c r="S12" s="31"/>
      <c r="T12" s="80" t="str">
        <f>IFERROR(INDEX(PRENOTAZIONI!$A:$A,SMALL(PRENOTAZIONI!$AR:$AR,9)),"")</f>
        <v/>
      </c>
      <c r="U12" s="31" t="str">
        <f>IFERROR(INDEX(PRENOTAZIONI!$B:$B,SMALL(PRENOTAZIONI!$AR:$AR,9)),"")</f>
        <v/>
      </c>
      <c r="V12" s="32" t="str">
        <f t="shared" si="7"/>
        <v/>
      </c>
      <c r="W12" s="34" t="str">
        <f>IFERROR(INDEX(PRENOTAZIONI!$E:$E,SMALL(PRENOTAZIONI!$AR:$AR,9)),"")</f>
        <v/>
      </c>
      <c r="X12" s="34" t="str">
        <f>IFERROR(INDEX(PRENOTAZIONI!$F:$F,SMALL(PRENOTAZIONI!$AR:$AR,9)),"")</f>
        <v/>
      </c>
      <c r="Y12" s="35" t="str">
        <f>IFERROR(INDEX(PRENOTAZIONI!$H:$H,SMALL(PRENOTAZIONI!$AR:$AR,9)),"")</f>
        <v/>
      </c>
      <c r="Z12" s="34" t="str">
        <f>IFERROR(INDEX(PRENOTAZIONI!$K:$K,SMALL(PRENOTAZIONI!$AR:$AR,9)),"")</f>
        <v/>
      </c>
      <c r="AA12" s="34"/>
      <c r="AB12" s="34"/>
      <c r="AC12" s="40" t="str">
        <f t="shared" si="8"/>
        <v/>
      </c>
      <c r="AD12" s="41" t="str">
        <f t="shared" si="9"/>
        <v/>
      </c>
      <c r="AF12" s="38"/>
      <c r="AG12" s="113" t="s">
        <v>189</v>
      </c>
      <c r="AH12" s="114">
        <f>SUMPRODUCT((MONTH(PRENOTAZIONI!$A$3:$A$262)=9)*(YEAR(PRENOTAZIONI!$A$3:$A$262)=2026)*(PRENOTAZIONI!$D$3:$D$262="White Cottage"))</f>
        <v>0</v>
      </c>
      <c r="AI12" s="114">
        <f>SUMPRODUCT((PRENOTAZIONI!$A$3:$A$262&lt;DATE(2026,10,1))*(PRENOTAZIONI!$B$3:$B$262&gt;DATE(2026,9,1))*(YEAR(PRENOTAZIONI!$A$3:$A$262)=2026)*(PRENOTAZIONI!$D$3:$D$262="White Cottage")*((PRENOTAZIONI!$B$3:$B$262*(PRENOTAZIONI!$B$3:$B$262&lt;DATE(2026,10,1))+DATE(2026,10,1)*(PRENOTAZIONI!$B$3:$B$262&gt;=DATE(2026,10,1)))-(PRENOTAZIONI!$A$3:$A$262*(PRENOTAZIONI!$A$3:$A$262&gt;DATE(2026,9,1))+DATE(2026,9,1)*(PRENOTAZIONI!$A$3:$A$262&lt;=DATE(2026,9,1)))))</f>
        <v>0</v>
      </c>
      <c r="AJ12" s="151">
        <f>SUMIF(A4:A33,"&gt;="&amp;DATE(2026,9,1),G4:G33)-SUMIF(A4:A33,"&gt;="&amp;DATE(2026,10,1),G4:G33)</f>
        <v>0</v>
      </c>
      <c r="AK12" s="151">
        <f>SUMIF(A4:A33,"&gt;="&amp;DATE(2026,9,1),I4:I33)-SUMIF(A4:A33,"&gt;="&amp;DATE(2026,10,1),I4:I33)</f>
        <v>0</v>
      </c>
      <c r="AL12" s="151">
        <f>SUMIF(A4:A33,"&gt;="&amp;DATE(2026,9,1),L4:L33)-SUMIF(A4:A33,"&gt;="&amp;DATE(2026,10,1),L4:L33)</f>
        <v>0</v>
      </c>
      <c r="AM12" s="151">
        <f>SUMIF(A4:A33,"&gt;="&amp;DATE(2026,9,1),N4:N33)-SUMIF(A4:A33,"&gt;="&amp;DATE(2026,10,1),N4:N33)</f>
        <v>0</v>
      </c>
      <c r="AN12" s="152">
        <f>SUMIF(A4:A33,"&gt;="&amp;DATE(2026,9,1),M4:M33)-SUMIF(A4:A33,"&gt;="&amp;DATE(2026,10,1),M4:M33)</f>
        <v>0</v>
      </c>
      <c r="AO12" s="152">
        <f>SUMIF(A4:A33,"&gt;="&amp;DATE(2026,9,1),J4:J33)-SUMIF(A4:A33,"&gt;="&amp;DATE(2026,10,1),J4:J33)</f>
        <v>0</v>
      </c>
      <c r="AP12" s="153">
        <f>SUMIF(A4:A33,"&gt;="&amp;DATE(2026,9,1),Q4:Q33)-SUMIF(A4:A33,"&gt;="&amp;DATE(2026,10,1),Q4:Q33)</f>
        <v>0</v>
      </c>
    </row>
    <row r="13" spans="1:60" ht="20" customHeight="1" x14ac:dyDescent="0.2">
      <c r="A13" s="31" t="str">
        <f>IFERROR(INDEX(PRENOTAZIONI!$A:$A,SMALL(PRENOTAZIONI!$AD:$AD,10)),"")</f>
        <v/>
      </c>
      <c r="B13" s="31" t="str">
        <f>IFERROR(INDEX(PRENOTAZIONI!$B:$B,SMALL(PRENOTAZIONI!$AD:$AD,10)),"")</f>
        <v/>
      </c>
      <c r="C13" s="32" t="str">
        <f t="shared" si="0"/>
        <v/>
      </c>
      <c r="D13" s="34" t="str">
        <f>IFERROR(INDEX(PRENOTAZIONI!$E:$E,SMALL(PRENOTAZIONI!$AD:$AD,10)),"")</f>
        <v/>
      </c>
      <c r="E13" s="34" t="str">
        <f>IFERROR(INDEX(PRENOTAZIONI!$F:$F,SMALL(PRENOTAZIONI!$AD:$AD,10)),"")</f>
        <v/>
      </c>
      <c r="F13" s="34" t="str">
        <f>IFERROR(INDEX(PRENOTAZIONI!$G:$G,SMALL(PRENOTAZIONI!$AD:$AD,10)),"")</f>
        <v/>
      </c>
      <c r="G13" s="35" t="str">
        <f>IFERROR(INDEX(PRENOTAZIONI!$H:$H,SMALL(PRENOTAZIONI!$AD:$AD,10)),"")</f>
        <v/>
      </c>
      <c r="H13" s="146" t="str">
        <f t="shared" si="1"/>
        <v/>
      </c>
      <c r="I13" s="35" t="str">
        <f t="shared" si="2"/>
        <v/>
      </c>
      <c r="J13" s="149" t="str">
        <f t="shared" si="3"/>
        <v/>
      </c>
      <c r="K13" s="34" t="str">
        <f>IFERROR(INDEX(PRENOTAZIONI!$K:$K,SMALL(PRENOTAZIONI!$AD:$AD,10)),"")</f>
        <v/>
      </c>
      <c r="L13" s="35" t="str">
        <f>IFERROR(INDEX(PRENOTAZIONI!$L:$L,SMALL(PRENOTAZIONI!$AD:$AD,10)),"")</f>
        <v/>
      </c>
      <c r="M13" s="150" t="str">
        <f t="shared" si="4"/>
        <v/>
      </c>
      <c r="N13" s="35" t="str">
        <f t="shared" si="5"/>
        <v/>
      </c>
      <c r="O13" s="35"/>
      <c r="P13" s="43"/>
      <c r="Q13" s="150" t="str">
        <f t="shared" si="6"/>
        <v/>
      </c>
      <c r="R13" s="34" t="str">
        <f>IFERROR(INDEX(PRENOTAZIONI!$R:$R,SMALL(PRENOTAZIONI!$AD:$AD,10)),"")</f>
        <v/>
      </c>
      <c r="S13" s="31"/>
      <c r="T13" s="80" t="str">
        <f>IFERROR(INDEX(PRENOTAZIONI!$A:$A,SMALL(PRENOTAZIONI!$AR:$AR,10)),"")</f>
        <v/>
      </c>
      <c r="U13" s="31" t="str">
        <f>IFERROR(INDEX(PRENOTAZIONI!$B:$B,SMALL(PRENOTAZIONI!$AR:$AR,10)),"")</f>
        <v/>
      </c>
      <c r="V13" s="32" t="str">
        <f t="shared" si="7"/>
        <v/>
      </c>
      <c r="W13" s="34" t="str">
        <f>IFERROR(INDEX(PRENOTAZIONI!$E:$E,SMALL(PRENOTAZIONI!$AR:$AR,10)),"")</f>
        <v/>
      </c>
      <c r="X13" s="34" t="str">
        <f>IFERROR(INDEX(PRENOTAZIONI!$F:$F,SMALL(PRENOTAZIONI!$AR:$AR,10)),"")</f>
        <v/>
      </c>
      <c r="Y13" s="35" t="str">
        <f>IFERROR(INDEX(PRENOTAZIONI!$H:$H,SMALL(PRENOTAZIONI!$AR:$AR,10)),"")</f>
        <v/>
      </c>
      <c r="Z13" s="34" t="str">
        <f>IFERROR(INDEX(PRENOTAZIONI!$K:$K,SMALL(PRENOTAZIONI!$AR:$AR,10)),"")</f>
        <v/>
      </c>
      <c r="AA13" s="34"/>
      <c r="AB13" s="34"/>
      <c r="AC13" s="40" t="str">
        <f t="shared" si="8"/>
        <v/>
      </c>
      <c r="AD13" s="41" t="str">
        <f t="shared" si="9"/>
        <v/>
      </c>
      <c r="AF13" s="38"/>
      <c r="AG13" s="113" t="s">
        <v>190</v>
      </c>
      <c r="AH13" s="114">
        <f>SUMPRODUCT((MONTH(PRENOTAZIONI!$A$3:$A$262)=10)*(YEAR(PRENOTAZIONI!$A$3:$A$262)=2026)*(PRENOTAZIONI!$D$3:$D$262="White Cottage"))</f>
        <v>0</v>
      </c>
      <c r="AI13" s="114">
        <f>SUMPRODUCT((PRENOTAZIONI!$A$3:$A$262&lt;DATE(2026,11,1))*(PRENOTAZIONI!$B$3:$B$262&gt;DATE(2026,10,1))*(YEAR(PRENOTAZIONI!$A$3:$A$262)=2026)*(PRENOTAZIONI!$D$3:$D$262="White Cottage")*((PRENOTAZIONI!$B$3:$B$262*(PRENOTAZIONI!$B$3:$B$262&lt;DATE(2026,11,1))+DATE(2026,11,1)*(PRENOTAZIONI!$B$3:$B$262&gt;=DATE(2026,11,1)))-(PRENOTAZIONI!$A$3:$A$262*(PRENOTAZIONI!$A$3:$A$262&gt;DATE(2026,10,1))+DATE(2026,10,1)*(PRENOTAZIONI!$A$3:$A$262&lt;=DATE(2026,10,1)))))</f>
        <v>0</v>
      </c>
      <c r="AJ13" s="151">
        <f>SUMIF(A4:A33,"&gt;="&amp;DATE(2026,10,1),G4:G33)-SUMIF(A4:A33,"&gt;="&amp;DATE(2026,11,1),G4:G33)</f>
        <v>0</v>
      </c>
      <c r="AK13" s="151">
        <f>SUMIF(A4:A33,"&gt;="&amp;DATE(2026,10,1),I4:I33)-SUMIF(A4:A33,"&gt;="&amp;DATE(2026,11,1),I4:I33)</f>
        <v>0</v>
      </c>
      <c r="AL13" s="151">
        <f>SUMIF(A4:A33,"&gt;="&amp;DATE(2026,10,1),L4:L33)-SUMIF(A4:A33,"&gt;="&amp;DATE(2026,11,1),L4:L33)</f>
        <v>0</v>
      </c>
      <c r="AM13" s="151">
        <f>SUMIF(A4:A33,"&gt;="&amp;DATE(2026,10,1),N4:N33)-SUMIF(A4:A33,"&gt;="&amp;DATE(2026,11,1),N4:N33)</f>
        <v>0</v>
      </c>
      <c r="AN13" s="152">
        <f>SUMIF(A4:A33,"&gt;="&amp;DATE(2026,10,1),M4:M33)-SUMIF(A4:A33,"&gt;="&amp;DATE(2026,11,1),M4:M33)</f>
        <v>0</v>
      </c>
      <c r="AO13" s="152">
        <f>SUMIF(A4:A33,"&gt;="&amp;DATE(2026,10,1),J4:J33)-SUMIF(A4:A33,"&gt;="&amp;DATE(2026,11,1),J4:J33)</f>
        <v>0</v>
      </c>
      <c r="AP13" s="153">
        <f>SUMIF(A4:A33,"&gt;="&amp;DATE(2026,10,1),Q4:Q33)-SUMIF(A4:A33,"&gt;="&amp;DATE(2026,11,1),Q4:Q33)</f>
        <v>0</v>
      </c>
    </row>
    <row r="14" spans="1:60" ht="20" customHeight="1" x14ac:dyDescent="0.2">
      <c r="A14" s="31" t="str">
        <f>IFERROR(INDEX(PRENOTAZIONI!$A:$A,SMALL(PRENOTAZIONI!$AD:$AD,11)),"")</f>
        <v/>
      </c>
      <c r="B14" s="31" t="str">
        <f>IFERROR(INDEX(PRENOTAZIONI!$B:$B,SMALL(PRENOTAZIONI!$AD:$AD,11)),"")</f>
        <v/>
      </c>
      <c r="C14" s="32" t="str">
        <f t="shared" si="0"/>
        <v/>
      </c>
      <c r="D14" s="34" t="str">
        <f>IFERROR(INDEX(PRENOTAZIONI!$E:$E,SMALL(PRENOTAZIONI!$AD:$AD,11)),"")</f>
        <v/>
      </c>
      <c r="E14" s="34" t="str">
        <f>IFERROR(INDEX(PRENOTAZIONI!$F:$F,SMALL(PRENOTAZIONI!$AD:$AD,11)),"")</f>
        <v/>
      </c>
      <c r="F14" s="34" t="str">
        <f>IFERROR(INDEX(PRENOTAZIONI!$G:$G,SMALL(PRENOTAZIONI!$AD:$AD,11)),"")</f>
        <v/>
      </c>
      <c r="G14" s="35" t="str">
        <f>IFERROR(INDEX(PRENOTAZIONI!$H:$H,SMALL(PRENOTAZIONI!$AD:$AD,11)),"")</f>
        <v/>
      </c>
      <c r="H14" s="146" t="str">
        <f t="shared" si="1"/>
        <v/>
      </c>
      <c r="I14" s="35" t="str">
        <f t="shared" si="2"/>
        <v/>
      </c>
      <c r="J14" s="149" t="str">
        <f t="shared" si="3"/>
        <v/>
      </c>
      <c r="K14" s="34" t="str">
        <f>IFERROR(INDEX(PRENOTAZIONI!$K:$K,SMALL(PRENOTAZIONI!$AD:$AD,11)),"")</f>
        <v/>
      </c>
      <c r="L14" s="35" t="str">
        <f>IFERROR(INDEX(PRENOTAZIONI!$L:$L,SMALL(PRENOTAZIONI!$AD:$AD,11)),"")</f>
        <v/>
      </c>
      <c r="M14" s="150" t="str">
        <f t="shared" si="4"/>
        <v/>
      </c>
      <c r="N14" s="35" t="str">
        <f t="shared" si="5"/>
        <v/>
      </c>
      <c r="O14" s="35"/>
      <c r="P14" s="43"/>
      <c r="Q14" s="150" t="str">
        <f t="shared" si="6"/>
        <v/>
      </c>
      <c r="R14" s="34" t="str">
        <f>IFERROR(INDEX(PRENOTAZIONI!$R:$R,SMALL(PRENOTAZIONI!$AD:$AD,11)),"")</f>
        <v/>
      </c>
      <c r="S14" s="31"/>
      <c r="T14" s="80" t="str">
        <f>IFERROR(INDEX(PRENOTAZIONI!$A:$A,SMALL(PRENOTAZIONI!$AR:$AR,11)),"")</f>
        <v/>
      </c>
      <c r="U14" s="31" t="str">
        <f>IFERROR(INDEX(PRENOTAZIONI!$B:$B,SMALL(PRENOTAZIONI!$AR:$AR,11)),"")</f>
        <v/>
      </c>
      <c r="V14" s="32" t="str">
        <f t="shared" si="7"/>
        <v/>
      </c>
      <c r="W14" s="34" t="str">
        <f>IFERROR(INDEX(PRENOTAZIONI!$E:$E,SMALL(PRENOTAZIONI!$AR:$AR,11)),"")</f>
        <v/>
      </c>
      <c r="X14" s="34" t="str">
        <f>IFERROR(INDEX(PRENOTAZIONI!$F:$F,SMALL(PRENOTAZIONI!$AR:$AR,11)),"")</f>
        <v/>
      </c>
      <c r="Y14" s="35" t="str">
        <f>IFERROR(INDEX(PRENOTAZIONI!$H:$H,SMALL(PRENOTAZIONI!$AR:$AR,11)),"")</f>
        <v/>
      </c>
      <c r="Z14" s="34" t="str">
        <f>IFERROR(INDEX(PRENOTAZIONI!$K:$K,SMALL(PRENOTAZIONI!$AR:$AR,11)),"")</f>
        <v/>
      </c>
      <c r="AA14" s="34"/>
      <c r="AB14" s="34"/>
      <c r="AC14" s="40" t="str">
        <f t="shared" si="8"/>
        <v/>
      </c>
      <c r="AD14" s="41" t="str">
        <f t="shared" si="9"/>
        <v/>
      </c>
      <c r="AF14" s="38"/>
      <c r="AG14" s="113" t="s">
        <v>191</v>
      </c>
      <c r="AH14" s="114">
        <f>SUMPRODUCT((MONTH(PRENOTAZIONI!$A$3:$A$262)=11)*(YEAR(PRENOTAZIONI!$A$3:$A$262)=2026)*(PRENOTAZIONI!$D$3:$D$262="White Cottage"))</f>
        <v>0</v>
      </c>
      <c r="AI14" s="114">
        <f>SUMPRODUCT((PRENOTAZIONI!$A$3:$A$262&lt;DATE(2026,12,1))*(PRENOTAZIONI!$B$3:$B$262&gt;DATE(2026,11,1))*(YEAR(PRENOTAZIONI!$A$3:$A$262)=2026)*(PRENOTAZIONI!$D$3:$D$262="White Cottage")*((PRENOTAZIONI!$B$3:$B$262*(PRENOTAZIONI!$B$3:$B$262&lt;DATE(2026,12,1))+DATE(2026,12,1)*(PRENOTAZIONI!$B$3:$B$262&gt;=DATE(2026,12,1)))-(PRENOTAZIONI!$A$3:$A$262*(PRENOTAZIONI!$A$3:$A$262&gt;DATE(2026,11,1))+DATE(2026,11,1)*(PRENOTAZIONI!$A$3:$A$262&lt;=DATE(2026,11,1)))))</f>
        <v>0</v>
      </c>
      <c r="AJ14" s="151">
        <f>SUMIF(A4:A33,"&gt;="&amp;DATE(2026,11,1),G4:G33)-SUMIF(A4:A33,"&gt;="&amp;DATE(2026,12,1),G4:G33)</f>
        <v>0</v>
      </c>
      <c r="AK14" s="151">
        <f>SUMIF(A4:A33,"&gt;="&amp;DATE(2026,11,1),I4:I33)-SUMIF(A4:A33,"&gt;="&amp;DATE(2026,12,1),I4:I33)</f>
        <v>0</v>
      </c>
      <c r="AL14" s="151">
        <f>SUMIF(A4:A33,"&gt;="&amp;DATE(2026,11,1),L4:L33)-SUMIF(A4:A33,"&gt;="&amp;DATE(2026,12,1),L4:L33)</f>
        <v>0</v>
      </c>
      <c r="AM14" s="151">
        <f>SUMIF(A4:A33,"&gt;="&amp;DATE(2026,11,1),N4:N33)-SUMIF(A4:A33,"&gt;="&amp;DATE(2026,12,1),N4:N33)</f>
        <v>0</v>
      </c>
      <c r="AN14" s="152">
        <f>SUMIF(A4:A33,"&gt;="&amp;DATE(2026,11,1),M4:M33)-SUMIF(A4:A33,"&gt;="&amp;DATE(2026,12,1),M4:M33)</f>
        <v>0</v>
      </c>
      <c r="AO14" s="152">
        <f>SUMIF(A4:A33,"&gt;="&amp;DATE(2026,11,1),J4:J33)-SUMIF(A4:A33,"&gt;="&amp;DATE(2026,12,1),J4:J33)</f>
        <v>0</v>
      </c>
      <c r="AP14" s="153">
        <f>SUMIF(A4:A33,"&gt;="&amp;DATE(2026,11,1),Q4:Q33)-SUMIF(A4:A33,"&gt;="&amp;DATE(2026,12,1),Q4:Q33)</f>
        <v>0</v>
      </c>
    </row>
    <row r="15" spans="1:60" ht="20" customHeight="1" x14ac:dyDescent="0.2">
      <c r="A15" s="31" t="str">
        <f>IFERROR(INDEX(PRENOTAZIONI!$A:$A,SMALL(PRENOTAZIONI!$AD:$AD,12)),"")</f>
        <v/>
      </c>
      <c r="B15" s="31" t="str">
        <f>IFERROR(INDEX(PRENOTAZIONI!$B:$B,SMALL(PRENOTAZIONI!$AD:$AD,12)),"")</f>
        <v/>
      </c>
      <c r="C15" s="32" t="str">
        <f t="shared" si="0"/>
        <v/>
      </c>
      <c r="D15" s="34" t="str">
        <f>IFERROR(INDEX(PRENOTAZIONI!$E:$E,SMALL(PRENOTAZIONI!$AD:$AD,12)),"")</f>
        <v/>
      </c>
      <c r="E15" s="34" t="str">
        <f>IFERROR(INDEX(PRENOTAZIONI!$F:$F,SMALL(PRENOTAZIONI!$AD:$AD,12)),"")</f>
        <v/>
      </c>
      <c r="F15" s="34" t="str">
        <f>IFERROR(INDEX(PRENOTAZIONI!$G:$G,SMALL(PRENOTAZIONI!$AD:$AD,12)),"")</f>
        <v/>
      </c>
      <c r="G15" s="35" t="str">
        <f>IFERROR(INDEX(PRENOTAZIONI!$H:$H,SMALL(PRENOTAZIONI!$AD:$AD,12)),"")</f>
        <v/>
      </c>
      <c r="H15" s="146" t="str">
        <f t="shared" si="1"/>
        <v/>
      </c>
      <c r="I15" s="35" t="str">
        <f t="shared" si="2"/>
        <v/>
      </c>
      <c r="J15" s="149" t="str">
        <f t="shared" si="3"/>
        <v/>
      </c>
      <c r="K15" s="34" t="str">
        <f>IFERROR(INDEX(PRENOTAZIONI!$K:$K,SMALL(PRENOTAZIONI!$AD:$AD,12)),"")</f>
        <v/>
      </c>
      <c r="L15" s="35" t="str">
        <f>IFERROR(INDEX(PRENOTAZIONI!$L:$L,SMALL(PRENOTAZIONI!$AD:$AD,12)),"")</f>
        <v/>
      </c>
      <c r="M15" s="150" t="str">
        <f t="shared" si="4"/>
        <v/>
      </c>
      <c r="N15" s="35" t="str">
        <f t="shared" si="5"/>
        <v/>
      </c>
      <c r="O15" s="35"/>
      <c r="P15" s="43"/>
      <c r="Q15" s="150" t="str">
        <f t="shared" si="6"/>
        <v/>
      </c>
      <c r="R15" s="34" t="str">
        <f>IFERROR(INDEX(PRENOTAZIONI!$R:$R,SMALL(PRENOTAZIONI!$AD:$AD,12)),"")</f>
        <v/>
      </c>
      <c r="S15" s="31"/>
      <c r="T15" s="80" t="str">
        <f>IFERROR(INDEX(PRENOTAZIONI!$A:$A,SMALL(PRENOTAZIONI!$AR:$AR,12)),"")</f>
        <v/>
      </c>
      <c r="U15" s="31" t="str">
        <f>IFERROR(INDEX(PRENOTAZIONI!$B:$B,SMALL(PRENOTAZIONI!$AR:$AR,12)),"")</f>
        <v/>
      </c>
      <c r="V15" s="32" t="str">
        <f t="shared" si="7"/>
        <v/>
      </c>
      <c r="W15" s="34" t="str">
        <f>IFERROR(INDEX(PRENOTAZIONI!$E:$E,SMALL(PRENOTAZIONI!$AR:$AR,12)),"")</f>
        <v/>
      </c>
      <c r="X15" s="34" t="str">
        <f>IFERROR(INDEX(PRENOTAZIONI!$F:$F,SMALL(PRENOTAZIONI!$AR:$AR,12)),"")</f>
        <v/>
      </c>
      <c r="Y15" s="35" t="str">
        <f>IFERROR(INDEX(PRENOTAZIONI!$H:$H,SMALL(PRENOTAZIONI!$AR:$AR,12)),"")</f>
        <v/>
      </c>
      <c r="Z15" s="34" t="str">
        <f>IFERROR(INDEX(PRENOTAZIONI!$K:$K,SMALL(PRENOTAZIONI!$AR:$AR,12)),"")</f>
        <v/>
      </c>
      <c r="AA15" s="34"/>
      <c r="AB15" s="34"/>
      <c r="AC15" s="40" t="str">
        <f t="shared" si="8"/>
        <v/>
      </c>
      <c r="AD15" s="41" t="str">
        <f t="shared" si="9"/>
        <v/>
      </c>
      <c r="AF15" s="38"/>
      <c r="AG15" s="113" t="s">
        <v>192</v>
      </c>
      <c r="AH15" s="114">
        <f>SUMPRODUCT((MONTH(PRENOTAZIONI!$A$3:$A$262)=12)*(YEAR(PRENOTAZIONI!$A$3:$A$262)=2026)*(PRENOTAZIONI!$D$3:$D$262="White Cottage"))</f>
        <v>0</v>
      </c>
      <c r="AI15" s="114">
        <f>SUMPRODUCT((PRENOTAZIONI!$A$3:$A$262&lt;DATE(2027,1,1))*(PRENOTAZIONI!$B$3:$B$262&gt;DATE(2026,12,1))*(YEAR(PRENOTAZIONI!$A$3:$A$262)=2026)*(PRENOTAZIONI!$D$3:$D$262="White Cottage")*((PRENOTAZIONI!$B$3:$B$262*(PRENOTAZIONI!$B$3:$B$262&lt;DATE(2027,1,1))+DATE(2027,1,1)*(PRENOTAZIONI!$B$3:$B$262&gt;=DATE(2027,1,1)))-(PRENOTAZIONI!$A$3:$A$262*(PRENOTAZIONI!$A$3:$A$262&gt;DATE(2026,12,1))+DATE(2026,12,1)*(PRENOTAZIONI!$A$3:$A$262&lt;=DATE(2026,12,1)))))</f>
        <v>0</v>
      </c>
      <c r="AJ15" s="151">
        <f>SUMIF(A4:A33,"&gt;="&amp;DATE(2026,12,1),G4:G33)-SUMIF(A4:A33,"&gt;="&amp;DATE(2027,1,1),G4:G33)</f>
        <v>0</v>
      </c>
      <c r="AK15" s="151">
        <f>SUMIF(A4:A33,"&gt;="&amp;DATE(2026,12,1),I4:I33)-SUMIF(A4:A33,"&gt;="&amp;DATE(2027,1,1),I4:I33)</f>
        <v>0</v>
      </c>
      <c r="AL15" s="151">
        <f>SUMIF(A4:A33,"&gt;="&amp;DATE(2026,12,1),L4:L33)-SUMIF(A4:A33,"&gt;="&amp;DATE(2027,1,1),L4:L33)</f>
        <v>0</v>
      </c>
      <c r="AM15" s="151">
        <f>SUMIF(A4:A33,"&gt;="&amp;DATE(2026,12,1),N4:N33)-SUMIF(A4:A33,"&gt;="&amp;DATE(2027,1,1),N4:N33)</f>
        <v>0</v>
      </c>
      <c r="AN15" s="152">
        <f>SUMIF(A4:A33,"&gt;="&amp;DATE(2026,12,1),M4:M33)-SUMIF(A4:A33,"&gt;="&amp;DATE(2027,1,1),M4:M33)</f>
        <v>0</v>
      </c>
      <c r="AO15" s="152">
        <f>SUMIF(A4:A33,"&gt;="&amp;DATE(2026,12,1),J4:J33)-SUMIF(A4:A33,"&gt;="&amp;DATE(2027,1,1),J4:J33)</f>
        <v>0</v>
      </c>
      <c r="AP15" s="153">
        <f>SUMIF(A4:A33,"&gt;="&amp;DATE(2026,12,1),Q4:Q33)-SUMIF(A4:A33,"&gt;="&amp;DATE(2027,1,1),Q4:Q33)</f>
        <v>0</v>
      </c>
    </row>
    <row r="16" spans="1:60" ht="26" customHeight="1" x14ac:dyDescent="0.2">
      <c r="A16" s="31" t="str">
        <f>IFERROR(INDEX(PRENOTAZIONI!$A:$A,SMALL(PRENOTAZIONI!$AD:$AD,13)),"")</f>
        <v/>
      </c>
      <c r="B16" s="31" t="str">
        <f>IFERROR(INDEX(PRENOTAZIONI!$B:$B,SMALL(PRENOTAZIONI!$AD:$AD,13)),"")</f>
        <v/>
      </c>
      <c r="C16" s="32" t="str">
        <f t="shared" si="0"/>
        <v/>
      </c>
      <c r="D16" s="34" t="str">
        <f>IFERROR(INDEX(PRENOTAZIONI!$E:$E,SMALL(PRENOTAZIONI!$AD:$AD,13)),"")</f>
        <v/>
      </c>
      <c r="E16" s="34" t="str">
        <f>IFERROR(INDEX(PRENOTAZIONI!$F:$F,SMALL(PRENOTAZIONI!$AD:$AD,13)),"")</f>
        <v/>
      </c>
      <c r="F16" s="34" t="str">
        <f>IFERROR(INDEX(PRENOTAZIONI!$G:$G,SMALL(PRENOTAZIONI!$AD:$AD,13)),"")</f>
        <v/>
      </c>
      <c r="G16" s="35" t="str">
        <f>IFERROR(INDEX(PRENOTAZIONI!$H:$H,SMALL(PRENOTAZIONI!$AD:$AD,13)),"")</f>
        <v/>
      </c>
      <c r="H16" s="146" t="str">
        <f t="shared" si="1"/>
        <v/>
      </c>
      <c r="I16" s="35" t="str">
        <f t="shared" si="2"/>
        <v/>
      </c>
      <c r="J16" s="149" t="str">
        <f t="shared" si="3"/>
        <v/>
      </c>
      <c r="K16" s="34" t="str">
        <f>IFERROR(INDEX(PRENOTAZIONI!$K:$K,SMALL(PRENOTAZIONI!$AD:$AD,13)),"")</f>
        <v/>
      </c>
      <c r="L16" s="35" t="str">
        <f>IFERROR(INDEX(PRENOTAZIONI!$L:$L,SMALL(PRENOTAZIONI!$AD:$AD,13)),"")</f>
        <v/>
      </c>
      <c r="M16" s="150" t="str">
        <f t="shared" si="4"/>
        <v/>
      </c>
      <c r="N16" s="35" t="str">
        <f t="shared" si="5"/>
        <v/>
      </c>
      <c r="O16" s="35"/>
      <c r="P16" s="43"/>
      <c r="Q16" s="150" t="str">
        <f t="shared" si="6"/>
        <v/>
      </c>
      <c r="R16" s="34" t="str">
        <f>IFERROR(INDEX(PRENOTAZIONI!$R:$R,SMALL(PRENOTAZIONI!$AD:$AD,13)),"")</f>
        <v/>
      </c>
      <c r="S16" s="31"/>
      <c r="T16" s="80" t="str">
        <f>IFERROR(INDEX(PRENOTAZIONI!$A:$A,SMALL(PRENOTAZIONI!$AR:$AR,13)),"")</f>
        <v/>
      </c>
      <c r="U16" s="31" t="str">
        <f>IFERROR(INDEX(PRENOTAZIONI!$B:$B,SMALL(PRENOTAZIONI!$AR:$AR,13)),"")</f>
        <v/>
      </c>
      <c r="V16" s="32" t="str">
        <f t="shared" si="7"/>
        <v/>
      </c>
      <c r="W16" s="34" t="str">
        <f>IFERROR(INDEX(PRENOTAZIONI!$E:$E,SMALL(PRENOTAZIONI!$AR:$AR,13)),"")</f>
        <v/>
      </c>
      <c r="X16" s="34" t="str">
        <f>IFERROR(INDEX(PRENOTAZIONI!$F:$F,SMALL(PRENOTAZIONI!$AR:$AR,13)),"")</f>
        <v/>
      </c>
      <c r="Y16" s="35" t="str">
        <f>IFERROR(INDEX(PRENOTAZIONI!$H:$H,SMALL(PRENOTAZIONI!$AR:$AR,13)),"")</f>
        <v/>
      </c>
      <c r="Z16" s="34" t="str">
        <f>IFERROR(INDEX(PRENOTAZIONI!$K:$K,SMALL(PRENOTAZIONI!$AR:$AR,13)),"")</f>
        <v/>
      </c>
      <c r="AA16" s="34"/>
      <c r="AB16" s="34"/>
      <c r="AC16" s="40" t="str">
        <f t="shared" si="8"/>
        <v/>
      </c>
      <c r="AD16" s="41" t="str">
        <f t="shared" si="9"/>
        <v/>
      </c>
      <c r="AF16" s="38"/>
      <c r="AG16" s="115" t="s">
        <v>196</v>
      </c>
      <c r="AH16" s="116">
        <f t="shared" ref="AH16:AP16" si="10">SUM(AH4:AH15)</f>
        <v>0</v>
      </c>
      <c r="AI16" s="116">
        <f t="shared" si="10"/>
        <v>0</v>
      </c>
      <c r="AJ16" s="116">
        <f t="shared" si="10"/>
        <v>0</v>
      </c>
      <c r="AK16" s="116">
        <f t="shared" si="10"/>
        <v>0</v>
      </c>
      <c r="AL16" s="116">
        <f t="shared" si="10"/>
        <v>0</v>
      </c>
      <c r="AM16" s="116">
        <f t="shared" si="10"/>
        <v>0</v>
      </c>
      <c r="AN16" s="116">
        <f t="shared" si="10"/>
        <v>0</v>
      </c>
      <c r="AO16" s="117">
        <f t="shared" si="10"/>
        <v>0</v>
      </c>
      <c r="AP16" s="117">
        <f t="shared" si="10"/>
        <v>0</v>
      </c>
    </row>
    <row r="17" spans="1:42" ht="22" customHeight="1" x14ac:dyDescent="0.2">
      <c r="A17" s="31" t="str">
        <f>IFERROR(INDEX(PRENOTAZIONI!$A:$A,SMALL(PRENOTAZIONI!$AD:$AD,14)),"")</f>
        <v/>
      </c>
      <c r="B17" s="31" t="str">
        <f>IFERROR(INDEX(PRENOTAZIONI!$B:$B,SMALL(PRENOTAZIONI!$AD:$AD,14)),"")</f>
        <v/>
      </c>
      <c r="C17" s="32" t="str">
        <f t="shared" si="0"/>
        <v/>
      </c>
      <c r="D17" s="34" t="str">
        <f>IFERROR(INDEX(PRENOTAZIONI!$E:$E,SMALL(PRENOTAZIONI!$AD:$AD,14)),"")</f>
        <v/>
      </c>
      <c r="E17" s="34" t="str">
        <f>IFERROR(INDEX(PRENOTAZIONI!$F:$F,SMALL(PRENOTAZIONI!$AD:$AD,14)),"")</f>
        <v/>
      </c>
      <c r="F17" s="34" t="str">
        <f>IFERROR(INDEX(PRENOTAZIONI!$G:$G,SMALL(PRENOTAZIONI!$AD:$AD,14)),"")</f>
        <v/>
      </c>
      <c r="G17" s="35" t="str">
        <f>IFERROR(INDEX(PRENOTAZIONI!$H:$H,SMALL(PRENOTAZIONI!$AD:$AD,14)),"")</f>
        <v/>
      </c>
      <c r="H17" s="146" t="str">
        <f t="shared" si="1"/>
        <v/>
      </c>
      <c r="I17" s="35" t="str">
        <f t="shared" si="2"/>
        <v/>
      </c>
      <c r="J17" s="149" t="str">
        <f t="shared" si="3"/>
        <v/>
      </c>
      <c r="K17" s="34" t="str">
        <f>IFERROR(INDEX(PRENOTAZIONI!$K:$K,SMALL(PRENOTAZIONI!$AD:$AD,14)),"")</f>
        <v/>
      </c>
      <c r="L17" s="35" t="str">
        <f>IFERROR(INDEX(PRENOTAZIONI!$L:$L,SMALL(PRENOTAZIONI!$AD:$AD,14)),"")</f>
        <v/>
      </c>
      <c r="M17" s="150" t="str">
        <f t="shared" si="4"/>
        <v/>
      </c>
      <c r="N17" s="35" t="str">
        <f t="shared" si="5"/>
        <v/>
      </c>
      <c r="O17" s="35"/>
      <c r="P17" s="43"/>
      <c r="Q17" s="150" t="str">
        <f t="shared" si="6"/>
        <v/>
      </c>
      <c r="R17" s="34" t="str">
        <f>IFERROR(INDEX(PRENOTAZIONI!$R:$R,SMALL(PRENOTAZIONI!$AD:$AD,14)),"")</f>
        <v/>
      </c>
      <c r="S17" s="31"/>
      <c r="T17" s="80" t="str">
        <f>IFERROR(INDEX(PRENOTAZIONI!$A:$A,SMALL(PRENOTAZIONI!$AR:$AR,14)),"")</f>
        <v/>
      </c>
      <c r="U17" s="31" t="str">
        <f>IFERROR(INDEX(PRENOTAZIONI!$B:$B,SMALL(PRENOTAZIONI!$AR:$AR,14)),"")</f>
        <v/>
      </c>
      <c r="V17" s="32" t="str">
        <f t="shared" si="7"/>
        <v/>
      </c>
      <c r="W17" s="34" t="str">
        <f>IFERROR(INDEX(PRENOTAZIONI!$E:$E,SMALL(PRENOTAZIONI!$AR:$AR,14)),"")</f>
        <v/>
      </c>
      <c r="X17" s="34" t="str">
        <f>IFERROR(INDEX(PRENOTAZIONI!$F:$F,SMALL(PRENOTAZIONI!$AR:$AR,14)),"")</f>
        <v/>
      </c>
      <c r="Y17" s="35" t="str">
        <f>IFERROR(INDEX(PRENOTAZIONI!$H:$H,SMALL(PRENOTAZIONI!$AR:$AR,14)),"")</f>
        <v/>
      </c>
      <c r="Z17" s="34" t="str">
        <f>IFERROR(INDEX(PRENOTAZIONI!$K:$K,SMALL(PRENOTAZIONI!$AR:$AR,14)),"")</f>
        <v/>
      </c>
      <c r="AA17" s="34"/>
      <c r="AB17" s="34"/>
      <c r="AC17" s="40" t="str">
        <f t="shared" si="8"/>
        <v/>
      </c>
      <c r="AD17" s="41" t="str">
        <f t="shared" si="9"/>
        <v/>
      </c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pans="1:42" ht="22" customHeight="1" x14ac:dyDescent="0.2">
      <c r="A18" s="31" t="str">
        <f>IFERROR(INDEX(PRENOTAZIONI!$A:$A,SMALL(PRENOTAZIONI!$AD:$AD,15)),"")</f>
        <v/>
      </c>
      <c r="B18" s="31" t="str">
        <f>IFERROR(INDEX(PRENOTAZIONI!$B:$B,SMALL(PRENOTAZIONI!$AD:$AD,15)),"")</f>
        <v/>
      </c>
      <c r="C18" s="32" t="str">
        <f t="shared" si="0"/>
        <v/>
      </c>
      <c r="D18" s="34" t="str">
        <f>IFERROR(INDEX(PRENOTAZIONI!$E:$E,SMALL(PRENOTAZIONI!$AD:$AD,15)),"")</f>
        <v/>
      </c>
      <c r="E18" s="34" t="str">
        <f>IFERROR(INDEX(PRENOTAZIONI!$F:$F,SMALL(PRENOTAZIONI!$AD:$AD,15)),"")</f>
        <v/>
      </c>
      <c r="F18" s="34" t="str">
        <f>IFERROR(INDEX(PRENOTAZIONI!$G:$G,SMALL(PRENOTAZIONI!$AD:$AD,15)),"")</f>
        <v/>
      </c>
      <c r="G18" s="35" t="str">
        <f>IFERROR(INDEX(PRENOTAZIONI!$H:$H,SMALL(PRENOTAZIONI!$AD:$AD,15)),"")</f>
        <v/>
      </c>
      <c r="H18" s="146" t="str">
        <f t="shared" si="1"/>
        <v/>
      </c>
      <c r="I18" s="35" t="str">
        <f t="shared" si="2"/>
        <v/>
      </c>
      <c r="J18" s="149" t="str">
        <f t="shared" si="3"/>
        <v/>
      </c>
      <c r="K18" s="34" t="str">
        <f>IFERROR(INDEX(PRENOTAZIONI!$K:$K,SMALL(PRENOTAZIONI!$AD:$AD,15)),"")</f>
        <v/>
      </c>
      <c r="L18" s="35" t="str">
        <f>IFERROR(INDEX(PRENOTAZIONI!$L:$L,SMALL(PRENOTAZIONI!$AD:$AD,15)),"")</f>
        <v/>
      </c>
      <c r="M18" s="150" t="str">
        <f t="shared" si="4"/>
        <v/>
      </c>
      <c r="N18" s="35" t="str">
        <f t="shared" si="5"/>
        <v/>
      </c>
      <c r="O18" s="35"/>
      <c r="P18" s="43"/>
      <c r="Q18" s="150" t="str">
        <f t="shared" si="6"/>
        <v/>
      </c>
      <c r="R18" s="34" t="str">
        <f>IFERROR(INDEX(PRENOTAZIONI!$R:$R,SMALL(PRENOTAZIONI!$AD:$AD,15)),"")</f>
        <v/>
      </c>
      <c r="S18" s="31"/>
      <c r="T18" s="80" t="str">
        <f>IFERROR(INDEX(PRENOTAZIONI!$A:$A,SMALL(PRENOTAZIONI!$AR:$AR,15)),"")</f>
        <v/>
      </c>
      <c r="U18" s="31" t="str">
        <f>IFERROR(INDEX(PRENOTAZIONI!$B:$B,SMALL(PRENOTAZIONI!$AR:$AR,15)),"")</f>
        <v/>
      </c>
      <c r="V18" s="32" t="str">
        <f t="shared" si="7"/>
        <v/>
      </c>
      <c r="W18" s="34" t="str">
        <f>IFERROR(INDEX(PRENOTAZIONI!$E:$E,SMALL(PRENOTAZIONI!$AR:$AR,15)),"")</f>
        <v/>
      </c>
      <c r="X18" s="34" t="str">
        <f>IFERROR(INDEX(PRENOTAZIONI!$F:$F,SMALL(PRENOTAZIONI!$AR:$AR,15)),"")</f>
        <v/>
      </c>
      <c r="Y18" s="35" t="str">
        <f>IFERROR(INDEX(PRENOTAZIONI!$H:$H,SMALL(PRENOTAZIONI!$AR:$AR,15)),"")</f>
        <v/>
      </c>
      <c r="Z18" s="34" t="str">
        <f>IFERROR(INDEX(PRENOTAZIONI!$K:$K,SMALL(PRENOTAZIONI!$AR:$AR,15)),"")</f>
        <v/>
      </c>
      <c r="AA18" s="34"/>
      <c r="AB18" s="34"/>
      <c r="AC18" s="40" t="str">
        <f t="shared" si="8"/>
        <v/>
      </c>
      <c r="AD18" s="41" t="str">
        <f t="shared" si="9"/>
        <v/>
      </c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pans="1:42" ht="22" customHeight="1" x14ac:dyDescent="0.2">
      <c r="A19" s="31" t="str">
        <f>IFERROR(INDEX(PRENOTAZIONI!$A:$A,SMALL(PRENOTAZIONI!$AD:$AD,16)),"")</f>
        <v/>
      </c>
      <c r="B19" s="31" t="str">
        <f>IFERROR(INDEX(PRENOTAZIONI!$B:$B,SMALL(PRENOTAZIONI!$AD:$AD,16)),"")</f>
        <v/>
      </c>
      <c r="C19" s="32" t="str">
        <f t="shared" si="0"/>
        <v/>
      </c>
      <c r="D19" s="34" t="str">
        <f>IFERROR(INDEX(PRENOTAZIONI!$E:$E,SMALL(PRENOTAZIONI!$AD:$AD,16)),"")</f>
        <v/>
      </c>
      <c r="E19" s="34" t="str">
        <f>IFERROR(INDEX(PRENOTAZIONI!$F:$F,SMALL(PRENOTAZIONI!$AD:$AD,16)),"")</f>
        <v/>
      </c>
      <c r="F19" s="34" t="str">
        <f>IFERROR(INDEX(PRENOTAZIONI!$G:$G,SMALL(PRENOTAZIONI!$AD:$AD,16)),"")</f>
        <v/>
      </c>
      <c r="G19" s="35" t="str">
        <f>IFERROR(INDEX(PRENOTAZIONI!$H:$H,SMALL(PRENOTAZIONI!$AD:$AD,16)),"")</f>
        <v/>
      </c>
      <c r="H19" s="146" t="str">
        <f t="shared" si="1"/>
        <v/>
      </c>
      <c r="I19" s="35" t="str">
        <f t="shared" si="2"/>
        <v/>
      </c>
      <c r="J19" s="149" t="str">
        <f t="shared" si="3"/>
        <v/>
      </c>
      <c r="K19" s="34" t="str">
        <f>IFERROR(INDEX(PRENOTAZIONI!$K:$K,SMALL(PRENOTAZIONI!$AD:$AD,16)),"")</f>
        <v/>
      </c>
      <c r="L19" s="35" t="str">
        <f>IFERROR(INDEX(PRENOTAZIONI!$L:$L,SMALL(PRENOTAZIONI!$AD:$AD,16)),"")</f>
        <v/>
      </c>
      <c r="M19" s="150" t="str">
        <f t="shared" si="4"/>
        <v/>
      </c>
      <c r="N19" s="35" t="str">
        <f t="shared" si="5"/>
        <v/>
      </c>
      <c r="O19" s="35"/>
      <c r="P19" s="43"/>
      <c r="Q19" s="150" t="str">
        <f t="shared" si="6"/>
        <v/>
      </c>
      <c r="R19" s="34" t="str">
        <f>IFERROR(INDEX(PRENOTAZIONI!$R:$R,SMALL(PRENOTAZIONI!$AD:$AD,16)),"")</f>
        <v/>
      </c>
      <c r="S19" s="31"/>
      <c r="T19" s="80" t="str">
        <f>IFERROR(INDEX(PRENOTAZIONI!$A:$A,SMALL(PRENOTAZIONI!$AR:$AR,16)),"")</f>
        <v/>
      </c>
      <c r="U19" s="31" t="str">
        <f>IFERROR(INDEX(PRENOTAZIONI!$B:$B,SMALL(PRENOTAZIONI!$AR:$AR,16)),"")</f>
        <v/>
      </c>
      <c r="V19" s="32" t="str">
        <f t="shared" si="7"/>
        <v/>
      </c>
      <c r="W19" s="34" t="str">
        <f>IFERROR(INDEX(PRENOTAZIONI!$E:$E,SMALL(PRENOTAZIONI!$AR:$AR,16)),"")</f>
        <v/>
      </c>
      <c r="X19" s="34" t="str">
        <f>IFERROR(INDEX(PRENOTAZIONI!$F:$F,SMALL(PRENOTAZIONI!$AR:$AR,16)),"")</f>
        <v/>
      </c>
      <c r="Y19" s="35" t="str">
        <f>IFERROR(INDEX(PRENOTAZIONI!$H:$H,SMALL(PRENOTAZIONI!$AR:$AR,16)),"")</f>
        <v/>
      </c>
      <c r="Z19" s="34" t="str">
        <f>IFERROR(INDEX(PRENOTAZIONI!$K:$K,SMALL(PRENOTAZIONI!$AR:$AR,16)),"")</f>
        <v/>
      </c>
      <c r="AA19" s="34"/>
      <c r="AB19" s="34"/>
      <c r="AC19" s="40" t="str">
        <f t="shared" si="8"/>
        <v/>
      </c>
      <c r="AD19" s="41" t="str">
        <f t="shared" si="9"/>
        <v/>
      </c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pans="1:42" ht="22" customHeight="1" x14ac:dyDescent="0.2">
      <c r="A20" s="31" t="str">
        <f>IFERROR(INDEX(PRENOTAZIONI!$A:$A,SMALL(PRENOTAZIONI!$AD:$AD,17)),"")</f>
        <v/>
      </c>
      <c r="B20" s="31" t="str">
        <f>IFERROR(INDEX(PRENOTAZIONI!$B:$B,SMALL(PRENOTAZIONI!$AD:$AD,17)),"")</f>
        <v/>
      </c>
      <c r="C20" s="32" t="str">
        <f t="shared" si="0"/>
        <v/>
      </c>
      <c r="D20" s="34" t="str">
        <f>IFERROR(INDEX(PRENOTAZIONI!$E:$E,SMALL(PRENOTAZIONI!$AD:$AD,17)),"")</f>
        <v/>
      </c>
      <c r="E20" s="34" t="str">
        <f>IFERROR(INDEX(PRENOTAZIONI!$F:$F,SMALL(PRENOTAZIONI!$AD:$AD,17)),"")</f>
        <v/>
      </c>
      <c r="F20" s="34" t="str">
        <f>IFERROR(INDEX(PRENOTAZIONI!$G:$G,SMALL(PRENOTAZIONI!$AD:$AD,17)),"")</f>
        <v/>
      </c>
      <c r="G20" s="35" t="str">
        <f>IFERROR(INDEX(PRENOTAZIONI!$H:$H,SMALL(PRENOTAZIONI!$AD:$AD,17)),"")</f>
        <v/>
      </c>
      <c r="H20" s="146" t="str">
        <f t="shared" si="1"/>
        <v/>
      </c>
      <c r="I20" s="35" t="str">
        <f t="shared" si="2"/>
        <v/>
      </c>
      <c r="J20" s="149" t="str">
        <f t="shared" si="3"/>
        <v/>
      </c>
      <c r="K20" s="34" t="str">
        <f>IFERROR(INDEX(PRENOTAZIONI!$K:$K,SMALL(PRENOTAZIONI!$AD:$AD,17)),"")</f>
        <v/>
      </c>
      <c r="L20" s="35" t="str">
        <f>IFERROR(INDEX(PRENOTAZIONI!$L:$L,SMALL(PRENOTAZIONI!$AD:$AD,17)),"")</f>
        <v/>
      </c>
      <c r="M20" s="150" t="str">
        <f t="shared" si="4"/>
        <v/>
      </c>
      <c r="N20" s="35" t="str">
        <f t="shared" si="5"/>
        <v/>
      </c>
      <c r="O20" s="35"/>
      <c r="P20" s="43"/>
      <c r="Q20" s="150" t="str">
        <f t="shared" si="6"/>
        <v/>
      </c>
      <c r="R20" s="34" t="str">
        <f>IFERROR(INDEX(PRENOTAZIONI!$R:$R,SMALL(PRENOTAZIONI!$AD:$AD,17)),"")</f>
        <v/>
      </c>
      <c r="S20" s="31"/>
      <c r="T20" s="80" t="str">
        <f>IFERROR(INDEX(PRENOTAZIONI!$A:$A,SMALL(PRENOTAZIONI!$AR:$AR,17)),"")</f>
        <v/>
      </c>
      <c r="U20" s="31" t="str">
        <f>IFERROR(INDEX(PRENOTAZIONI!$B:$B,SMALL(PRENOTAZIONI!$AR:$AR,17)),"")</f>
        <v/>
      </c>
      <c r="V20" s="32" t="str">
        <f t="shared" si="7"/>
        <v/>
      </c>
      <c r="W20" s="34" t="str">
        <f>IFERROR(INDEX(PRENOTAZIONI!$E:$E,SMALL(PRENOTAZIONI!$AR:$AR,17)),"")</f>
        <v/>
      </c>
      <c r="X20" s="34" t="str">
        <f>IFERROR(INDEX(PRENOTAZIONI!$F:$F,SMALL(PRENOTAZIONI!$AR:$AR,17)),"")</f>
        <v/>
      </c>
      <c r="Y20" s="35" t="str">
        <f>IFERROR(INDEX(PRENOTAZIONI!$H:$H,SMALL(PRENOTAZIONI!$AR:$AR,17)),"")</f>
        <v/>
      </c>
      <c r="Z20" s="34" t="str">
        <f>IFERROR(INDEX(PRENOTAZIONI!$K:$K,SMALL(PRENOTAZIONI!$AR:$AR,17)),"")</f>
        <v/>
      </c>
      <c r="AA20" s="34"/>
      <c r="AB20" s="34"/>
      <c r="AC20" s="40" t="str">
        <f t="shared" si="8"/>
        <v/>
      </c>
      <c r="AD20" s="41" t="str">
        <f t="shared" si="9"/>
        <v/>
      </c>
    </row>
    <row r="21" spans="1:42" ht="22" customHeight="1" x14ac:dyDescent="0.2">
      <c r="A21" s="31" t="str">
        <f>IFERROR(INDEX(PRENOTAZIONI!$A:$A,SMALL(PRENOTAZIONI!$AD:$AD,18)),"")</f>
        <v/>
      </c>
      <c r="B21" s="31" t="str">
        <f>IFERROR(INDEX(PRENOTAZIONI!$B:$B,SMALL(PRENOTAZIONI!$AD:$AD,18)),"")</f>
        <v/>
      </c>
      <c r="C21" s="32" t="str">
        <f t="shared" si="0"/>
        <v/>
      </c>
      <c r="D21" s="34" t="str">
        <f>IFERROR(INDEX(PRENOTAZIONI!$E:$E,SMALL(PRENOTAZIONI!$AD:$AD,18)),"")</f>
        <v/>
      </c>
      <c r="E21" s="34" t="str">
        <f>IFERROR(INDEX(PRENOTAZIONI!$F:$F,SMALL(PRENOTAZIONI!$AD:$AD,18)),"")</f>
        <v/>
      </c>
      <c r="F21" s="34" t="str">
        <f>IFERROR(INDEX(PRENOTAZIONI!$G:$G,SMALL(PRENOTAZIONI!$AD:$AD,18)),"")</f>
        <v/>
      </c>
      <c r="G21" s="35" t="str">
        <f>IFERROR(INDEX(PRENOTAZIONI!$H:$H,SMALL(PRENOTAZIONI!$AD:$AD,18)),"")</f>
        <v/>
      </c>
      <c r="H21" s="146" t="str">
        <f t="shared" si="1"/>
        <v/>
      </c>
      <c r="I21" s="35" t="str">
        <f t="shared" si="2"/>
        <v/>
      </c>
      <c r="J21" s="149" t="str">
        <f t="shared" si="3"/>
        <v/>
      </c>
      <c r="K21" s="34" t="str">
        <f>IFERROR(INDEX(PRENOTAZIONI!$K:$K,SMALL(PRENOTAZIONI!$AD:$AD,18)),"")</f>
        <v/>
      </c>
      <c r="L21" s="35" t="str">
        <f>IFERROR(INDEX(PRENOTAZIONI!$L:$L,SMALL(PRENOTAZIONI!$AD:$AD,18)),"")</f>
        <v/>
      </c>
      <c r="M21" s="150" t="str">
        <f t="shared" si="4"/>
        <v/>
      </c>
      <c r="N21" s="35" t="str">
        <f t="shared" si="5"/>
        <v/>
      </c>
      <c r="O21" s="35"/>
      <c r="P21" s="43"/>
      <c r="Q21" s="150" t="str">
        <f t="shared" si="6"/>
        <v/>
      </c>
      <c r="R21" s="34" t="str">
        <f>IFERROR(INDEX(PRENOTAZIONI!$R:$R,SMALL(PRENOTAZIONI!$AD:$AD,18)),"")</f>
        <v/>
      </c>
      <c r="S21" s="31"/>
      <c r="T21" s="80" t="str">
        <f>IFERROR(INDEX(PRENOTAZIONI!$A:$A,SMALL(PRENOTAZIONI!$AR:$AR,18)),"")</f>
        <v/>
      </c>
      <c r="U21" s="31" t="str">
        <f>IFERROR(INDEX(PRENOTAZIONI!$B:$B,SMALL(PRENOTAZIONI!$AR:$AR,18)),"")</f>
        <v/>
      </c>
      <c r="V21" s="32" t="str">
        <f t="shared" si="7"/>
        <v/>
      </c>
      <c r="W21" s="34" t="str">
        <f>IFERROR(INDEX(PRENOTAZIONI!$E:$E,SMALL(PRENOTAZIONI!$AR:$AR,18)),"")</f>
        <v/>
      </c>
      <c r="X21" s="34" t="str">
        <f>IFERROR(INDEX(PRENOTAZIONI!$F:$F,SMALL(PRENOTAZIONI!$AR:$AR,18)),"")</f>
        <v/>
      </c>
      <c r="Y21" s="35" t="str">
        <f>IFERROR(INDEX(PRENOTAZIONI!$H:$H,SMALL(PRENOTAZIONI!$AR:$AR,18)),"")</f>
        <v/>
      </c>
      <c r="Z21" s="34" t="str">
        <f>IFERROR(INDEX(PRENOTAZIONI!$K:$K,SMALL(PRENOTAZIONI!$AR:$AR,18)),"")</f>
        <v/>
      </c>
      <c r="AA21" s="34"/>
      <c r="AB21" s="34"/>
      <c r="AC21" s="40" t="str">
        <f t="shared" si="8"/>
        <v/>
      </c>
      <c r="AD21" s="41" t="str">
        <f t="shared" si="9"/>
        <v/>
      </c>
    </row>
    <row r="22" spans="1:42" ht="22" customHeight="1" x14ac:dyDescent="0.2">
      <c r="A22" s="31" t="str">
        <f>IFERROR(INDEX(PRENOTAZIONI!$A:$A,SMALL(PRENOTAZIONI!$AD:$AD,19)),"")</f>
        <v/>
      </c>
      <c r="B22" s="31" t="str">
        <f>IFERROR(INDEX(PRENOTAZIONI!$B:$B,SMALL(PRENOTAZIONI!$AD:$AD,19)),"")</f>
        <v/>
      </c>
      <c r="C22" s="32" t="str">
        <f t="shared" si="0"/>
        <v/>
      </c>
      <c r="D22" s="34" t="str">
        <f>IFERROR(INDEX(PRENOTAZIONI!$E:$E,SMALL(PRENOTAZIONI!$AD:$AD,19)),"")</f>
        <v/>
      </c>
      <c r="E22" s="34" t="str">
        <f>IFERROR(INDEX(PRENOTAZIONI!$F:$F,SMALL(PRENOTAZIONI!$AD:$AD,19)),"")</f>
        <v/>
      </c>
      <c r="F22" s="34" t="str">
        <f>IFERROR(INDEX(PRENOTAZIONI!$G:$G,SMALL(PRENOTAZIONI!$AD:$AD,19)),"")</f>
        <v/>
      </c>
      <c r="G22" s="35" t="str">
        <f>IFERROR(INDEX(PRENOTAZIONI!$H:$H,SMALL(PRENOTAZIONI!$AD:$AD,19)),"")</f>
        <v/>
      </c>
      <c r="H22" s="146" t="str">
        <f t="shared" si="1"/>
        <v/>
      </c>
      <c r="I22" s="35" t="str">
        <f t="shared" si="2"/>
        <v/>
      </c>
      <c r="J22" s="149" t="str">
        <f t="shared" si="3"/>
        <v/>
      </c>
      <c r="K22" s="34" t="str">
        <f>IFERROR(INDEX(PRENOTAZIONI!$K:$K,SMALL(PRENOTAZIONI!$AD:$AD,19)),"")</f>
        <v/>
      </c>
      <c r="L22" s="35" t="str">
        <f>IFERROR(INDEX(PRENOTAZIONI!$L:$L,SMALL(PRENOTAZIONI!$AD:$AD,19)),"")</f>
        <v/>
      </c>
      <c r="M22" s="150" t="str">
        <f t="shared" si="4"/>
        <v/>
      </c>
      <c r="N22" s="35" t="str">
        <f t="shared" si="5"/>
        <v/>
      </c>
      <c r="O22" s="35"/>
      <c r="P22" s="43"/>
      <c r="Q22" s="150" t="str">
        <f t="shared" si="6"/>
        <v/>
      </c>
      <c r="R22" s="34" t="str">
        <f>IFERROR(INDEX(PRENOTAZIONI!$R:$R,SMALL(PRENOTAZIONI!$AD:$AD,19)),"")</f>
        <v/>
      </c>
      <c r="S22" s="31"/>
      <c r="T22" s="80" t="str">
        <f>IFERROR(INDEX(PRENOTAZIONI!$A:$A,SMALL(PRENOTAZIONI!$AR:$AR,19)),"")</f>
        <v/>
      </c>
      <c r="U22" s="31" t="str">
        <f>IFERROR(INDEX(PRENOTAZIONI!$B:$B,SMALL(PRENOTAZIONI!$AR:$AR,19)),"")</f>
        <v/>
      </c>
      <c r="V22" s="32" t="str">
        <f t="shared" si="7"/>
        <v/>
      </c>
      <c r="W22" s="34" t="str">
        <f>IFERROR(INDEX(PRENOTAZIONI!$E:$E,SMALL(PRENOTAZIONI!$AR:$AR,19)),"")</f>
        <v/>
      </c>
      <c r="X22" s="34" t="str">
        <f>IFERROR(INDEX(PRENOTAZIONI!$F:$F,SMALL(PRENOTAZIONI!$AR:$AR,19)),"")</f>
        <v/>
      </c>
      <c r="Y22" s="35" t="str">
        <f>IFERROR(INDEX(PRENOTAZIONI!$H:$H,SMALL(PRENOTAZIONI!$AR:$AR,19)),"")</f>
        <v/>
      </c>
      <c r="Z22" s="34" t="str">
        <f>IFERROR(INDEX(PRENOTAZIONI!$K:$K,SMALL(PRENOTAZIONI!$AR:$AR,19)),"")</f>
        <v/>
      </c>
      <c r="AA22" s="34"/>
      <c r="AB22" s="34"/>
      <c r="AC22" s="40" t="str">
        <f t="shared" si="8"/>
        <v/>
      </c>
      <c r="AD22" s="41" t="str">
        <f t="shared" si="9"/>
        <v/>
      </c>
    </row>
    <row r="23" spans="1:42" ht="22" customHeight="1" x14ac:dyDescent="0.2">
      <c r="A23" s="31" t="str">
        <f>IFERROR(INDEX(PRENOTAZIONI!$A:$A,SMALL(PRENOTAZIONI!$AD:$AD,20)),"")</f>
        <v/>
      </c>
      <c r="B23" s="31" t="str">
        <f>IFERROR(INDEX(PRENOTAZIONI!$B:$B,SMALL(PRENOTAZIONI!$AD:$AD,20)),"")</f>
        <v/>
      </c>
      <c r="C23" s="32" t="str">
        <f t="shared" si="0"/>
        <v/>
      </c>
      <c r="D23" s="34" t="str">
        <f>IFERROR(INDEX(PRENOTAZIONI!$E:$E,SMALL(PRENOTAZIONI!$AD:$AD,20)),"")</f>
        <v/>
      </c>
      <c r="E23" s="34" t="str">
        <f>IFERROR(INDEX(PRENOTAZIONI!$F:$F,SMALL(PRENOTAZIONI!$AD:$AD,20)),"")</f>
        <v/>
      </c>
      <c r="F23" s="34" t="str">
        <f>IFERROR(INDEX(PRENOTAZIONI!$G:$G,SMALL(PRENOTAZIONI!$AD:$AD,20)),"")</f>
        <v/>
      </c>
      <c r="G23" s="35" t="str">
        <f>IFERROR(INDEX(PRENOTAZIONI!$H:$H,SMALL(PRENOTAZIONI!$AD:$AD,20)),"")</f>
        <v/>
      </c>
      <c r="H23" s="146" t="str">
        <f t="shared" si="1"/>
        <v/>
      </c>
      <c r="I23" s="35" t="str">
        <f t="shared" si="2"/>
        <v/>
      </c>
      <c r="J23" s="149" t="str">
        <f t="shared" si="3"/>
        <v/>
      </c>
      <c r="K23" s="34" t="str">
        <f>IFERROR(INDEX(PRENOTAZIONI!$K:$K,SMALL(PRENOTAZIONI!$AD:$AD,20)),"")</f>
        <v/>
      </c>
      <c r="L23" s="35" t="str">
        <f>IFERROR(INDEX(PRENOTAZIONI!$L:$L,SMALL(PRENOTAZIONI!$AD:$AD,20)),"")</f>
        <v/>
      </c>
      <c r="M23" s="150" t="str">
        <f t="shared" si="4"/>
        <v/>
      </c>
      <c r="N23" s="35" t="str">
        <f t="shared" si="5"/>
        <v/>
      </c>
      <c r="O23" s="35"/>
      <c r="P23" s="43"/>
      <c r="Q23" s="150" t="str">
        <f t="shared" si="6"/>
        <v/>
      </c>
      <c r="R23" s="34" t="str">
        <f>IFERROR(INDEX(PRENOTAZIONI!$R:$R,SMALL(PRENOTAZIONI!$AD:$AD,20)),"")</f>
        <v/>
      </c>
      <c r="S23" s="31"/>
      <c r="T23" s="80" t="str">
        <f>IFERROR(INDEX(PRENOTAZIONI!$A:$A,SMALL(PRENOTAZIONI!$AR:$AR,20)),"")</f>
        <v/>
      </c>
      <c r="U23" s="31" t="str">
        <f>IFERROR(INDEX(PRENOTAZIONI!$B:$B,SMALL(PRENOTAZIONI!$AR:$AR,20)),"")</f>
        <v/>
      </c>
      <c r="V23" s="32" t="str">
        <f t="shared" si="7"/>
        <v/>
      </c>
      <c r="W23" s="34" t="str">
        <f>IFERROR(INDEX(PRENOTAZIONI!$E:$E,SMALL(PRENOTAZIONI!$AR:$AR,20)),"")</f>
        <v/>
      </c>
      <c r="X23" s="34" t="str">
        <f>IFERROR(INDEX(PRENOTAZIONI!$F:$F,SMALL(PRENOTAZIONI!$AR:$AR,20)),"")</f>
        <v/>
      </c>
      <c r="Y23" s="35" t="str">
        <f>IFERROR(INDEX(PRENOTAZIONI!$H:$H,SMALL(PRENOTAZIONI!$AR:$AR,20)),"")</f>
        <v/>
      </c>
      <c r="Z23" s="34" t="str">
        <f>IFERROR(INDEX(PRENOTAZIONI!$K:$K,SMALL(PRENOTAZIONI!$AR:$AR,20)),"")</f>
        <v/>
      </c>
      <c r="AA23" s="34"/>
      <c r="AB23" s="34"/>
      <c r="AC23" s="40" t="str">
        <f t="shared" si="8"/>
        <v/>
      </c>
      <c r="AD23" s="41" t="str">
        <f t="shared" si="9"/>
        <v/>
      </c>
    </row>
    <row r="24" spans="1:42" ht="22" customHeight="1" x14ac:dyDescent="0.2">
      <c r="A24" s="31" t="str">
        <f>IFERROR(INDEX(PRENOTAZIONI!$A:$A,SMALL(PRENOTAZIONI!$AD:$AD,21)),"")</f>
        <v/>
      </c>
      <c r="B24" s="31" t="str">
        <f>IFERROR(INDEX(PRENOTAZIONI!$B:$B,SMALL(PRENOTAZIONI!$AD:$AD,21)),"")</f>
        <v/>
      </c>
      <c r="C24" s="32" t="str">
        <f t="shared" si="0"/>
        <v/>
      </c>
      <c r="D24" s="34" t="str">
        <f>IFERROR(INDEX(PRENOTAZIONI!$E:$E,SMALL(PRENOTAZIONI!$AD:$AD,21)),"")</f>
        <v/>
      </c>
      <c r="E24" s="34" t="str">
        <f>IFERROR(INDEX(PRENOTAZIONI!$F:$F,SMALL(PRENOTAZIONI!$AD:$AD,21)),"")</f>
        <v/>
      </c>
      <c r="F24" s="34" t="str">
        <f>IFERROR(INDEX(PRENOTAZIONI!$G:$G,SMALL(PRENOTAZIONI!$AD:$AD,21)),"")</f>
        <v/>
      </c>
      <c r="G24" s="35" t="str">
        <f>IFERROR(INDEX(PRENOTAZIONI!$H:$H,SMALL(PRENOTAZIONI!$AD:$AD,21)),"")</f>
        <v/>
      </c>
      <c r="H24" s="146" t="str">
        <f t="shared" si="1"/>
        <v/>
      </c>
      <c r="I24" s="35" t="str">
        <f t="shared" si="2"/>
        <v/>
      </c>
      <c r="J24" s="149" t="str">
        <f t="shared" si="3"/>
        <v/>
      </c>
      <c r="K24" s="34" t="str">
        <f>IFERROR(INDEX(PRENOTAZIONI!$K:$K,SMALL(PRENOTAZIONI!$AD:$AD,21)),"")</f>
        <v/>
      </c>
      <c r="L24" s="35" t="str">
        <f>IFERROR(INDEX(PRENOTAZIONI!$L:$L,SMALL(PRENOTAZIONI!$AD:$AD,21)),"")</f>
        <v/>
      </c>
      <c r="M24" s="150" t="str">
        <f t="shared" si="4"/>
        <v/>
      </c>
      <c r="N24" s="35" t="str">
        <f t="shared" si="5"/>
        <v/>
      </c>
      <c r="O24" s="35"/>
      <c r="P24" s="43"/>
      <c r="Q24" s="150" t="str">
        <f t="shared" si="6"/>
        <v/>
      </c>
      <c r="R24" s="34" t="str">
        <f>IFERROR(INDEX(PRENOTAZIONI!$R:$R,SMALL(PRENOTAZIONI!$AD:$AD,21)),"")</f>
        <v/>
      </c>
      <c r="S24" s="31"/>
      <c r="T24" s="80" t="str">
        <f>IFERROR(INDEX(PRENOTAZIONI!$A:$A,SMALL(PRENOTAZIONI!$AR:$AR,21)),"")</f>
        <v/>
      </c>
      <c r="U24" s="31" t="str">
        <f>IFERROR(INDEX(PRENOTAZIONI!$B:$B,SMALL(PRENOTAZIONI!$AR:$AR,21)),"")</f>
        <v/>
      </c>
      <c r="V24" s="32" t="str">
        <f t="shared" si="7"/>
        <v/>
      </c>
      <c r="W24" s="34" t="str">
        <f>IFERROR(INDEX(PRENOTAZIONI!$E:$E,SMALL(PRENOTAZIONI!$AR:$AR,21)),"")</f>
        <v/>
      </c>
      <c r="X24" s="34" t="str">
        <f>IFERROR(INDEX(PRENOTAZIONI!$F:$F,SMALL(PRENOTAZIONI!$AR:$AR,21)),"")</f>
        <v/>
      </c>
      <c r="Y24" s="35" t="str">
        <f>IFERROR(INDEX(PRENOTAZIONI!$H:$H,SMALL(PRENOTAZIONI!$AR:$AR,21)),"")</f>
        <v/>
      </c>
      <c r="Z24" s="34" t="str">
        <f>IFERROR(INDEX(PRENOTAZIONI!$K:$K,SMALL(PRENOTAZIONI!$AR:$AR,21)),"")</f>
        <v/>
      </c>
      <c r="AA24" s="34"/>
      <c r="AB24" s="34"/>
      <c r="AC24" s="40" t="str">
        <f t="shared" si="8"/>
        <v/>
      </c>
      <c r="AD24" s="41" t="str">
        <f t="shared" si="9"/>
        <v/>
      </c>
    </row>
    <row r="25" spans="1:42" ht="22" customHeight="1" x14ac:dyDescent="0.2">
      <c r="A25" s="31" t="str">
        <f>IFERROR(INDEX(PRENOTAZIONI!$A:$A,SMALL(PRENOTAZIONI!$AD:$AD,22)),"")</f>
        <v/>
      </c>
      <c r="B25" s="31" t="str">
        <f>IFERROR(INDEX(PRENOTAZIONI!$B:$B,SMALL(PRENOTAZIONI!$AD:$AD,22)),"")</f>
        <v/>
      </c>
      <c r="C25" s="32" t="str">
        <f t="shared" si="0"/>
        <v/>
      </c>
      <c r="D25" s="34" t="str">
        <f>IFERROR(INDEX(PRENOTAZIONI!$E:$E,SMALL(PRENOTAZIONI!$AD:$AD,22)),"")</f>
        <v/>
      </c>
      <c r="E25" s="34" t="str">
        <f>IFERROR(INDEX(PRENOTAZIONI!$F:$F,SMALL(PRENOTAZIONI!$AD:$AD,22)),"")</f>
        <v/>
      </c>
      <c r="F25" s="34" t="str">
        <f>IFERROR(INDEX(PRENOTAZIONI!$G:$G,SMALL(PRENOTAZIONI!$AD:$AD,22)),"")</f>
        <v/>
      </c>
      <c r="G25" s="35" t="str">
        <f>IFERROR(INDEX(PRENOTAZIONI!$H:$H,SMALL(PRENOTAZIONI!$AD:$AD,22)),"")</f>
        <v/>
      </c>
      <c r="H25" s="146" t="str">
        <f t="shared" si="1"/>
        <v/>
      </c>
      <c r="I25" s="35" t="str">
        <f t="shared" si="2"/>
        <v/>
      </c>
      <c r="J25" s="149" t="str">
        <f t="shared" si="3"/>
        <v/>
      </c>
      <c r="K25" s="34" t="str">
        <f>IFERROR(INDEX(PRENOTAZIONI!$K:$K,SMALL(PRENOTAZIONI!$AD:$AD,22)),"")</f>
        <v/>
      </c>
      <c r="L25" s="35" t="str">
        <f>IFERROR(INDEX(PRENOTAZIONI!$L:$L,SMALL(PRENOTAZIONI!$AD:$AD,22)),"")</f>
        <v/>
      </c>
      <c r="M25" s="150" t="str">
        <f t="shared" si="4"/>
        <v/>
      </c>
      <c r="N25" s="35" t="str">
        <f t="shared" si="5"/>
        <v/>
      </c>
      <c r="O25" s="35"/>
      <c r="P25" s="43"/>
      <c r="Q25" s="150" t="str">
        <f t="shared" si="6"/>
        <v/>
      </c>
      <c r="R25" s="34" t="str">
        <f>IFERROR(INDEX(PRENOTAZIONI!$R:$R,SMALL(PRENOTAZIONI!$AD:$AD,22)),"")</f>
        <v/>
      </c>
      <c r="S25" s="31"/>
      <c r="T25" s="80" t="str">
        <f>IFERROR(INDEX(PRENOTAZIONI!$A:$A,SMALL(PRENOTAZIONI!$AR:$AR,22)),"")</f>
        <v/>
      </c>
      <c r="U25" s="31" t="str">
        <f>IFERROR(INDEX(PRENOTAZIONI!$B:$B,SMALL(PRENOTAZIONI!$AR:$AR,22)),"")</f>
        <v/>
      </c>
      <c r="V25" s="32" t="str">
        <f t="shared" si="7"/>
        <v/>
      </c>
      <c r="W25" s="34" t="str">
        <f>IFERROR(INDEX(PRENOTAZIONI!$E:$E,SMALL(PRENOTAZIONI!$AR:$AR,22)),"")</f>
        <v/>
      </c>
      <c r="X25" s="34" t="str">
        <f>IFERROR(INDEX(PRENOTAZIONI!$F:$F,SMALL(PRENOTAZIONI!$AR:$AR,22)),"")</f>
        <v/>
      </c>
      <c r="Y25" s="35" t="str">
        <f>IFERROR(INDEX(PRENOTAZIONI!$H:$H,SMALL(PRENOTAZIONI!$AR:$AR,22)),"")</f>
        <v/>
      </c>
      <c r="Z25" s="34" t="str">
        <f>IFERROR(INDEX(PRENOTAZIONI!$K:$K,SMALL(PRENOTAZIONI!$AR:$AR,22)),"")</f>
        <v/>
      </c>
      <c r="AA25" s="34"/>
      <c r="AB25" s="34"/>
      <c r="AC25" s="40" t="str">
        <f t="shared" si="8"/>
        <v/>
      </c>
      <c r="AD25" s="41" t="str">
        <f t="shared" si="9"/>
        <v/>
      </c>
    </row>
    <row r="26" spans="1:42" ht="22" customHeight="1" x14ac:dyDescent="0.2">
      <c r="A26" s="31" t="str">
        <f>IFERROR(INDEX(PRENOTAZIONI!$A:$A,SMALL(PRENOTAZIONI!$AD:$AD,23)),"")</f>
        <v/>
      </c>
      <c r="B26" s="31" t="str">
        <f>IFERROR(INDEX(PRENOTAZIONI!$B:$B,SMALL(PRENOTAZIONI!$AD:$AD,23)),"")</f>
        <v/>
      </c>
      <c r="C26" s="32" t="str">
        <f t="shared" si="0"/>
        <v/>
      </c>
      <c r="D26" s="34" t="str">
        <f>IFERROR(INDEX(PRENOTAZIONI!$E:$E,SMALL(PRENOTAZIONI!$AD:$AD,23)),"")</f>
        <v/>
      </c>
      <c r="E26" s="34" t="str">
        <f>IFERROR(INDEX(PRENOTAZIONI!$F:$F,SMALL(PRENOTAZIONI!$AD:$AD,23)),"")</f>
        <v/>
      </c>
      <c r="F26" s="34" t="str">
        <f>IFERROR(INDEX(PRENOTAZIONI!$G:$G,SMALL(PRENOTAZIONI!$AD:$AD,23)),"")</f>
        <v/>
      </c>
      <c r="G26" s="35" t="str">
        <f>IFERROR(INDEX(PRENOTAZIONI!$H:$H,SMALL(PRENOTAZIONI!$AD:$AD,23)),"")</f>
        <v/>
      </c>
      <c r="H26" s="146" t="str">
        <f t="shared" si="1"/>
        <v/>
      </c>
      <c r="I26" s="35" t="str">
        <f t="shared" si="2"/>
        <v/>
      </c>
      <c r="J26" s="149" t="str">
        <f t="shared" si="3"/>
        <v/>
      </c>
      <c r="K26" s="34" t="str">
        <f>IFERROR(INDEX(PRENOTAZIONI!$K:$K,SMALL(PRENOTAZIONI!$AD:$AD,23)),"")</f>
        <v/>
      </c>
      <c r="L26" s="35" t="str">
        <f>IFERROR(INDEX(PRENOTAZIONI!$L:$L,SMALL(PRENOTAZIONI!$AD:$AD,23)),"")</f>
        <v/>
      </c>
      <c r="M26" s="150" t="str">
        <f t="shared" si="4"/>
        <v/>
      </c>
      <c r="N26" s="35" t="str">
        <f t="shared" si="5"/>
        <v/>
      </c>
      <c r="O26" s="35"/>
      <c r="P26" s="43"/>
      <c r="Q26" s="150" t="str">
        <f t="shared" si="6"/>
        <v/>
      </c>
      <c r="R26" s="34" t="str">
        <f>IFERROR(INDEX(PRENOTAZIONI!$R:$R,SMALL(PRENOTAZIONI!$AD:$AD,23)),"")</f>
        <v/>
      </c>
      <c r="S26" s="31"/>
      <c r="T26" s="80" t="str">
        <f>IFERROR(INDEX(PRENOTAZIONI!$A:$A,SMALL(PRENOTAZIONI!$AR:$AR,23)),"")</f>
        <v/>
      </c>
      <c r="U26" s="31" t="str">
        <f>IFERROR(INDEX(PRENOTAZIONI!$B:$B,SMALL(PRENOTAZIONI!$AR:$AR,23)),"")</f>
        <v/>
      </c>
      <c r="V26" s="32" t="str">
        <f t="shared" si="7"/>
        <v/>
      </c>
      <c r="W26" s="34" t="str">
        <f>IFERROR(INDEX(PRENOTAZIONI!$E:$E,SMALL(PRENOTAZIONI!$AR:$AR,23)),"")</f>
        <v/>
      </c>
      <c r="X26" s="34" t="str">
        <f>IFERROR(INDEX(PRENOTAZIONI!$F:$F,SMALL(PRENOTAZIONI!$AR:$AR,23)),"")</f>
        <v/>
      </c>
      <c r="Y26" s="35" t="str">
        <f>IFERROR(INDEX(PRENOTAZIONI!$H:$H,SMALL(PRENOTAZIONI!$AR:$AR,23)),"")</f>
        <v/>
      </c>
      <c r="Z26" s="34" t="str">
        <f>IFERROR(INDEX(PRENOTAZIONI!$K:$K,SMALL(PRENOTAZIONI!$AR:$AR,23)),"")</f>
        <v/>
      </c>
      <c r="AA26" s="34"/>
      <c r="AB26" s="34"/>
      <c r="AC26" s="40" t="str">
        <f t="shared" si="8"/>
        <v/>
      </c>
      <c r="AD26" s="41" t="str">
        <f t="shared" si="9"/>
        <v/>
      </c>
    </row>
    <row r="27" spans="1:42" ht="22" customHeight="1" x14ac:dyDescent="0.2">
      <c r="A27" s="31" t="str">
        <f>IFERROR(INDEX(PRENOTAZIONI!$A:$A,SMALL(PRENOTAZIONI!$AD:$AD,24)),"")</f>
        <v/>
      </c>
      <c r="B27" s="31" t="str">
        <f>IFERROR(INDEX(PRENOTAZIONI!$B:$B,SMALL(PRENOTAZIONI!$AD:$AD,24)),"")</f>
        <v/>
      </c>
      <c r="C27" s="32" t="str">
        <f t="shared" si="0"/>
        <v/>
      </c>
      <c r="D27" s="34" t="str">
        <f>IFERROR(INDEX(PRENOTAZIONI!$E:$E,SMALL(PRENOTAZIONI!$AD:$AD,24)),"")</f>
        <v/>
      </c>
      <c r="E27" s="34" t="str">
        <f>IFERROR(INDEX(PRENOTAZIONI!$F:$F,SMALL(PRENOTAZIONI!$AD:$AD,24)),"")</f>
        <v/>
      </c>
      <c r="F27" s="34" t="str">
        <f>IFERROR(INDEX(PRENOTAZIONI!$G:$G,SMALL(PRENOTAZIONI!$AD:$AD,24)),"")</f>
        <v/>
      </c>
      <c r="G27" s="35" t="str">
        <f>IFERROR(INDEX(PRENOTAZIONI!$H:$H,SMALL(PRENOTAZIONI!$AD:$AD,24)),"")</f>
        <v/>
      </c>
      <c r="H27" s="146" t="str">
        <f t="shared" si="1"/>
        <v/>
      </c>
      <c r="I27" s="35" t="str">
        <f t="shared" si="2"/>
        <v/>
      </c>
      <c r="J27" s="149" t="str">
        <f t="shared" si="3"/>
        <v/>
      </c>
      <c r="K27" s="34" t="str">
        <f>IFERROR(INDEX(PRENOTAZIONI!$K:$K,SMALL(PRENOTAZIONI!$AD:$AD,24)),"")</f>
        <v/>
      </c>
      <c r="L27" s="35" t="str">
        <f>IFERROR(INDEX(PRENOTAZIONI!$L:$L,SMALL(PRENOTAZIONI!$AD:$AD,24)),"")</f>
        <v/>
      </c>
      <c r="M27" s="150" t="str">
        <f t="shared" si="4"/>
        <v/>
      </c>
      <c r="N27" s="35" t="str">
        <f t="shared" si="5"/>
        <v/>
      </c>
      <c r="O27" s="35"/>
      <c r="P27" s="43"/>
      <c r="Q27" s="150" t="str">
        <f t="shared" si="6"/>
        <v/>
      </c>
      <c r="R27" s="34" t="str">
        <f>IFERROR(INDEX(PRENOTAZIONI!$R:$R,SMALL(PRENOTAZIONI!$AD:$AD,24)),"")</f>
        <v/>
      </c>
      <c r="S27" s="31"/>
      <c r="T27" s="80" t="str">
        <f>IFERROR(INDEX(PRENOTAZIONI!$A:$A,SMALL(PRENOTAZIONI!$AR:$AR,24)),"")</f>
        <v/>
      </c>
      <c r="U27" s="31" t="str">
        <f>IFERROR(INDEX(PRENOTAZIONI!$B:$B,SMALL(PRENOTAZIONI!$AR:$AR,24)),"")</f>
        <v/>
      </c>
      <c r="V27" s="32" t="str">
        <f t="shared" si="7"/>
        <v/>
      </c>
      <c r="W27" s="34" t="str">
        <f>IFERROR(INDEX(PRENOTAZIONI!$E:$E,SMALL(PRENOTAZIONI!$AR:$AR,24)),"")</f>
        <v/>
      </c>
      <c r="X27" s="34" t="str">
        <f>IFERROR(INDEX(PRENOTAZIONI!$F:$F,SMALL(PRENOTAZIONI!$AR:$AR,24)),"")</f>
        <v/>
      </c>
      <c r="Y27" s="35" t="str">
        <f>IFERROR(INDEX(PRENOTAZIONI!$H:$H,SMALL(PRENOTAZIONI!$AR:$AR,24)),"")</f>
        <v/>
      </c>
      <c r="Z27" s="34" t="str">
        <f>IFERROR(INDEX(PRENOTAZIONI!$K:$K,SMALL(PRENOTAZIONI!$AR:$AR,24)),"")</f>
        <v/>
      </c>
      <c r="AA27" s="34"/>
      <c r="AB27" s="34"/>
      <c r="AC27" s="40" t="str">
        <f t="shared" si="8"/>
        <v/>
      </c>
      <c r="AD27" s="41" t="str">
        <f t="shared" si="9"/>
        <v/>
      </c>
    </row>
    <row r="28" spans="1:42" ht="22" customHeight="1" x14ac:dyDescent="0.2">
      <c r="A28" s="31" t="str">
        <f>IFERROR(INDEX(PRENOTAZIONI!$A:$A,SMALL(PRENOTAZIONI!$AD:$AD,25)),"")</f>
        <v/>
      </c>
      <c r="B28" s="31" t="str">
        <f>IFERROR(INDEX(PRENOTAZIONI!$B:$B,SMALL(PRENOTAZIONI!$AD:$AD,25)),"")</f>
        <v/>
      </c>
      <c r="C28" s="32" t="str">
        <f t="shared" si="0"/>
        <v/>
      </c>
      <c r="D28" s="34" t="str">
        <f>IFERROR(INDEX(PRENOTAZIONI!$E:$E,SMALL(PRENOTAZIONI!$AD:$AD,25)),"")</f>
        <v/>
      </c>
      <c r="E28" s="34" t="str">
        <f>IFERROR(INDEX(PRENOTAZIONI!$F:$F,SMALL(PRENOTAZIONI!$AD:$AD,25)),"")</f>
        <v/>
      </c>
      <c r="F28" s="34" t="str">
        <f>IFERROR(INDEX(PRENOTAZIONI!$G:$G,SMALL(PRENOTAZIONI!$AD:$AD,25)),"")</f>
        <v/>
      </c>
      <c r="G28" s="35" t="str">
        <f>IFERROR(INDEX(PRENOTAZIONI!$H:$H,SMALL(PRENOTAZIONI!$AD:$AD,25)),"")</f>
        <v/>
      </c>
      <c r="H28" s="146" t="str">
        <f t="shared" si="1"/>
        <v/>
      </c>
      <c r="I28" s="35" t="str">
        <f t="shared" si="2"/>
        <v/>
      </c>
      <c r="J28" s="149" t="str">
        <f t="shared" si="3"/>
        <v/>
      </c>
      <c r="K28" s="34" t="str">
        <f>IFERROR(INDEX(PRENOTAZIONI!$K:$K,SMALL(PRENOTAZIONI!$AD:$AD,25)),"")</f>
        <v/>
      </c>
      <c r="L28" s="35" t="str">
        <f>IFERROR(INDEX(PRENOTAZIONI!$L:$L,SMALL(PRENOTAZIONI!$AD:$AD,25)),"")</f>
        <v/>
      </c>
      <c r="M28" s="150" t="str">
        <f t="shared" si="4"/>
        <v/>
      </c>
      <c r="N28" s="35" t="str">
        <f t="shared" si="5"/>
        <v/>
      </c>
      <c r="O28" s="35"/>
      <c r="P28" s="43"/>
      <c r="Q28" s="150" t="str">
        <f t="shared" si="6"/>
        <v/>
      </c>
      <c r="R28" s="34" t="str">
        <f>IFERROR(INDEX(PRENOTAZIONI!$R:$R,SMALL(PRENOTAZIONI!$AD:$AD,25)),"")</f>
        <v/>
      </c>
      <c r="S28" s="31"/>
      <c r="T28" s="80" t="str">
        <f>IFERROR(INDEX(PRENOTAZIONI!$A:$A,SMALL(PRENOTAZIONI!$AR:$AR,25)),"")</f>
        <v/>
      </c>
      <c r="U28" s="31" t="str">
        <f>IFERROR(INDEX(PRENOTAZIONI!$B:$B,SMALL(PRENOTAZIONI!$AR:$AR,25)),"")</f>
        <v/>
      </c>
      <c r="V28" s="32" t="str">
        <f t="shared" si="7"/>
        <v/>
      </c>
      <c r="W28" s="34" t="str">
        <f>IFERROR(INDEX(PRENOTAZIONI!$E:$E,SMALL(PRENOTAZIONI!$AR:$AR,25)),"")</f>
        <v/>
      </c>
      <c r="X28" s="34" t="str">
        <f>IFERROR(INDEX(PRENOTAZIONI!$F:$F,SMALL(PRENOTAZIONI!$AR:$AR,25)),"")</f>
        <v/>
      </c>
      <c r="Y28" s="35" t="str">
        <f>IFERROR(INDEX(PRENOTAZIONI!$H:$H,SMALL(PRENOTAZIONI!$AR:$AR,25)),"")</f>
        <v/>
      </c>
      <c r="Z28" s="34" t="str">
        <f>IFERROR(INDEX(PRENOTAZIONI!$K:$K,SMALL(PRENOTAZIONI!$AR:$AR,25)),"")</f>
        <v/>
      </c>
      <c r="AA28" s="34"/>
      <c r="AB28" s="34"/>
      <c r="AC28" s="40" t="str">
        <f t="shared" si="8"/>
        <v/>
      </c>
      <c r="AD28" s="41" t="str">
        <f t="shared" si="9"/>
        <v/>
      </c>
    </row>
    <row r="29" spans="1:42" ht="22" customHeight="1" x14ac:dyDescent="0.2">
      <c r="A29" s="31" t="str">
        <f>IFERROR(INDEX(PRENOTAZIONI!$A:$A,SMALL(PRENOTAZIONI!$AD:$AD,26)),"")</f>
        <v/>
      </c>
      <c r="B29" s="31" t="str">
        <f>IFERROR(INDEX(PRENOTAZIONI!$B:$B,SMALL(PRENOTAZIONI!$AD:$AD,26)),"")</f>
        <v/>
      </c>
      <c r="C29" s="32" t="str">
        <f t="shared" si="0"/>
        <v/>
      </c>
      <c r="D29" s="34" t="str">
        <f>IFERROR(INDEX(PRENOTAZIONI!$E:$E,SMALL(PRENOTAZIONI!$AD:$AD,26)),"")</f>
        <v/>
      </c>
      <c r="E29" s="34" t="str">
        <f>IFERROR(INDEX(PRENOTAZIONI!$F:$F,SMALL(PRENOTAZIONI!$AD:$AD,26)),"")</f>
        <v/>
      </c>
      <c r="F29" s="34" t="str">
        <f>IFERROR(INDEX(PRENOTAZIONI!$G:$G,SMALL(PRENOTAZIONI!$AD:$AD,26)),"")</f>
        <v/>
      </c>
      <c r="G29" s="35" t="str">
        <f>IFERROR(INDEX(PRENOTAZIONI!$H:$H,SMALL(PRENOTAZIONI!$AD:$AD,26)),"")</f>
        <v/>
      </c>
      <c r="H29" s="146" t="str">
        <f t="shared" si="1"/>
        <v/>
      </c>
      <c r="I29" s="35" t="str">
        <f t="shared" si="2"/>
        <v/>
      </c>
      <c r="J29" s="149" t="str">
        <f t="shared" si="3"/>
        <v/>
      </c>
      <c r="K29" s="34" t="str">
        <f>IFERROR(INDEX(PRENOTAZIONI!$K:$K,SMALL(PRENOTAZIONI!$AD:$AD,26)),"")</f>
        <v/>
      </c>
      <c r="L29" s="35" t="str">
        <f>IFERROR(INDEX(PRENOTAZIONI!$L:$L,SMALL(PRENOTAZIONI!$AD:$AD,26)),"")</f>
        <v/>
      </c>
      <c r="M29" s="150" t="str">
        <f t="shared" si="4"/>
        <v/>
      </c>
      <c r="N29" s="35" t="str">
        <f t="shared" si="5"/>
        <v/>
      </c>
      <c r="O29" s="35"/>
      <c r="P29" s="43"/>
      <c r="Q29" s="150" t="str">
        <f t="shared" si="6"/>
        <v/>
      </c>
      <c r="R29" s="34" t="str">
        <f>IFERROR(INDEX(PRENOTAZIONI!$R:$R,SMALL(PRENOTAZIONI!$AD:$AD,26)),"")</f>
        <v/>
      </c>
      <c r="S29" s="31"/>
      <c r="T29" s="80" t="str">
        <f>IFERROR(INDEX(PRENOTAZIONI!$A:$A,SMALL(PRENOTAZIONI!$AR:$AR,26)),"")</f>
        <v/>
      </c>
      <c r="U29" s="31" t="str">
        <f>IFERROR(INDEX(PRENOTAZIONI!$B:$B,SMALL(PRENOTAZIONI!$AR:$AR,26)),"")</f>
        <v/>
      </c>
      <c r="V29" s="32" t="str">
        <f t="shared" si="7"/>
        <v/>
      </c>
      <c r="W29" s="34" t="str">
        <f>IFERROR(INDEX(PRENOTAZIONI!$E:$E,SMALL(PRENOTAZIONI!$AR:$AR,26)),"")</f>
        <v/>
      </c>
      <c r="X29" s="34" t="str">
        <f>IFERROR(INDEX(PRENOTAZIONI!$F:$F,SMALL(PRENOTAZIONI!$AR:$AR,26)),"")</f>
        <v/>
      </c>
      <c r="Y29" s="35" t="str">
        <f>IFERROR(INDEX(PRENOTAZIONI!$H:$H,SMALL(PRENOTAZIONI!$AR:$AR,26)),"")</f>
        <v/>
      </c>
      <c r="Z29" s="34" t="str">
        <f>IFERROR(INDEX(PRENOTAZIONI!$K:$K,SMALL(PRENOTAZIONI!$AR:$AR,26)),"")</f>
        <v/>
      </c>
      <c r="AA29" s="34"/>
      <c r="AB29" s="34"/>
      <c r="AC29" s="40" t="str">
        <f t="shared" si="8"/>
        <v/>
      </c>
      <c r="AD29" s="41" t="str">
        <f t="shared" si="9"/>
        <v/>
      </c>
    </row>
    <row r="30" spans="1:42" ht="22" customHeight="1" x14ac:dyDescent="0.2">
      <c r="A30" s="31" t="str">
        <f>IFERROR(INDEX(PRENOTAZIONI!$A:$A,SMALL(PRENOTAZIONI!$AD:$AD,27)),"")</f>
        <v/>
      </c>
      <c r="B30" s="31" t="str">
        <f>IFERROR(INDEX(PRENOTAZIONI!$B:$B,SMALL(PRENOTAZIONI!$AD:$AD,27)),"")</f>
        <v/>
      </c>
      <c r="C30" s="32" t="str">
        <f t="shared" si="0"/>
        <v/>
      </c>
      <c r="D30" s="34" t="str">
        <f>IFERROR(INDEX(PRENOTAZIONI!$E:$E,SMALL(PRENOTAZIONI!$AD:$AD,27)),"")</f>
        <v/>
      </c>
      <c r="E30" s="34" t="str">
        <f>IFERROR(INDEX(PRENOTAZIONI!$F:$F,SMALL(PRENOTAZIONI!$AD:$AD,27)),"")</f>
        <v/>
      </c>
      <c r="F30" s="34" t="str">
        <f>IFERROR(INDEX(PRENOTAZIONI!$G:$G,SMALL(PRENOTAZIONI!$AD:$AD,27)),"")</f>
        <v/>
      </c>
      <c r="G30" s="35" t="str">
        <f>IFERROR(INDEX(PRENOTAZIONI!$H:$H,SMALL(PRENOTAZIONI!$AD:$AD,27)),"")</f>
        <v/>
      </c>
      <c r="H30" s="146" t="str">
        <f t="shared" si="1"/>
        <v/>
      </c>
      <c r="I30" s="35" t="str">
        <f t="shared" si="2"/>
        <v/>
      </c>
      <c r="J30" s="149" t="str">
        <f t="shared" si="3"/>
        <v/>
      </c>
      <c r="K30" s="34" t="str">
        <f>IFERROR(INDEX(PRENOTAZIONI!$K:$K,SMALL(PRENOTAZIONI!$AD:$AD,27)),"")</f>
        <v/>
      </c>
      <c r="L30" s="35" t="str">
        <f>IFERROR(INDEX(PRENOTAZIONI!$L:$L,SMALL(PRENOTAZIONI!$AD:$AD,27)),"")</f>
        <v/>
      </c>
      <c r="M30" s="150" t="str">
        <f t="shared" si="4"/>
        <v/>
      </c>
      <c r="N30" s="35" t="str">
        <f t="shared" si="5"/>
        <v/>
      </c>
      <c r="O30" s="35"/>
      <c r="P30" s="43"/>
      <c r="Q30" s="150" t="str">
        <f t="shared" si="6"/>
        <v/>
      </c>
      <c r="R30" s="34" t="str">
        <f>IFERROR(INDEX(PRENOTAZIONI!$R:$R,SMALL(PRENOTAZIONI!$AD:$AD,27)),"")</f>
        <v/>
      </c>
      <c r="S30" s="31"/>
      <c r="T30" s="80" t="str">
        <f>IFERROR(INDEX(PRENOTAZIONI!$A:$A,SMALL(PRENOTAZIONI!$AR:$AR,27)),"")</f>
        <v/>
      </c>
      <c r="U30" s="31" t="str">
        <f>IFERROR(INDEX(PRENOTAZIONI!$B:$B,SMALL(PRENOTAZIONI!$AR:$AR,27)),"")</f>
        <v/>
      </c>
      <c r="V30" s="32" t="str">
        <f t="shared" si="7"/>
        <v/>
      </c>
      <c r="W30" s="34" t="str">
        <f>IFERROR(INDEX(PRENOTAZIONI!$E:$E,SMALL(PRENOTAZIONI!$AR:$AR,27)),"")</f>
        <v/>
      </c>
      <c r="X30" s="34" t="str">
        <f>IFERROR(INDEX(PRENOTAZIONI!$F:$F,SMALL(PRENOTAZIONI!$AR:$AR,27)),"")</f>
        <v/>
      </c>
      <c r="Y30" s="35" t="str">
        <f>IFERROR(INDEX(PRENOTAZIONI!$H:$H,SMALL(PRENOTAZIONI!$AR:$AR,27)),"")</f>
        <v/>
      </c>
      <c r="Z30" s="34" t="str">
        <f>IFERROR(INDEX(PRENOTAZIONI!$K:$K,SMALL(PRENOTAZIONI!$AR:$AR,27)),"")</f>
        <v/>
      </c>
      <c r="AA30" s="34"/>
      <c r="AB30" s="34"/>
      <c r="AC30" s="40" t="str">
        <f t="shared" si="8"/>
        <v/>
      </c>
      <c r="AD30" s="41" t="str">
        <f t="shared" si="9"/>
        <v/>
      </c>
    </row>
    <row r="31" spans="1:42" ht="22" customHeight="1" x14ac:dyDescent="0.2">
      <c r="A31" s="31" t="str">
        <f>IFERROR(INDEX(PRENOTAZIONI!$A:$A,SMALL(PRENOTAZIONI!$AD:$AD,28)),"")</f>
        <v/>
      </c>
      <c r="B31" s="31" t="str">
        <f>IFERROR(INDEX(PRENOTAZIONI!$B:$B,SMALL(PRENOTAZIONI!$AD:$AD,28)),"")</f>
        <v/>
      </c>
      <c r="C31" s="32" t="str">
        <f t="shared" si="0"/>
        <v/>
      </c>
      <c r="D31" s="34" t="str">
        <f>IFERROR(INDEX(PRENOTAZIONI!$E:$E,SMALL(PRENOTAZIONI!$AD:$AD,28)),"")</f>
        <v/>
      </c>
      <c r="E31" s="34" t="str">
        <f>IFERROR(INDEX(PRENOTAZIONI!$F:$F,SMALL(PRENOTAZIONI!$AD:$AD,28)),"")</f>
        <v/>
      </c>
      <c r="F31" s="34" t="str">
        <f>IFERROR(INDEX(PRENOTAZIONI!$G:$G,SMALL(PRENOTAZIONI!$AD:$AD,28)),"")</f>
        <v/>
      </c>
      <c r="G31" s="35" t="str">
        <f>IFERROR(INDEX(PRENOTAZIONI!$H:$H,SMALL(PRENOTAZIONI!$AD:$AD,28)),"")</f>
        <v/>
      </c>
      <c r="H31" s="146" t="str">
        <f t="shared" si="1"/>
        <v/>
      </c>
      <c r="I31" s="35" t="str">
        <f t="shared" si="2"/>
        <v/>
      </c>
      <c r="J31" s="149" t="str">
        <f t="shared" si="3"/>
        <v/>
      </c>
      <c r="K31" s="34" t="str">
        <f>IFERROR(INDEX(PRENOTAZIONI!$K:$K,SMALL(PRENOTAZIONI!$AD:$AD,28)),"")</f>
        <v/>
      </c>
      <c r="L31" s="35" t="str">
        <f>IFERROR(INDEX(PRENOTAZIONI!$L:$L,SMALL(PRENOTAZIONI!$AD:$AD,28)),"")</f>
        <v/>
      </c>
      <c r="M31" s="150" t="str">
        <f t="shared" si="4"/>
        <v/>
      </c>
      <c r="N31" s="35" t="str">
        <f t="shared" si="5"/>
        <v/>
      </c>
      <c r="O31" s="35"/>
      <c r="P31" s="43"/>
      <c r="Q31" s="150" t="str">
        <f t="shared" si="6"/>
        <v/>
      </c>
      <c r="R31" s="34" t="str">
        <f>IFERROR(INDEX(PRENOTAZIONI!$R:$R,SMALL(PRENOTAZIONI!$AD:$AD,28)),"")</f>
        <v/>
      </c>
      <c r="S31" s="31"/>
      <c r="T31" s="80" t="str">
        <f>IFERROR(INDEX(PRENOTAZIONI!$A:$A,SMALL(PRENOTAZIONI!$AR:$AR,28)),"")</f>
        <v/>
      </c>
      <c r="U31" s="31" t="str">
        <f>IFERROR(INDEX(PRENOTAZIONI!$B:$B,SMALL(PRENOTAZIONI!$AR:$AR,28)),"")</f>
        <v/>
      </c>
      <c r="V31" s="32" t="str">
        <f t="shared" si="7"/>
        <v/>
      </c>
      <c r="W31" s="34" t="str">
        <f>IFERROR(INDEX(PRENOTAZIONI!$E:$E,SMALL(PRENOTAZIONI!$AR:$AR,28)),"")</f>
        <v/>
      </c>
      <c r="X31" s="34" t="str">
        <f>IFERROR(INDEX(PRENOTAZIONI!$F:$F,SMALL(PRENOTAZIONI!$AR:$AR,28)),"")</f>
        <v/>
      </c>
      <c r="Y31" s="35" t="str">
        <f>IFERROR(INDEX(PRENOTAZIONI!$H:$H,SMALL(PRENOTAZIONI!$AR:$AR,28)),"")</f>
        <v/>
      </c>
      <c r="Z31" s="34" t="str">
        <f>IFERROR(INDEX(PRENOTAZIONI!$K:$K,SMALL(PRENOTAZIONI!$AR:$AR,28)),"")</f>
        <v/>
      </c>
      <c r="AA31" s="34"/>
      <c r="AB31" s="34"/>
      <c r="AC31" s="40" t="str">
        <f t="shared" si="8"/>
        <v/>
      </c>
      <c r="AD31" s="41" t="str">
        <f t="shared" si="9"/>
        <v/>
      </c>
    </row>
    <row r="32" spans="1:42" ht="22" customHeight="1" x14ac:dyDescent="0.2">
      <c r="A32" s="31" t="str">
        <f>IFERROR(INDEX(PRENOTAZIONI!$A:$A,SMALL(PRENOTAZIONI!$AD:$AD,29)),"")</f>
        <v/>
      </c>
      <c r="B32" s="31" t="str">
        <f>IFERROR(INDEX(PRENOTAZIONI!$B:$B,SMALL(PRENOTAZIONI!$AD:$AD,29)),"")</f>
        <v/>
      </c>
      <c r="C32" s="32" t="str">
        <f t="shared" si="0"/>
        <v/>
      </c>
      <c r="D32" s="34" t="str">
        <f>IFERROR(INDEX(PRENOTAZIONI!$E:$E,SMALL(PRENOTAZIONI!$AD:$AD,29)),"")</f>
        <v/>
      </c>
      <c r="E32" s="34" t="str">
        <f>IFERROR(INDEX(PRENOTAZIONI!$F:$F,SMALL(PRENOTAZIONI!$AD:$AD,29)),"")</f>
        <v/>
      </c>
      <c r="F32" s="34" t="str">
        <f>IFERROR(INDEX(PRENOTAZIONI!$G:$G,SMALL(PRENOTAZIONI!$AD:$AD,29)),"")</f>
        <v/>
      </c>
      <c r="G32" s="35" t="str">
        <f>IFERROR(INDEX(PRENOTAZIONI!$H:$H,SMALL(PRENOTAZIONI!$AD:$AD,29)),"")</f>
        <v/>
      </c>
      <c r="H32" s="146" t="str">
        <f t="shared" si="1"/>
        <v/>
      </c>
      <c r="I32" s="35" t="str">
        <f t="shared" si="2"/>
        <v/>
      </c>
      <c r="J32" s="149" t="str">
        <f t="shared" si="3"/>
        <v/>
      </c>
      <c r="K32" s="34" t="str">
        <f>IFERROR(INDEX(PRENOTAZIONI!$K:$K,SMALL(PRENOTAZIONI!$AD:$AD,29)),"")</f>
        <v/>
      </c>
      <c r="L32" s="35" t="str">
        <f>IFERROR(INDEX(PRENOTAZIONI!$L:$L,SMALL(PRENOTAZIONI!$AD:$AD,29)),"")</f>
        <v/>
      </c>
      <c r="M32" s="150" t="str">
        <f t="shared" si="4"/>
        <v/>
      </c>
      <c r="N32" s="35" t="str">
        <f t="shared" si="5"/>
        <v/>
      </c>
      <c r="O32" s="35"/>
      <c r="P32" s="43"/>
      <c r="Q32" s="150" t="str">
        <f t="shared" si="6"/>
        <v/>
      </c>
      <c r="R32" s="34" t="str">
        <f>IFERROR(INDEX(PRENOTAZIONI!$R:$R,SMALL(PRENOTAZIONI!$AD:$AD,29)),"")</f>
        <v/>
      </c>
      <c r="S32" s="31"/>
      <c r="T32" s="80" t="str">
        <f>IFERROR(INDEX(PRENOTAZIONI!$A:$A,SMALL(PRENOTAZIONI!$AR:$AR,29)),"")</f>
        <v/>
      </c>
      <c r="U32" s="31" t="str">
        <f>IFERROR(INDEX(PRENOTAZIONI!$B:$B,SMALL(PRENOTAZIONI!$AR:$AR,29)),"")</f>
        <v/>
      </c>
      <c r="V32" s="32" t="str">
        <f t="shared" si="7"/>
        <v/>
      </c>
      <c r="W32" s="34" t="str">
        <f>IFERROR(INDEX(PRENOTAZIONI!$E:$E,SMALL(PRENOTAZIONI!$AR:$AR,29)),"")</f>
        <v/>
      </c>
      <c r="X32" s="34" t="str">
        <f>IFERROR(INDEX(PRENOTAZIONI!$F:$F,SMALL(PRENOTAZIONI!$AR:$AR,29)),"")</f>
        <v/>
      </c>
      <c r="Y32" s="35" t="str">
        <f>IFERROR(INDEX(PRENOTAZIONI!$H:$H,SMALL(PRENOTAZIONI!$AR:$AR,29)),"")</f>
        <v/>
      </c>
      <c r="Z32" s="34" t="str">
        <f>IFERROR(INDEX(PRENOTAZIONI!$K:$K,SMALL(PRENOTAZIONI!$AR:$AR,29)),"")</f>
        <v/>
      </c>
      <c r="AA32" s="34"/>
      <c r="AB32" s="34"/>
      <c r="AC32" s="40" t="str">
        <f t="shared" si="8"/>
        <v/>
      </c>
      <c r="AD32" s="41" t="str">
        <f t="shared" si="9"/>
        <v/>
      </c>
    </row>
    <row r="33" spans="1:30" ht="22" customHeight="1" x14ac:dyDescent="0.2">
      <c r="A33" s="31" t="str">
        <f>IFERROR(INDEX(PRENOTAZIONI!$A:$A,SMALL(PRENOTAZIONI!$AD:$AD,30)),"")</f>
        <v/>
      </c>
      <c r="B33" s="31" t="str">
        <f>IFERROR(INDEX(PRENOTAZIONI!$B:$B,SMALL(PRENOTAZIONI!$AD:$AD,30)),"")</f>
        <v/>
      </c>
      <c r="C33" s="32" t="str">
        <f t="shared" si="0"/>
        <v/>
      </c>
      <c r="D33" s="34" t="str">
        <f>IFERROR(INDEX(PRENOTAZIONI!$E:$E,SMALL(PRENOTAZIONI!$AD:$AD,30)),"")</f>
        <v/>
      </c>
      <c r="E33" s="34" t="str">
        <f>IFERROR(INDEX(PRENOTAZIONI!$F:$F,SMALL(PRENOTAZIONI!$AD:$AD,30)),"")</f>
        <v/>
      </c>
      <c r="F33" s="34" t="str">
        <f>IFERROR(INDEX(PRENOTAZIONI!$G:$G,SMALL(PRENOTAZIONI!$AD:$AD,30)),"")</f>
        <v/>
      </c>
      <c r="G33" s="35" t="str">
        <f>IFERROR(INDEX(PRENOTAZIONI!$H:$H,SMALL(PRENOTAZIONI!$AD:$AD,30)),"")</f>
        <v/>
      </c>
      <c r="H33" s="146" t="str">
        <f t="shared" si="1"/>
        <v/>
      </c>
      <c r="I33" s="35" t="str">
        <f t="shared" si="2"/>
        <v/>
      </c>
      <c r="J33" s="149" t="str">
        <f t="shared" si="3"/>
        <v/>
      </c>
      <c r="K33" s="34" t="str">
        <f>IFERROR(INDEX(PRENOTAZIONI!$K:$K,SMALL(PRENOTAZIONI!$AD:$AD,30)),"")</f>
        <v/>
      </c>
      <c r="L33" s="35" t="str">
        <f>IFERROR(INDEX(PRENOTAZIONI!$L:$L,SMALL(PRENOTAZIONI!$AD:$AD,30)),"")</f>
        <v/>
      </c>
      <c r="M33" s="150" t="str">
        <f t="shared" si="4"/>
        <v/>
      </c>
      <c r="N33" s="35" t="str">
        <f t="shared" si="5"/>
        <v/>
      </c>
      <c r="O33" s="35"/>
      <c r="P33" s="43"/>
      <c r="Q33" s="150" t="str">
        <f t="shared" si="6"/>
        <v/>
      </c>
      <c r="R33" s="34" t="str">
        <f>IFERROR(INDEX(PRENOTAZIONI!$R:$R,SMALL(PRENOTAZIONI!$AD:$AD,30)),"")</f>
        <v/>
      </c>
      <c r="S33" s="31"/>
      <c r="T33" s="80" t="str">
        <f>IFERROR(INDEX(PRENOTAZIONI!$A:$A,SMALL(PRENOTAZIONI!$AR:$AR,30)),"")</f>
        <v/>
      </c>
      <c r="U33" s="31" t="str">
        <f>IFERROR(INDEX(PRENOTAZIONI!$B:$B,SMALL(PRENOTAZIONI!$AR:$AR,30)),"")</f>
        <v/>
      </c>
      <c r="V33" s="32" t="str">
        <f t="shared" si="7"/>
        <v/>
      </c>
      <c r="W33" s="34" t="str">
        <f>IFERROR(INDEX(PRENOTAZIONI!$E:$E,SMALL(PRENOTAZIONI!$AR:$AR,30)),"")</f>
        <v/>
      </c>
      <c r="X33" s="34" t="str">
        <f>IFERROR(INDEX(PRENOTAZIONI!$F:$F,SMALL(PRENOTAZIONI!$AR:$AR,30)),"")</f>
        <v/>
      </c>
      <c r="Y33" s="35" t="str">
        <f>IFERROR(INDEX(PRENOTAZIONI!$H:$H,SMALL(PRENOTAZIONI!$AR:$AR,30)),"")</f>
        <v/>
      </c>
      <c r="Z33" s="34" t="str">
        <f>IFERROR(INDEX(PRENOTAZIONI!$K:$K,SMALL(PRENOTAZIONI!$AR:$AR,30)),"")</f>
        <v/>
      </c>
      <c r="AA33" s="34"/>
      <c r="AB33" s="34"/>
      <c r="AC33" s="40" t="str">
        <f t="shared" si="8"/>
        <v/>
      </c>
      <c r="AD33" s="41" t="str">
        <f t="shared" si="9"/>
        <v/>
      </c>
    </row>
    <row r="34" spans="1:30" ht="24" customHeight="1" x14ac:dyDescent="0.2">
      <c r="A34" s="31" t="str">
        <f>IFERROR(INDEX(PRENOTAZIONI!$A:$A,SMALL(PRENOTAZIONI!$AD:$AD,31)),"")</f>
        <v/>
      </c>
      <c r="B34" s="31" t="str">
        <f>IFERROR(INDEX(PRENOTAZIONI!$B:$B,SMALL(PRENOTAZIONI!$AD:$AD,31)),"")</f>
        <v/>
      </c>
      <c r="C34" s="32" t="str">
        <f t="shared" si="0"/>
        <v/>
      </c>
      <c r="D34" s="34" t="str">
        <f>IFERROR(INDEX(PRENOTAZIONI!$E:$E,SMALL(PRENOTAZIONI!$AD:$AD,31)),"")</f>
        <v/>
      </c>
      <c r="E34" s="34" t="str">
        <f>IFERROR(INDEX(PRENOTAZIONI!$F:$F,SMALL(PRENOTAZIONI!$AD:$AD,31)),"")</f>
        <v/>
      </c>
      <c r="F34" s="34" t="str">
        <f>IFERROR(INDEX(PRENOTAZIONI!$G:$G,SMALL(PRENOTAZIONI!$AD:$AD,31)),"")</f>
        <v/>
      </c>
      <c r="G34" s="35" t="str">
        <f>IFERROR(INDEX(PRENOTAZIONI!$H:$H,SMALL(PRENOTAZIONI!$AD:$AD,31)),"")</f>
        <v/>
      </c>
      <c r="H34" s="146" t="str">
        <f t="shared" si="1"/>
        <v/>
      </c>
      <c r="I34" s="35" t="str">
        <f t="shared" si="2"/>
        <v/>
      </c>
      <c r="J34" s="149" t="str">
        <f t="shared" si="3"/>
        <v/>
      </c>
      <c r="K34" s="34" t="str">
        <f>IFERROR(INDEX(PRENOTAZIONI!$K:$K,SMALL(PRENOTAZIONI!$AD:$AD,31)),"")</f>
        <v/>
      </c>
      <c r="L34" s="35" t="str">
        <f>IFERROR(INDEX(PRENOTAZIONI!$L:$L,SMALL(PRENOTAZIONI!$AD:$AD,31)),"")</f>
        <v/>
      </c>
      <c r="M34" s="150" t="str">
        <f t="shared" si="4"/>
        <v/>
      </c>
      <c r="N34" s="35" t="str">
        <f t="shared" si="5"/>
        <v/>
      </c>
      <c r="O34" s="35"/>
      <c r="P34" s="43"/>
      <c r="Q34" s="150" t="str">
        <f t="shared" si="6"/>
        <v/>
      </c>
      <c r="R34" s="34" t="str">
        <f>IFERROR(INDEX(PRENOTAZIONI!$R:$R,SMALL(PRENOTAZIONI!$AD:$AD,31)),"")</f>
        <v/>
      </c>
      <c r="S34" s="20"/>
      <c r="T34" s="85" t="s">
        <v>147</v>
      </c>
      <c r="U34" s="42"/>
      <c r="V34" s="42"/>
      <c r="W34" s="42"/>
      <c r="X34" s="42"/>
      <c r="Y34" s="21">
        <f>SUM(W4:W33)</f>
        <v>0</v>
      </c>
      <c r="Z34" s="42"/>
      <c r="AA34" s="42"/>
      <c r="AB34" s="42"/>
      <c r="AC34" s="21">
        <f>SUM(AA4:AA33)</f>
        <v>0</v>
      </c>
      <c r="AD34" s="21">
        <f>SUM(AB4:AB33)</f>
        <v>0</v>
      </c>
    </row>
    <row r="35" spans="1:30" ht="22" customHeight="1" x14ac:dyDescent="0.25">
      <c r="A35" s="31" t="str">
        <f>IFERROR(INDEX(PRENOTAZIONI!$A:$A,SMALL(PRENOTAZIONI!$AD:$AD,32)),"")</f>
        <v/>
      </c>
      <c r="B35" s="31" t="str">
        <f>IFERROR(INDEX(PRENOTAZIONI!$B:$B,SMALL(PRENOTAZIONI!$AD:$AD,32)),"")</f>
        <v/>
      </c>
      <c r="C35" s="32" t="str">
        <f t="shared" si="0"/>
        <v/>
      </c>
      <c r="D35" s="34" t="str">
        <f>IFERROR(INDEX(PRENOTAZIONI!$E:$E,SMALL(PRENOTAZIONI!$AD:$AD,32)),"")</f>
        <v/>
      </c>
      <c r="E35" s="34" t="str">
        <f>IFERROR(INDEX(PRENOTAZIONI!$F:$F,SMALL(PRENOTAZIONI!$AD:$AD,32)),"")</f>
        <v/>
      </c>
      <c r="F35" s="34" t="str">
        <f>IFERROR(INDEX(PRENOTAZIONI!$G:$G,SMALL(PRENOTAZIONI!$AD:$AD,32)),"")</f>
        <v/>
      </c>
      <c r="G35" s="35" t="str">
        <f>IFERROR(INDEX(PRENOTAZIONI!$H:$H,SMALL(PRENOTAZIONI!$AD:$AD,32)),"")</f>
        <v/>
      </c>
      <c r="H35" s="146" t="str">
        <f t="shared" si="1"/>
        <v/>
      </c>
      <c r="I35" s="35" t="str">
        <f t="shared" si="2"/>
        <v/>
      </c>
      <c r="J35" s="149" t="str">
        <f t="shared" si="3"/>
        <v/>
      </c>
      <c r="K35" s="34" t="str">
        <f>IFERROR(INDEX(PRENOTAZIONI!$K:$K,SMALL(PRENOTAZIONI!$AD:$AD,32)),"")</f>
        <v/>
      </c>
      <c r="L35" s="35" t="str">
        <f>IFERROR(INDEX(PRENOTAZIONI!$L:$L,SMALL(PRENOTAZIONI!$AD:$AD,32)),"")</f>
        <v/>
      </c>
      <c r="M35" s="150" t="str">
        <f t="shared" si="4"/>
        <v/>
      </c>
      <c r="N35" s="35" t="str">
        <f t="shared" si="5"/>
        <v/>
      </c>
      <c r="O35" s="35"/>
      <c r="P35" s="43"/>
      <c r="Q35" s="150" t="str">
        <f t="shared" si="6"/>
        <v/>
      </c>
      <c r="R35" s="34" t="str">
        <f>IFERROR(INDEX(PRENOTAZIONI!$R:$R,SMALL(PRENOTAZIONI!$AD:$AD,32)),"")</f>
        <v/>
      </c>
      <c r="T35" s="77"/>
    </row>
    <row r="36" spans="1:30" ht="22" customHeight="1" x14ac:dyDescent="0.25">
      <c r="A36" s="31" t="str">
        <f>IFERROR(INDEX(PRENOTAZIONI!$A:$A,SMALL(PRENOTAZIONI!$AD:$AD,33)),"")</f>
        <v/>
      </c>
      <c r="B36" s="31" t="str">
        <f>IFERROR(INDEX(PRENOTAZIONI!$B:$B,SMALL(PRENOTAZIONI!$AD:$AD,33)),"")</f>
        <v/>
      </c>
      <c r="C36" s="32" t="str">
        <f t="shared" ref="C36:C63" si="11">IF(A36&lt;&gt;"",B36-A36,"")</f>
        <v/>
      </c>
      <c r="D36" s="34" t="str">
        <f>IFERROR(INDEX(PRENOTAZIONI!$E:$E,SMALL(PRENOTAZIONI!$AD:$AD,33)),"")</f>
        <v/>
      </c>
      <c r="E36" s="34" t="str">
        <f>IFERROR(INDEX(PRENOTAZIONI!$F:$F,SMALL(PRENOTAZIONI!$AD:$AD,33)),"")</f>
        <v/>
      </c>
      <c r="F36" s="34" t="str">
        <f>IFERROR(INDEX(PRENOTAZIONI!$G:$G,SMALL(PRENOTAZIONI!$AD:$AD,33)),"")</f>
        <v/>
      </c>
      <c r="G36" s="35" t="str">
        <f>IFERROR(INDEX(PRENOTAZIONI!$H:$H,SMALL(PRENOTAZIONI!$AD:$AD,33)),"")</f>
        <v/>
      </c>
      <c r="H36" s="146" t="str">
        <f t="shared" ref="H36:H63" si="12">IF(AND(G36&lt;&gt;"",C36&lt;&gt;"",C36&lt;&gt;0),G36/C36,"")</f>
        <v/>
      </c>
      <c r="I36" s="35" t="str">
        <f t="shared" ref="I36:I63" si="13">IF(G36="","",IF(NOT(ISERROR(SEARCH("diretta",F36))),0,IF(NOT(ISERROR(SEARCH("booking",F36))),G36*0.15,IF(NOT(ISERROR(SEARCH("airbnb",F36))),G36*0.155,""))))</f>
        <v/>
      </c>
      <c r="J36" s="149" t="str">
        <f t="shared" ref="J36:J63" si="14">IF(H36&lt;&gt;"",H36*0.22,"")</f>
        <v/>
      </c>
      <c r="K36" s="34" t="str">
        <f>IFERROR(INDEX(PRENOTAZIONI!$K:$K,SMALL(PRENOTAZIONI!$AD:$AD,33)),"")</f>
        <v/>
      </c>
      <c r="L36" s="35" t="str">
        <f>IFERROR(INDEX(PRENOTAZIONI!$L:$L,SMALL(PRENOTAZIONI!$AD:$AD,33)),"")</f>
        <v/>
      </c>
      <c r="M36" s="150" t="str">
        <f t="shared" ref="M36:M63" si="15">IF(G36&lt;&gt;"",G36*0.21,"")</f>
        <v/>
      </c>
      <c r="N36" s="35" t="str">
        <f t="shared" ref="N36:N63" si="16">IF(G36&lt;&gt;"",G36*0.25,"")</f>
        <v/>
      </c>
      <c r="O36" s="35"/>
      <c r="P36" s="43"/>
      <c r="Q36" s="150" t="str">
        <f t="shared" ref="Q36:Q63" si="17">IF(G36&lt;&gt;"",G36-I36-J36-M36-N36-O36,"")</f>
        <v/>
      </c>
      <c r="R36" s="34" t="str">
        <f>IFERROR(INDEX(PRENOTAZIONI!$R:$R,SMALL(PRENOTAZIONI!$AD:$AD,33)),"")</f>
        <v/>
      </c>
      <c r="T36" s="77"/>
    </row>
    <row r="37" spans="1:30" ht="22" customHeight="1" x14ac:dyDescent="0.25">
      <c r="A37" s="31" t="str">
        <f>IFERROR(INDEX(PRENOTAZIONI!$A:$A,SMALL(PRENOTAZIONI!$AD:$AD,34)),"")</f>
        <v/>
      </c>
      <c r="B37" s="31" t="str">
        <f>IFERROR(INDEX(PRENOTAZIONI!$B:$B,SMALL(PRENOTAZIONI!$AD:$AD,34)),"")</f>
        <v/>
      </c>
      <c r="C37" s="32" t="str">
        <f t="shared" si="11"/>
        <v/>
      </c>
      <c r="D37" s="34" t="str">
        <f>IFERROR(INDEX(PRENOTAZIONI!$E:$E,SMALL(PRENOTAZIONI!$AD:$AD,34)),"")</f>
        <v/>
      </c>
      <c r="E37" s="34" t="str">
        <f>IFERROR(INDEX(PRENOTAZIONI!$F:$F,SMALL(PRENOTAZIONI!$AD:$AD,34)),"")</f>
        <v/>
      </c>
      <c r="F37" s="34" t="str">
        <f>IFERROR(INDEX(PRENOTAZIONI!$G:$G,SMALL(PRENOTAZIONI!$AD:$AD,34)),"")</f>
        <v/>
      </c>
      <c r="G37" s="35" t="str">
        <f>IFERROR(INDEX(PRENOTAZIONI!$H:$H,SMALL(PRENOTAZIONI!$AD:$AD,34)),"")</f>
        <v/>
      </c>
      <c r="H37" s="146" t="str">
        <f t="shared" si="12"/>
        <v/>
      </c>
      <c r="I37" s="35" t="str">
        <f t="shared" si="13"/>
        <v/>
      </c>
      <c r="J37" s="149" t="str">
        <f t="shared" si="14"/>
        <v/>
      </c>
      <c r="K37" s="34" t="str">
        <f>IFERROR(INDEX(PRENOTAZIONI!$K:$K,SMALL(PRENOTAZIONI!$AD:$AD,34)),"")</f>
        <v/>
      </c>
      <c r="L37" s="35" t="str">
        <f>IFERROR(INDEX(PRENOTAZIONI!$L:$L,SMALL(PRENOTAZIONI!$AD:$AD,34)),"")</f>
        <v/>
      </c>
      <c r="M37" s="150" t="str">
        <f t="shared" si="15"/>
        <v/>
      </c>
      <c r="N37" s="35" t="str">
        <f t="shared" si="16"/>
        <v/>
      </c>
      <c r="O37" s="35"/>
      <c r="P37" s="43"/>
      <c r="Q37" s="150" t="str">
        <f t="shared" si="17"/>
        <v/>
      </c>
      <c r="R37" s="34" t="str">
        <f>IFERROR(INDEX(PRENOTAZIONI!$R:$R,SMALL(PRENOTAZIONI!$AD:$AD,34)),"")</f>
        <v/>
      </c>
      <c r="T37" s="77"/>
    </row>
    <row r="38" spans="1:30" ht="22" customHeight="1" x14ac:dyDescent="0.25">
      <c r="A38" s="31" t="str">
        <f>IFERROR(INDEX(PRENOTAZIONI!$A:$A,SMALL(PRENOTAZIONI!$AD:$AD,35)),"")</f>
        <v/>
      </c>
      <c r="B38" s="31" t="str">
        <f>IFERROR(INDEX(PRENOTAZIONI!$B:$B,SMALL(PRENOTAZIONI!$AD:$AD,35)),"")</f>
        <v/>
      </c>
      <c r="C38" s="32" t="str">
        <f t="shared" si="11"/>
        <v/>
      </c>
      <c r="D38" s="34" t="str">
        <f>IFERROR(INDEX(PRENOTAZIONI!$E:$E,SMALL(PRENOTAZIONI!$AD:$AD,35)),"")</f>
        <v/>
      </c>
      <c r="E38" s="34" t="str">
        <f>IFERROR(INDEX(PRENOTAZIONI!$F:$F,SMALL(PRENOTAZIONI!$AD:$AD,35)),"")</f>
        <v/>
      </c>
      <c r="F38" s="34" t="str">
        <f>IFERROR(INDEX(PRENOTAZIONI!$G:$G,SMALL(PRENOTAZIONI!$AD:$AD,35)),"")</f>
        <v/>
      </c>
      <c r="G38" s="35" t="str">
        <f>IFERROR(INDEX(PRENOTAZIONI!$H:$H,SMALL(PRENOTAZIONI!$AD:$AD,35)),"")</f>
        <v/>
      </c>
      <c r="H38" s="146" t="str">
        <f t="shared" si="12"/>
        <v/>
      </c>
      <c r="I38" s="35" t="str">
        <f t="shared" si="13"/>
        <v/>
      </c>
      <c r="J38" s="149" t="str">
        <f t="shared" si="14"/>
        <v/>
      </c>
      <c r="K38" s="34" t="str">
        <f>IFERROR(INDEX(PRENOTAZIONI!$K:$K,SMALL(PRENOTAZIONI!$AD:$AD,35)),"")</f>
        <v/>
      </c>
      <c r="L38" s="35" t="str">
        <f>IFERROR(INDEX(PRENOTAZIONI!$L:$L,SMALL(PRENOTAZIONI!$AD:$AD,35)),"")</f>
        <v/>
      </c>
      <c r="M38" s="150" t="str">
        <f t="shared" si="15"/>
        <v/>
      </c>
      <c r="N38" s="35" t="str">
        <f t="shared" si="16"/>
        <v/>
      </c>
      <c r="O38" s="35"/>
      <c r="P38" s="43"/>
      <c r="Q38" s="150" t="str">
        <f t="shared" si="17"/>
        <v/>
      </c>
      <c r="R38" s="34" t="str">
        <f>IFERROR(INDEX(PRENOTAZIONI!$R:$R,SMALL(PRENOTAZIONI!$AD:$AD,35)),"")</f>
        <v/>
      </c>
      <c r="T38" s="77"/>
    </row>
    <row r="39" spans="1:30" ht="22" customHeight="1" x14ac:dyDescent="0.25">
      <c r="A39" s="31" t="str">
        <f>IFERROR(INDEX(PRENOTAZIONI!$A:$A,SMALL(PRENOTAZIONI!$AD:$AD,36)),"")</f>
        <v/>
      </c>
      <c r="B39" s="31" t="str">
        <f>IFERROR(INDEX(PRENOTAZIONI!$B:$B,SMALL(PRENOTAZIONI!$AD:$AD,36)),"")</f>
        <v/>
      </c>
      <c r="C39" s="32" t="str">
        <f t="shared" si="11"/>
        <v/>
      </c>
      <c r="D39" s="34" t="str">
        <f>IFERROR(INDEX(PRENOTAZIONI!$E:$E,SMALL(PRENOTAZIONI!$AD:$AD,36)),"")</f>
        <v/>
      </c>
      <c r="E39" s="34" t="str">
        <f>IFERROR(INDEX(PRENOTAZIONI!$F:$F,SMALL(PRENOTAZIONI!$AD:$AD,36)),"")</f>
        <v/>
      </c>
      <c r="F39" s="34" t="str">
        <f>IFERROR(INDEX(PRENOTAZIONI!$G:$G,SMALL(PRENOTAZIONI!$AD:$AD,36)),"")</f>
        <v/>
      </c>
      <c r="G39" s="35" t="str">
        <f>IFERROR(INDEX(PRENOTAZIONI!$H:$H,SMALL(PRENOTAZIONI!$AD:$AD,36)),"")</f>
        <v/>
      </c>
      <c r="H39" s="146" t="str">
        <f t="shared" si="12"/>
        <v/>
      </c>
      <c r="I39" s="35" t="str">
        <f t="shared" si="13"/>
        <v/>
      </c>
      <c r="J39" s="149" t="str">
        <f t="shared" si="14"/>
        <v/>
      </c>
      <c r="K39" s="34" t="str">
        <f>IFERROR(INDEX(PRENOTAZIONI!$K:$K,SMALL(PRENOTAZIONI!$AD:$AD,36)),"")</f>
        <v/>
      </c>
      <c r="L39" s="35" t="str">
        <f>IFERROR(INDEX(PRENOTAZIONI!$L:$L,SMALL(PRENOTAZIONI!$AD:$AD,36)),"")</f>
        <v/>
      </c>
      <c r="M39" s="150" t="str">
        <f t="shared" si="15"/>
        <v/>
      </c>
      <c r="N39" s="35" t="str">
        <f t="shared" si="16"/>
        <v/>
      </c>
      <c r="O39" s="35"/>
      <c r="P39" s="43"/>
      <c r="Q39" s="150" t="str">
        <f t="shared" si="17"/>
        <v/>
      </c>
      <c r="R39" s="34" t="str">
        <f>IFERROR(INDEX(PRENOTAZIONI!$R:$R,SMALL(PRENOTAZIONI!$AD:$AD,36)),"")</f>
        <v/>
      </c>
      <c r="T39" s="77"/>
    </row>
    <row r="40" spans="1:30" ht="22" customHeight="1" x14ac:dyDescent="0.25">
      <c r="A40" s="31" t="str">
        <f>IFERROR(INDEX(PRENOTAZIONI!$A:$A,SMALL(PRENOTAZIONI!$AD:$AD,37)),"")</f>
        <v/>
      </c>
      <c r="B40" s="31" t="str">
        <f>IFERROR(INDEX(PRENOTAZIONI!$B:$B,SMALL(PRENOTAZIONI!$AD:$AD,37)),"")</f>
        <v/>
      </c>
      <c r="C40" s="32" t="str">
        <f t="shared" si="11"/>
        <v/>
      </c>
      <c r="D40" s="34" t="str">
        <f>IFERROR(INDEX(PRENOTAZIONI!$E:$E,SMALL(PRENOTAZIONI!$AD:$AD,37)),"")</f>
        <v/>
      </c>
      <c r="E40" s="34" t="str">
        <f>IFERROR(INDEX(PRENOTAZIONI!$F:$F,SMALL(PRENOTAZIONI!$AD:$AD,37)),"")</f>
        <v/>
      </c>
      <c r="F40" s="34" t="str">
        <f>IFERROR(INDEX(PRENOTAZIONI!$G:$G,SMALL(PRENOTAZIONI!$AD:$AD,37)),"")</f>
        <v/>
      </c>
      <c r="G40" s="35" t="str">
        <f>IFERROR(INDEX(PRENOTAZIONI!$H:$H,SMALL(PRENOTAZIONI!$AD:$AD,37)),"")</f>
        <v/>
      </c>
      <c r="H40" s="146" t="str">
        <f t="shared" si="12"/>
        <v/>
      </c>
      <c r="I40" s="35" t="str">
        <f t="shared" si="13"/>
        <v/>
      </c>
      <c r="J40" s="149" t="str">
        <f t="shared" si="14"/>
        <v/>
      </c>
      <c r="K40" s="34" t="str">
        <f>IFERROR(INDEX(PRENOTAZIONI!$K:$K,SMALL(PRENOTAZIONI!$AD:$AD,37)),"")</f>
        <v/>
      </c>
      <c r="L40" s="35" t="str">
        <f>IFERROR(INDEX(PRENOTAZIONI!$L:$L,SMALL(PRENOTAZIONI!$AD:$AD,37)),"")</f>
        <v/>
      </c>
      <c r="M40" s="150" t="str">
        <f t="shared" si="15"/>
        <v/>
      </c>
      <c r="N40" s="35" t="str">
        <f t="shared" si="16"/>
        <v/>
      </c>
      <c r="O40" s="35"/>
      <c r="P40" s="43"/>
      <c r="Q40" s="150" t="str">
        <f t="shared" si="17"/>
        <v/>
      </c>
      <c r="R40" s="34" t="str">
        <f>IFERROR(INDEX(PRENOTAZIONI!$R:$R,SMALL(PRENOTAZIONI!$AD:$AD,37)),"")</f>
        <v/>
      </c>
      <c r="T40" s="77"/>
    </row>
    <row r="41" spans="1:30" ht="22" customHeight="1" x14ac:dyDescent="0.25">
      <c r="A41" s="31" t="str">
        <f>IFERROR(INDEX(PRENOTAZIONI!$A:$A,SMALL(PRENOTAZIONI!$AD:$AD,38)),"")</f>
        <v/>
      </c>
      <c r="B41" s="31" t="str">
        <f>IFERROR(INDEX(PRENOTAZIONI!$B:$B,SMALL(PRENOTAZIONI!$AD:$AD,38)),"")</f>
        <v/>
      </c>
      <c r="C41" s="32" t="str">
        <f t="shared" si="11"/>
        <v/>
      </c>
      <c r="D41" s="34" t="str">
        <f>IFERROR(INDEX(PRENOTAZIONI!$E:$E,SMALL(PRENOTAZIONI!$AD:$AD,38)),"")</f>
        <v/>
      </c>
      <c r="E41" s="34" t="str">
        <f>IFERROR(INDEX(PRENOTAZIONI!$F:$F,SMALL(PRENOTAZIONI!$AD:$AD,38)),"")</f>
        <v/>
      </c>
      <c r="F41" s="34" t="str">
        <f>IFERROR(INDEX(PRENOTAZIONI!$G:$G,SMALL(PRENOTAZIONI!$AD:$AD,38)),"")</f>
        <v/>
      </c>
      <c r="G41" s="35" t="str">
        <f>IFERROR(INDEX(PRENOTAZIONI!$H:$H,SMALL(PRENOTAZIONI!$AD:$AD,38)),"")</f>
        <v/>
      </c>
      <c r="H41" s="146" t="str">
        <f t="shared" si="12"/>
        <v/>
      </c>
      <c r="I41" s="35" t="str">
        <f t="shared" si="13"/>
        <v/>
      </c>
      <c r="J41" s="149" t="str">
        <f t="shared" si="14"/>
        <v/>
      </c>
      <c r="K41" s="34" t="str">
        <f>IFERROR(INDEX(PRENOTAZIONI!$K:$K,SMALL(PRENOTAZIONI!$AD:$AD,38)),"")</f>
        <v/>
      </c>
      <c r="L41" s="35" t="str">
        <f>IFERROR(INDEX(PRENOTAZIONI!$L:$L,SMALL(PRENOTAZIONI!$AD:$AD,38)),"")</f>
        <v/>
      </c>
      <c r="M41" s="150" t="str">
        <f t="shared" si="15"/>
        <v/>
      </c>
      <c r="N41" s="35" t="str">
        <f t="shared" si="16"/>
        <v/>
      </c>
      <c r="O41" s="35"/>
      <c r="P41" s="43"/>
      <c r="Q41" s="150" t="str">
        <f t="shared" si="17"/>
        <v/>
      </c>
      <c r="R41" s="34" t="str">
        <f>IFERROR(INDEX(PRENOTAZIONI!$R:$R,SMALL(PRENOTAZIONI!$AD:$AD,38)),"")</f>
        <v/>
      </c>
      <c r="T41" s="77"/>
    </row>
    <row r="42" spans="1:30" ht="22" customHeight="1" x14ac:dyDescent="0.25">
      <c r="A42" s="31" t="str">
        <f>IFERROR(INDEX(PRENOTAZIONI!$A:$A,SMALL(PRENOTAZIONI!$AD:$AD,39)),"")</f>
        <v/>
      </c>
      <c r="B42" s="31" t="str">
        <f>IFERROR(INDEX(PRENOTAZIONI!$B:$B,SMALL(PRENOTAZIONI!$AD:$AD,39)),"")</f>
        <v/>
      </c>
      <c r="C42" s="32" t="str">
        <f t="shared" si="11"/>
        <v/>
      </c>
      <c r="D42" s="34" t="str">
        <f>IFERROR(INDEX(PRENOTAZIONI!$E:$E,SMALL(PRENOTAZIONI!$AD:$AD,39)),"")</f>
        <v/>
      </c>
      <c r="E42" s="34" t="str">
        <f>IFERROR(INDEX(PRENOTAZIONI!$F:$F,SMALL(PRENOTAZIONI!$AD:$AD,39)),"")</f>
        <v/>
      </c>
      <c r="F42" s="34" t="str">
        <f>IFERROR(INDEX(PRENOTAZIONI!$G:$G,SMALL(PRENOTAZIONI!$AD:$AD,39)),"")</f>
        <v/>
      </c>
      <c r="G42" s="35" t="str">
        <f>IFERROR(INDEX(PRENOTAZIONI!$H:$H,SMALL(PRENOTAZIONI!$AD:$AD,39)),"")</f>
        <v/>
      </c>
      <c r="H42" s="146" t="str">
        <f t="shared" si="12"/>
        <v/>
      </c>
      <c r="I42" s="35" t="str">
        <f t="shared" si="13"/>
        <v/>
      </c>
      <c r="J42" s="149" t="str">
        <f t="shared" si="14"/>
        <v/>
      </c>
      <c r="K42" s="34" t="str">
        <f>IFERROR(INDEX(PRENOTAZIONI!$K:$K,SMALL(PRENOTAZIONI!$AD:$AD,39)),"")</f>
        <v/>
      </c>
      <c r="L42" s="35" t="str">
        <f>IFERROR(INDEX(PRENOTAZIONI!$L:$L,SMALL(PRENOTAZIONI!$AD:$AD,39)),"")</f>
        <v/>
      </c>
      <c r="M42" s="150" t="str">
        <f t="shared" si="15"/>
        <v/>
      </c>
      <c r="N42" s="35" t="str">
        <f t="shared" si="16"/>
        <v/>
      </c>
      <c r="O42" s="35"/>
      <c r="P42" s="43"/>
      <c r="Q42" s="150" t="str">
        <f t="shared" si="17"/>
        <v/>
      </c>
      <c r="R42" s="34" t="str">
        <f>IFERROR(INDEX(PRENOTAZIONI!$R:$R,SMALL(PRENOTAZIONI!$AD:$AD,39)),"")</f>
        <v/>
      </c>
      <c r="T42" s="77"/>
    </row>
    <row r="43" spans="1:30" ht="22" customHeight="1" x14ac:dyDescent="0.25">
      <c r="A43" s="31" t="str">
        <f>IFERROR(INDEX(PRENOTAZIONI!$A:$A,SMALL(PRENOTAZIONI!$AD:$AD,40)),"")</f>
        <v/>
      </c>
      <c r="B43" s="31" t="str">
        <f>IFERROR(INDEX(PRENOTAZIONI!$B:$B,SMALL(PRENOTAZIONI!$AD:$AD,40)),"")</f>
        <v/>
      </c>
      <c r="C43" s="32" t="str">
        <f t="shared" si="11"/>
        <v/>
      </c>
      <c r="D43" s="34" t="str">
        <f>IFERROR(INDEX(PRENOTAZIONI!$E:$E,SMALL(PRENOTAZIONI!$AD:$AD,40)),"")</f>
        <v/>
      </c>
      <c r="E43" s="34" t="str">
        <f>IFERROR(INDEX(PRENOTAZIONI!$F:$F,SMALL(PRENOTAZIONI!$AD:$AD,40)),"")</f>
        <v/>
      </c>
      <c r="F43" s="34" t="str">
        <f>IFERROR(INDEX(PRENOTAZIONI!$G:$G,SMALL(PRENOTAZIONI!$AD:$AD,40)),"")</f>
        <v/>
      </c>
      <c r="G43" s="35" t="str">
        <f>IFERROR(INDEX(PRENOTAZIONI!$H:$H,SMALL(PRENOTAZIONI!$AD:$AD,40)),"")</f>
        <v/>
      </c>
      <c r="H43" s="146" t="str">
        <f t="shared" si="12"/>
        <v/>
      </c>
      <c r="I43" s="35" t="str">
        <f t="shared" si="13"/>
        <v/>
      </c>
      <c r="J43" s="149" t="str">
        <f t="shared" si="14"/>
        <v/>
      </c>
      <c r="K43" s="34" t="str">
        <f>IFERROR(INDEX(PRENOTAZIONI!$K:$K,SMALL(PRENOTAZIONI!$AD:$AD,40)),"")</f>
        <v/>
      </c>
      <c r="L43" s="35" t="str">
        <f>IFERROR(INDEX(PRENOTAZIONI!$L:$L,SMALL(PRENOTAZIONI!$AD:$AD,40)),"")</f>
        <v/>
      </c>
      <c r="M43" s="150" t="str">
        <f t="shared" si="15"/>
        <v/>
      </c>
      <c r="N43" s="35" t="str">
        <f t="shared" si="16"/>
        <v/>
      </c>
      <c r="O43" s="35"/>
      <c r="P43" s="43"/>
      <c r="Q43" s="150" t="str">
        <f t="shared" si="17"/>
        <v/>
      </c>
      <c r="R43" s="34" t="str">
        <f>IFERROR(INDEX(PRENOTAZIONI!$R:$R,SMALL(PRENOTAZIONI!$AD:$AD,40)),"")</f>
        <v/>
      </c>
      <c r="T43" s="77"/>
    </row>
    <row r="44" spans="1:30" ht="22" customHeight="1" x14ac:dyDescent="0.25">
      <c r="A44" s="31" t="str">
        <f>IFERROR(INDEX(PRENOTAZIONI!$A:$A,SMALL(PRENOTAZIONI!$AD:$AD,41)),"")</f>
        <v/>
      </c>
      <c r="B44" s="31" t="str">
        <f>IFERROR(INDEX(PRENOTAZIONI!$B:$B,SMALL(PRENOTAZIONI!$AD:$AD,41)),"")</f>
        <v/>
      </c>
      <c r="C44" s="32" t="str">
        <f t="shared" si="11"/>
        <v/>
      </c>
      <c r="D44" s="34" t="str">
        <f>IFERROR(INDEX(PRENOTAZIONI!$E:$E,SMALL(PRENOTAZIONI!$AD:$AD,41)),"")</f>
        <v/>
      </c>
      <c r="E44" s="34" t="str">
        <f>IFERROR(INDEX(PRENOTAZIONI!$F:$F,SMALL(PRENOTAZIONI!$AD:$AD,41)),"")</f>
        <v/>
      </c>
      <c r="F44" s="34" t="str">
        <f>IFERROR(INDEX(PRENOTAZIONI!$G:$G,SMALL(PRENOTAZIONI!$AD:$AD,41)),"")</f>
        <v/>
      </c>
      <c r="G44" s="35" t="str">
        <f>IFERROR(INDEX(PRENOTAZIONI!$H:$H,SMALL(PRENOTAZIONI!$AD:$AD,41)),"")</f>
        <v/>
      </c>
      <c r="H44" s="146" t="str">
        <f t="shared" si="12"/>
        <v/>
      </c>
      <c r="I44" s="35" t="str">
        <f t="shared" si="13"/>
        <v/>
      </c>
      <c r="J44" s="149" t="str">
        <f t="shared" si="14"/>
        <v/>
      </c>
      <c r="K44" s="34" t="str">
        <f>IFERROR(INDEX(PRENOTAZIONI!$K:$K,SMALL(PRENOTAZIONI!$AD:$AD,41)),"")</f>
        <v/>
      </c>
      <c r="L44" s="35" t="str">
        <f>IFERROR(INDEX(PRENOTAZIONI!$L:$L,SMALL(PRENOTAZIONI!$AD:$AD,41)),"")</f>
        <v/>
      </c>
      <c r="M44" s="150" t="str">
        <f t="shared" si="15"/>
        <v/>
      </c>
      <c r="N44" s="35" t="str">
        <f t="shared" si="16"/>
        <v/>
      </c>
      <c r="O44" s="35"/>
      <c r="P44" s="43"/>
      <c r="Q44" s="150" t="str">
        <f t="shared" si="17"/>
        <v/>
      </c>
      <c r="R44" s="34" t="str">
        <f>IFERROR(INDEX(PRENOTAZIONI!$R:$R,SMALL(PRENOTAZIONI!$AD:$AD,41)),"")</f>
        <v/>
      </c>
      <c r="T44" s="77"/>
    </row>
    <row r="45" spans="1:30" ht="22" customHeight="1" x14ac:dyDescent="0.25">
      <c r="A45" s="31" t="str">
        <f>IFERROR(INDEX(PRENOTAZIONI!$A:$A,SMALL(PRENOTAZIONI!$AD:$AD,42)),"")</f>
        <v/>
      </c>
      <c r="B45" s="31" t="str">
        <f>IFERROR(INDEX(PRENOTAZIONI!$B:$B,SMALL(PRENOTAZIONI!$AD:$AD,42)),"")</f>
        <v/>
      </c>
      <c r="C45" s="32" t="str">
        <f t="shared" si="11"/>
        <v/>
      </c>
      <c r="D45" s="34" t="str">
        <f>IFERROR(INDEX(PRENOTAZIONI!$E:$E,SMALL(PRENOTAZIONI!$AD:$AD,42)),"")</f>
        <v/>
      </c>
      <c r="E45" s="34" t="str">
        <f>IFERROR(INDEX(PRENOTAZIONI!$F:$F,SMALL(PRENOTAZIONI!$AD:$AD,42)),"")</f>
        <v/>
      </c>
      <c r="F45" s="34" t="str">
        <f>IFERROR(INDEX(PRENOTAZIONI!$G:$G,SMALL(PRENOTAZIONI!$AD:$AD,42)),"")</f>
        <v/>
      </c>
      <c r="G45" s="35" t="str">
        <f>IFERROR(INDEX(PRENOTAZIONI!$H:$H,SMALL(PRENOTAZIONI!$AD:$AD,42)),"")</f>
        <v/>
      </c>
      <c r="H45" s="146" t="str">
        <f t="shared" si="12"/>
        <v/>
      </c>
      <c r="I45" s="35" t="str">
        <f t="shared" si="13"/>
        <v/>
      </c>
      <c r="J45" s="149" t="str">
        <f t="shared" si="14"/>
        <v/>
      </c>
      <c r="K45" s="34" t="str">
        <f>IFERROR(INDEX(PRENOTAZIONI!$K:$K,SMALL(PRENOTAZIONI!$AD:$AD,42)),"")</f>
        <v/>
      </c>
      <c r="L45" s="35" t="str">
        <f>IFERROR(INDEX(PRENOTAZIONI!$L:$L,SMALL(PRENOTAZIONI!$AD:$AD,42)),"")</f>
        <v/>
      </c>
      <c r="M45" s="150" t="str">
        <f t="shared" si="15"/>
        <v/>
      </c>
      <c r="N45" s="35" t="str">
        <f t="shared" si="16"/>
        <v/>
      </c>
      <c r="O45" s="35"/>
      <c r="P45" s="43"/>
      <c r="Q45" s="150" t="str">
        <f t="shared" si="17"/>
        <v/>
      </c>
      <c r="R45" s="34" t="str">
        <f>IFERROR(INDEX(PRENOTAZIONI!$R:$R,SMALL(PRENOTAZIONI!$AD:$AD,42)),"")</f>
        <v/>
      </c>
      <c r="T45" s="77"/>
    </row>
    <row r="46" spans="1:30" ht="22" customHeight="1" x14ac:dyDescent="0.25">
      <c r="A46" s="31" t="str">
        <f>IFERROR(INDEX(PRENOTAZIONI!$A:$A,SMALL(PRENOTAZIONI!$AD:$AD,43)),"")</f>
        <v/>
      </c>
      <c r="B46" s="31" t="str">
        <f>IFERROR(INDEX(PRENOTAZIONI!$B:$B,SMALL(PRENOTAZIONI!$AD:$AD,43)),"")</f>
        <v/>
      </c>
      <c r="C46" s="32" t="str">
        <f t="shared" si="11"/>
        <v/>
      </c>
      <c r="D46" s="34" t="str">
        <f>IFERROR(INDEX(PRENOTAZIONI!$E:$E,SMALL(PRENOTAZIONI!$AD:$AD,43)),"")</f>
        <v/>
      </c>
      <c r="E46" s="34" t="str">
        <f>IFERROR(INDEX(PRENOTAZIONI!$F:$F,SMALL(PRENOTAZIONI!$AD:$AD,43)),"")</f>
        <v/>
      </c>
      <c r="F46" s="34" t="str">
        <f>IFERROR(INDEX(PRENOTAZIONI!$G:$G,SMALL(PRENOTAZIONI!$AD:$AD,43)),"")</f>
        <v/>
      </c>
      <c r="G46" s="35" t="str">
        <f>IFERROR(INDEX(PRENOTAZIONI!$H:$H,SMALL(PRENOTAZIONI!$AD:$AD,43)),"")</f>
        <v/>
      </c>
      <c r="H46" s="146" t="str">
        <f t="shared" si="12"/>
        <v/>
      </c>
      <c r="I46" s="35" t="str">
        <f t="shared" si="13"/>
        <v/>
      </c>
      <c r="J46" s="149" t="str">
        <f t="shared" si="14"/>
        <v/>
      </c>
      <c r="K46" s="34" t="str">
        <f>IFERROR(INDEX(PRENOTAZIONI!$K:$K,SMALL(PRENOTAZIONI!$AD:$AD,43)),"")</f>
        <v/>
      </c>
      <c r="L46" s="35" t="str">
        <f>IFERROR(INDEX(PRENOTAZIONI!$L:$L,SMALL(PRENOTAZIONI!$AD:$AD,43)),"")</f>
        <v/>
      </c>
      <c r="M46" s="150" t="str">
        <f t="shared" si="15"/>
        <v/>
      </c>
      <c r="N46" s="35" t="str">
        <f t="shared" si="16"/>
        <v/>
      </c>
      <c r="O46" s="35"/>
      <c r="P46" s="43"/>
      <c r="Q46" s="150" t="str">
        <f t="shared" si="17"/>
        <v/>
      </c>
      <c r="R46" s="34" t="str">
        <f>IFERROR(INDEX(PRENOTAZIONI!$R:$R,SMALL(PRENOTAZIONI!$AD:$AD,43)),"")</f>
        <v/>
      </c>
      <c r="T46" s="77"/>
    </row>
    <row r="47" spans="1:30" ht="22" customHeight="1" x14ac:dyDescent="0.25">
      <c r="A47" s="31" t="str">
        <f>IFERROR(INDEX(PRENOTAZIONI!$A:$A,SMALL(PRENOTAZIONI!$AD:$AD,44)),"")</f>
        <v/>
      </c>
      <c r="B47" s="31" t="str">
        <f>IFERROR(INDEX(PRENOTAZIONI!$B:$B,SMALL(PRENOTAZIONI!$AD:$AD,44)),"")</f>
        <v/>
      </c>
      <c r="C47" s="32" t="str">
        <f t="shared" si="11"/>
        <v/>
      </c>
      <c r="D47" s="34" t="str">
        <f>IFERROR(INDEX(PRENOTAZIONI!$E:$E,SMALL(PRENOTAZIONI!$AD:$AD,44)),"")</f>
        <v/>
      </c>
      <c r="E47" s="34" t="str">
        <f>IFERROR(INDEX(PRENOTAZIONI!$F:$F,SMALL(PRENOTAZIONI!$AD:$AD,44)),"")</f>
        <v/>
      </c>
      <c r="F47" s="34" t="str">
        <f>IFERROR(INDEX(PRENOTAZIONI!$G:$G,SMALL(PRENOTAZIONI!$AD:$AD,44)),"")</f>
        <v/>
      </c>
      <c r="G47" s="35" t="str">
        <f>IFERROR(INDEX(PRENOTAZIONI!$H:$H,SMALL(PRENOTAZIONI!$AD:$AD,44)),"")</f>
        <v/>
      </c>
      <c r="H47" s="146" t="str">
        <f t="shared" si="12"/>
        <v/>
      </c>
      <c r="I47" s="35" t="str">
        <f t="shared" si="13"/>
        <v/>
      </c>
      <c r="J47" s="149" t="str">
        <f t="shared" si="14"/>
        <v/>
      </c>
      <c r="K47" s="34" t="str">
        <f>IFERROR(INDEX(PRENOTAZIONI!$K:$K,SMALL(PRENOTAZIONI!$AD:$AD,44)),"")</f>
        <v/>
      </c>
      <c r="L47" s="35" t="str">
        <f>IFERROR(INDEX(PRENOTAZIONI!$L:$L,SMALL(PRENOTAZIONI!$AD:$AD,44)),"")</f>
        <v/>
      </c>
      <c r="M47" s="150" t="str">
        <f t="shared" si="15"/>
        <v/>
      </c>
      <c r="N47" s="35" t="str">
        <f t="shared" si="16"/>
        <v/>
      </c>
      <c r="O47" s="35"/>
      <c r="P47" s="43"/>
      <c r="Q47" s="150" t="str">
        <f t="shared" si="17"/>
        <v/>
      </c>
      <c r="R47" s="34" t="str">
        <f>IFERROR(INDEX(PRENOTAZIONI!$R:$R,SMALL(PRENOTAZIONI!$AD:$AD,44)),"")</f>
        <v/>
      </c>
      <c r="T47" s="77"/>
    </row>
    <row r="48" spans="1:30" ht="22" customHeight="1" x14ac:dyDescent="0.25">
      <c r="A48" s="31" t="str">
        <f>IFERROR(INDEX(PRENOTAZIONI!$A:$A,SMALL(PRENOTAZIONI!$AD:$AD,45)),"")</f>
        <v/>
      </c>
      <c r="B48" s="31" t="str">
        <f>IFERROR(INDEX(PRENOTAZIONI!$B:$B,SMALL(PRENOTAZIONI!$AD:$AD,45)),"")</f>
        <v/>
      </c>
      <c r="C48" s="32" t="str">
        <f t="shared" si="11"/>
        <v/>
      </c>
      <c r="D48" s="34" t="str">
        <f>IFERROR(INDEX(PRENOTAZIONI!$E:$E,SMALL(PRENOTAZIONI!$AD:$AD,45)),"")</f>
        <v/>
      </c>
      <c r="E48" s="34" t="str">
        <f>IFERROR(INDEX(PRENOTAZIONI!$F:$F,SMALL(PRENOTAZIONI!$AD:$AD,45)),"")</f>
        <v/>
      </c>
      <c r="F48" s="34" t="str">
        <f>IFERROR(INDEX(PRENOTAZIONI!$G:$G,SMALL(PRENOTAZIONI!$AD:$AD,45)),"")</f>
        <v/>
      </c>
      <c r="G48" s="35" t="str">
        <f>IFERROR(INDEX(PRENOTAZIONI!$H:$H,SMALL(PRENOTAZIONI!$AD:$AD,45)),"")</f>
        <v/>
      </c>
      <c r="H48" s="146" t="str">
        <f t="shared" si="12"/>
        <v/>
      </c>
      <c r="I48" s="35" t="str">
        <f t="shared" si="13"/>
        <v/>
      </c>
      <c r="J48" s="149" t="str">
        <f t="shared" si="14"/>
        <v/>
      </c>
      <c r="K48" s="34" t="str">
        <f>IFERROR(INDEX(PRENOTAZIONI!$K:$K,SMALL(PRENOTAZIONI!$AD:$AD,45)),"")</f>
        <v/>
      </c>
      <c r="L48" s="35" t="str">
        <f>IFERROR(INDEX(PRENOTAZIONI!$L:$L,SMALL(PRENOTAZIONI!$AD:$AD,45)),"")</f>
        <v/>
      </c>
      <c r="M48" s="150" t="str">
        <f t="shared" si="15"/>
        <v/>
      </c>
      <c r="N48" s="35" t="str">
        <f t="shared" si="16"/>
        <v/>
      </c>
      <c r="O48" s="35"/>
      <c r="P48" s="43"/>
      <c r="Q48" s="150" t="str">
        <f t="shared" si="17"/>
        <v/>
      </c>
      <c r="R48" s="34" t="str">
        <f>IFERROR(INDEX(PRENOTAZIONI!$R:$R,SMALL(PRENOTAZIONI!$AD:$AD,45)),"")</f>
        <v/>
      </c>
      <c r="T48" s="77"/>
    </row>
    <row r="49" spans="1:20" ht="22" customHeight="1" x14ac:dyDescent="0.25">
      <c r="A49" s="31" t="str">
        <f>IFERROR(INDEX(PRENOTAZIONI!$A:$A,SMALL(PRENOTAZIONI!$AD:$AD,46)),"")</f>
        <v/>
      </c>
      <c r="B49" s="31" t="str">
        <f>IFERROR(INDEX(PRENOTAZIONI!$B:$B,SMALL(PRENOTAZIONI!$AD:$AD,46)),"")</f>
        <v/>
      </c>
      <c r="C49" s="32" t="str">
        <f t="shared" si="11"/>
        <v/>
      </c>
      <c r="D49" s="34" t="str">
        <f>IFERROR(INDEX(PRENOTAZIONI!$E:$E,SMALL(PRENOTAZIONI!$AD:$AD,46)),"")</f>
        <v/>
      </c>
      <c r="E49" s="34" t="str">
        <f>IFERROR(INDEX(PRENOTAZIONI!$F:$F,SMALL(PRENOTAZIONI!$AD:$AD,46)),"")</f>
        <v/>
      </c>
      <c r="F49" s="34" t="str">
        <f>IFERROR(INDEX(PRENOTAZIONI!$G:$G,SMALL(PRENOTAZIONI!$AD:$AD,46)),"")</f>
        <v/>
      </c>
      <c r="G49" s="35" t="str">
        <f>IFERROR(INDEX(PRENOTAZIONI!$H:$H,SMALL(PRENOTAZIONI!$AD:$AD,46)),"")</f>
        <v/>
      </c>
      <c r="H49" s="146" t="str">
        <f t="shared" si="12"/>
        <v/>
      </c>
      <c r="I49" s="35" t="str">
        <f t="shared" si="13"/>
        <v/>
      </c>
      <c r="J49" s="149" t="str">
        <f t="shared" si="14"/>
        <v/>
      </c>
      <c r="K49" s="34" t="str">
        <f>IFERROR(INDEX(PRENOTAZIONI!$K:$K,SMALL(PRENOTAZIONI!$AD:$AD,46)),"")</f>
        <v/>
      </c>
      <c r="L49" s="35" t="str">
        <f>IFERROR(INDEX(PRENOTAZIONI!$L:$L,SMALL(PRENOTAZIONI!$AD:$AD,46)),"")</f>
        <v/>
      </c>
      <c r="M49" s="150" t="str">
        <f t="shared" si="15"/>
        <v/>
      </c>
      <c r="N49" s="35" t="str">
        <f t="shared" si="16"/>
        <v/>
      </c>
      <c r="O49" s="35"/>
      <c r="P49" s="43"/>
      <c r="Q49" s="150" t="str">
        <f t="shared" si="17"/>
        <v/>
      </c>
      <c r="R49" s="34" t="str">
        <f>IFERROR(INDEX(PRENOTAZIONI!$R:$R,SMALL(PRENOTAZIONI!$AD:$AD,46)),"")</f>
        <v/>
      </c>
      <c r="T49" s="77"/>
    </row>
    <row r="50" spans="1:20" ht="22" customHeight="1" x14ac:dyDescent="0.25">
      <c r="A50" s="31" t="str">
        <f>IFERROR(INDEX(PRENOTAZIONI!$A:$A,SMALL(PRENOTAZIONI!$AD:$AD,47)),"")</f>
        <v/>
      </c>
      <c r="B50" s="31" t="str">
        <f>IFERROR(INDEX(PRENOTAZIONI!$B:$B,SMALL(PRENOTAZIONI!$AD:$AD,47)),"")</f>
        <v/>
      </c>
      <c r="C50" s="32" t="str">
        <f t="shared" si="11"/>
        <v/>
      </c>
      <c r="D50" s="34" t="str">
        <f>IFERROR(INDEX(PRENOTAZIONI!$E:$E,SMALL(PRENOTAZIONI!$AD:$AD,47)),"")</f>
        <v/>
      </c>
      <c r="E50" s="34" t="str">
        <f>IFERROR(INDEX(PRENOTAZIONI!$F:$F,SMALL(PRENOTAZIONI!$AD:$AD,47)),"")</f>
        <v/>
      </c>
      <c r="F50" s="34" t="str">
        <f>IFERROR(INDEX(PRENOTAZIONI!$G:$G,SMALL(PRENOTAZIONI!$AD:$AD,47)),"")</f>
        <v/>
      </c>
      <c r="G50" s="35" t="str">
        <f>IFERROR(INDEX(PRENOTAZIONI!$H:$H,SMALL(PRENOTAZIONI!$AD:$AD,47)),"")</f>
        <v/>
      </c>
      <c r="H50" s="146" t="str">
        <f t="shared" si="12"/>
        <v/>
      </c>
      <c r="I50" s="35" t="str">
        <f t="shared" si="13"/>
        <v/>
      </c>
      <c r="J50" s="149" t="str">
        <f t="shared" si="14"/>
        <v/>
      </c>
      <c r="K50" s="34" t="str">
        <f>IFERROR(INDEX(PRENOTAZIONI!$K:$K,SMALL(PRENOTAZIONI!$AD:$AD,47)),"")</f>
        <v/>
      </c>
      <c r="L50" s="35" t="str">
        <f>IFERROR(INDEX(PRENOTAZIONI!$L:$L,SMALL(PRENOTAZIONI!$AD:$AD,47)),"")</f>
        <v/>
      </c>
      <c r="M50" s="150" t="str">
        <f t="shared" si="15"/>
        <v/>
      </c>
      <c r="N50" s="35" t="str">
        <f t="shared" si="16"/>
        <v/>
      </c>
      <c r="O50" s="35"/>
      <c r="P50" s="43"/>
      <c r="Q50" s="150" t="str">
        <f t="shared" si="17"/>
        <v/>
      </c>
      <c r="R50" s="34" t="str">
        <f>IFERROR(INDEX(PRENOTAZIONI!$R:$R,SMALL(PRENOTAZIONI!$AD:$AD,47)),"")</f>
        <v/>
      </c>
      <c r="T50" s="77"/>
    </row>
    <row r="51" spans="1:20" ht="22" customHeight="1" x14ac:dyDescent="0.25">
      <c r="A51" s="31" t="str">
        <f>IFERROR(INDEX(PRENOTAZIONI!$A:$A,SMALL(PRENOTAZIONI!$AD:$AD,48)),"")</f>
        <v/>
      </c>
      <c r="B51" s="31" t="str">
        <f>IFERROR(INDEX(PRENOTAZIONI!$B:$B,SMALL(PRENOTAZIONI!$AD:$AD,48)),"")</f>
        <v/>
      </c>
      <c r="C51" s="32" t="str">
        <f t="shared" si="11"/>
        <v/>
      </c>
      <c r="D51" s="34" t="str">
        <f>IFERROR(INDEX(PRENOTAZIONI!$E:$E,SMALL(PRENOTAZIONI!$AD:$AD,48)),"")</f>
        <v/>
      </c>
      <c r="E51" s="34" t="str">
        <f>IFERROR(INDEX(PRENOTAZIONI!$F:$F,SMALL(PRENOTAZIONI!$AD:$AD,48)),"")</f>
        <v/>
      </c>
      <c r="F51" s="34" t="str">
        <f>IFERROR(INDEX(PRENOTAZIONI!$G:$G,SMALL(PRENOTAZIONI!$AD:$AD,48)),"")</f>
        <v/>
      </c>
      <c r="G51" s="35" t="str">
        <f>IFERROR(INDEX(PRENOTAZIONI!$H:$H,SMALL(PRENOTAZIONI!$AD:$AD,48)),"")</f>
        <v/>
      </c>
      <c r="H51" s="146" t="str">
        <f t="shared" si="12"/>
        <v/>
      </c>
      <c r="I51" s="35" t="str">
        <f t="shared" si="13"/>
        <v/>
      </c>
      <c r="J51" s="149" t="str">
        <f t="shared" si="14"/>
        <v/>
      </c>
      <c r="K51" s="34" t="str">
        <f>IFERROR(INDEX(PRENOTAZIONI!$K:$K,SMALL(PRENOTAZIONI!$AD:$AD,48)),"")</f>
        <v/>
      </c>
      <c r="L51" s="35" t="str">
        <f>IFERROR(INDEX(PRENOTAZIONI!$L:$L,SMALL(PRENOTAZIONI!$AD:$AD,48)),"")</f>
        <v/>
      </c>
      <c r="M51" s="150" t="str">
        <f t="shared" si="15"/>
        <v/>
      </c>
      <c r="N51" s="35" t="str">
        <f t="shared" si="16"/>
        <v/>
      </c>
      <c r="O51" s="35"/>
      <c r="P51" s="43"/>
      <c r="Q51" s="150" t="str">
        <f t="shared" si="17"/>
        <v/>
      </c>
      <c r="R51" s="34" t="str">
        <f>IFERROR(INDEX(PRENOTAZIONI!$R:$R,SMALL(PRENOTAZIONI!$AD:$AD,48)),"")</f>
        <v/>
      </c>
      <c r="T51" s="77"/>
    </row>
    <row r="52" spans="1:20" ht="22" customHeight="1" x14ac:dyDescent="0.25">
      <c r="A52" s="31" t="str">
        <f>IFERROR(INDEX(PRENOTAZIONI!$A:$A,SMALL(PRENOTAZIONI!$AD:$AD,49)),"")</f>
        <v/>
      </c>
      <c r="B52" s="31" t="str">
        <f>IFERROR(INDEX(PRENOTAZIONI!$B:$B,SMALL(PRENOTAZIONI!$AD:$AD,49)),"")</f>
        <v/>
      </c>
      <c r="C52" s="32" t="str">
        <f t="shared" si="11"/>
        <v/>
      </c>
      <c r="D52" s="34" t="str">
        <f>IFERROR(INDEX(PRENOTAZIONI!$E:$E,SMALL(PRENOTAZIONI!$AD:$AD,49)),"")</f>
        <v/>
      </c>
      <c r="E52" s="34" t="str">
        <f>IFERROR(INDEX(PRENOTAZIONI!$F:$F,SMALL(PRENOTAZIONI!$AD:$AD,49)),"")</f>
        <v/>
      </c>
      <c r="F52" s="34" t="str">
        <f>IFERROR(INDEX(PRENOTAZIONI!$G:$G,SMALL(PRENOTAZIONI!$AD:$AD,49)),"")</f>
        <v/>
      </c>
      <c r="G52" s="35" t="str">
        <f>IFERROR(INDEX(PRENOTAZIONI!$H:$H,SMALL(PRENOTAZIONI!$AD:$AD,49)),"")</f>
        <v/>
      </c>
      <c r="H52" s="146" t="str">
        <f t="shared" si="12"/>
        <v/>
      </c>
      <c r="I52" s="35" t="str">
        <f t="shared" si="13"/>
        <v/>
      </c>
      <c r="J52" s="149" t="str">
        <f t="shared" si="14"/>
        <v/>
      </c>
      <c r="K52" s="34" t="str">
        <f>IFERROR(INDEX(PRENOTAZIONI!$K:$K,SMALL(PRENOTAZIONI!$AD:$AD,49)),"")</f>
        <v/>
      </c>
      <c r="L52" s="35" t="str">
        <f>IFERROR(INDEX(PRENOTAZIONI!$L:$L,SMALL(PRENOTAZIONI!$AD:$AD,49)),"")</f>
        <v/>
      </c>
      <c r="M52" s="150" t="str">
        <f t="shared" si="15"/>
        <v/>
      </c>
      <c r="N52" s="35" t="str">
        <f t="shared" si="16"/>
        <v/>
      </c>
      <c r="O52" s="35"/>
      <c r="P52" s="43"/>
      <c r="Q52" s="150" t="str">
        <f t="shared" si="17"/>
        <v/>
      </c>
      <c r="R52" s="34" t="str">
        <f>IFERROR(INDEX(PRENOTAZIONI!$R:$R,SMALL(PRENOTAZIONI!$AD:$AD,49)),"")</f>
        <v/>
      </c>
      <c r="T52" s="77"/>
    </row>
    <row r="53" spans="1:20" ht="22" customHeight="1" x14ac:dyDescent="0.25">
      <c r="A53" s="31" t="str">
        <f>IFERROR(INDEX(PRENOTAZIONI!$A:$A,SMALL(PRENOTAZIONI!$AD:$AD,50)),"")</f>
        <v/>
      </c>
      <c r="B53" s="31" t="str">
        <f>IFERROR(INDEX(PRENOTAZIONI!$B:$B,SMALL(PRENOTAZIONI!$AD:$AD,50)),"")</f>
        <v/>
      </c>
      <c r="C53" s="32" t="str">
        <f t="shared" si="11"/>
        <v/>
      </c>
      <c r="D53" s="34" t="str">
        <f>IFERROR(INDEX(PRENOTAZIONI!$E:$E,SMALL(PRENOTAZIONI!$AD:$AD,50)),"")</f>
        <v/>
      </c>
      <c r="E53" s="34" t="str">
        <f>IFERROR(INDEX(PRENOTAZIONI!$F:$F,SMALL(PRENOTAZIONI!$AD:$AD,50)),"")</f>
        <v/>
      </c>
      <c r="F53" s="34" t="str">
        <f>IFERROR(INDEX(PRENOTAZIONI!$G:$G,SMALL(PRENOTAZIONI!$AD:$AD,50)),"")</f>
        <v/>
      </c>
      <c r="G53" s="35" t="str">
        <f>IFERROR(INDEX(PRENOTAZIONI!$H:$H,SMALL(PRENOTAZIONI!$AD:$AD,50)),"")</f>
        <v/>
      </c>
      <c r="H53" s="146" t="str">
        <f t="shared" si="12"/>
        <v/>
      </c>
      <c r="I53" s="35" t="str">
        <f t="shared" si="13"/>
        <v/>
      </c>
      <c r="J53" s="149" t="str">
        <f t="shared" si="14"/>
        <v/>
      </c>
      <c r="K53" s="34" t="str">
        <f>IFERROR(INDEX(PRENOTAZIONI!$K:$K,SMALL(PRENOTAZIONI!$AD:$AD,50)),"")</f>
        <v/>
      </c>
      <c r="L53" s="35" t="str">
        <f>IFERROR(INDEX(PRENOTAZIONI!$L:$L,SMALL(PRENOTAZIONI!$AD:$AD,50)),"")</f>
        <v/>
      </c>
      <c r="M53" s="150" t="str">
        <f t="shared" si="15"/>
        <v/>
      </c>
      <c r="N53" s="35" t="str">
        <f t="shared" si="16"/>
        <v/>
      </c>
      <c r="O53" s="35"/>
      <c r="P53" s="43"/>
      <c r="Q53" s="150" t="str">
        <f t="shared" si="17"/>
        <v/>
      </c>
      <c r="R53" s="34" t="str">
        <f>IFERROR(INDEX(PRENOTAZIONI!$R:$R,SMALL(PRENOTAZIONI!$AD:$AD,50)),"")</f>
        <v/>
      </c>
      <c r="T53" s="77"/>
    </row>
    <row r="54" spans="1:20" ht="22" customHeight="1" x14ac:dyDescent="0.25">
      <c r="A54" s="31" t="str">
        <f>IFERROR(INDEX(PRENOTAZIONI!$A:$A,SMALL(PRENOTAZIONI!$AD:$AD,51)),"")</f>
        <v/>
      </c>
      <c r="B54" s="31" t="str">
        <f>IFERROR(INDEX(PRENOTAZIONI!$B:$B,SMALL(PRENOTAZIONI!$AD:$AD,51)),"")</f>
        <v/>
      </c>
      <c r="C54" s="32" t="str">
        <f t="shared" si="11"/>
        <v/>
      </c>
      <c r="D54" s="34" t="str">
        <f>IFERROR(INDEX(PRENOTAZIONI!$E:$E,SMALL(PRENOTAZIONI!$AD:$AD,51)),"")</f>
        <v/>
      </c>
      <c r="E54" s="34" t="str">
        <f>IFERROR(INDEX(PRENOTAZIONI!$F:$F,SMALL(PRENOTAZIONI!$AD:$AD,51)),"")</f>
        <v/>
      </c>
      <c r="F54" s="34" t="str">
        <f>IFERROR(INDEX(PRENOTAZIONI!$G:$G,SMALL(PRENOTAZIONI!$AD:$AD,51)),"")</f>
        <v/>
      </c>
      <c r="G54" s="35" t="str">
        <f>IFERROR(INDEX(PRENOTAZIONI!$H:$H,SMALL(PRENOTAZIONI!$AD:$AD,51)),"")</f>
        <v/>
      </c>
      <c r="H54" s="146" t="str">
        <f t="shared" si="12"/>
        <v/>
      </c>
      <c r="I54" s="35" t="str">
        <f t="shared" si="13"/>
        <v/>
      </c>
      <c r="J54" s="149" t="str">
        <f t="shared" si="14"/>
        <v/>
      </c>
      <c r="K54" s="34" t="str">
        <f>IFERROR(INDEX(PRENOTAZIONI!$K:$K,SMALL(PRENOTAZIONI!$AD:$AD,51)),"")</f>
        <v/>
      </c>
      <c r="L54" s="35" t="str">
        <f>IFERROR(INDEX(PRENOTAZIONI!$L:$L,SMALL(PRENOTAZIONI!$AD:$AD,51)),"")</f>
        <v/>
      </c>
      <c r="M54" s="150" t="str">
        <f t="shared" si="15"/>
        <v/>
      </c>
      <c r="N54" s="35" t="str">
        <f t="shared" si="16"/>
        <v/>
      </c>
      <c r="O54" s="35"/>
      <c r="P54" s="43"/>
      <c r="Q54" s="150" t="str">
        <f t="shared" si="17"/>
        <v/>
      </c>
      <c r="R54" s="34" t="str">
        <f>IFERROR(INDEX(PRENOTAZIONI!$R:$R,SMALL(PRENOTAZIONI!$AD:$AD,51)),"")</f>
        <v/>
      </c>
      <c r="T54" s="77"/>
    </row>
    <row r="55" spans="1:20" ht="22" customHeight="1" x14ac:dyDescent="0.25">
      <c r="A55" s="31" t="str">
        <f>IFERROR(INDEX(PRENOTAZIONI!$A:$A,SMALL(PRENOTAZIONI!$AD:$AD,52)),"")</f>
        <v/>
      </c>
      <c r="B55" s="31" t="str">
        <f>IFERROR(INDEX(PRENOTAZIONI!$B:$B,SMALL(PRENOTAZIONI!$AD:$AD,52)),"")</f>
        <v/>
      </c>
      <c r="C55" s="32" t="str">
        <f t="shared" si="11"/>
        <v/>
      </c>
      <c r="D55" s="34" t="str">
        <f>IFERROR(INDEX(PRENOTAZIONI!$E:$E,SMALL(PRENOTAZIONI!$AD:$AD,52)),"")</f>
        <v/>
      </c>
      <c r="E55" s="34" t="str">
        <f>IFERROR(INDEX(PRENOTAZIONI!$F:$F,SMALL(PRENOTAZIONI!$AD:$AD,52)),"")</f>
        <v/>
      </c>
      <c r="F55" s="34" t="str">
        <f>IFERROR(INDEX(PRENOTAZIONI!$G:$G,SMALL(PRENOTAZIONI!$AD:$AD,52)),"")</f>
        <v/>
      </c>
      <c r="G55" s="35" t="str">
        <f>IFERROR(INDEX(PRENOTAZIONI!$H:$H,SMALL(PRENOTAZIONI!$AD:$AD,52)),"")</f>
        <v/>
      </c>
      <c r="H55" s="146" t="str">
        <f t="shared" si="12"/>
        <v/>
      </c>
      <c r="I55" s="35" t="str">
        <f t="shared" si="13"/>
        <v/>
      </c>
      <c r="J55" s="149" t="str">
        <f t="shared" si="14"/>
        <v/>
      </c>
      <c r="K55" s="34" t="str">
        <f>IFERROR(INDEX(PRENOTAZIONI!$K:$K,SMALL(PRENOTAZIONI!$AD:$AD,52)),"")</f>
        <v/>
      </c>
      <c r="L55" s="35" t="str">
        <f>IFERROR(INDEX(PRENOTAZIONI!$L:$L,SMALL(PRENOTAZIONI!$AD:$AD,52)),"")</f>
        <v/>
      </c>
      <c r="M55" s="150" t="str">
        <f t="shared" si="15"/>
        <v/>
      </c>
      <c r="N55" s="35" t="str">
        <f t="shared" si="16"/>
        <v/>
      </c>
      <c r="O55" s="35"/>
      <c r="P55" s="43"/>
      <c r="Q55" s="150" t="str">
        <f t="shared" si="17"/>
        <v/>
      </c>
      <c r="R55" s="34" t="str">
        <f>IFERROR(INDEX(PRENOTAZIONI!$R:$R,SMALL(PRENOTAZIONI!$AD:$AD,52)),"")</f>
        <v/>
      </c>
      <c r="T55" s="77"/>
    </row>
    <row r="56" spans="1:20" ht="22" customHeight="1" x14ac:dyDescent="0.25">
      <c r="A56" s="31" t="str">
        <f>IFERROR(INDEX(PRENOTAZIONI!$A:$A,SMALL(PRENOTAZIONI!$AD:$AD,53)),"")</f>
        <v/>
      </c>
      <c r="B56" s="31" t="str">
        <f>IFERROR(INDEX(PRENOTAZIONI!$B:$B,SMALL(PRENOTAZIONI!$AD:$AD,53)),"")</f>
        <v/>
      </c>
      <c r="C56" s="32" t="str">
        <f t="shared" si="11"/>
        <v/>
      </c>
      <c r="D56" s="34" t="str">
        <f>IFERROR(INDEX(PRENOTAZIONI!$E:$E,SMALL(PRENOTAZIONI!$AD:$AD,53)),"")</f>
        <v/>
      </c>
      <c r="E56" s="34" t="str">
        <f>IFERROR(INDEX(PRENOTAZIONI!$F:$F,SMALL(PRENOTAZIONI!$AD:$AD,53)),"")</f>
        <v/>
      </c>
      <c r="F56" s="34" t="str">
        <f>IFERROR(INDEX(PRENOTAZIONI!$G:$G,SMALL(PRENOTAZIONI!$AD:$AD,53)),"")</f>
        <v/>
      </c>
      <c r="G56" s="35" t="str">
        <f>IFERROR(INDEX(PRENOTAZIONI!$H:$H,SMALL(PRENOTAZIONI!$AD:$AD,53)),"")</f>
        <v/>
      </c>
      <c r="H56" s="146" t="str">
        <f t="shared" si="12"/>
        <v/>
      </c>
      <c r="I56" s="35" t="str">
        <f t="shared" si="13"/>
        <v/>
      </c>
      <c r="J56" s="149" t="str">
        <f t="shared" si="14"/>
        <v/>
      </c>
      <c r="K56" s="34" t="str">
        <f>IFERROR(INDEX(PRENOTAZIONI!$K:$K,SMALL(PRENOTAZIONI!$AD:$AD,53)),"")</f>
        <v/>
      </c>
      <c r="L56" s="35" t="str">
        <f>IFERROR(INDEX(PRENOTAZIONI!$L:$L,SMALL(PRENOTAZIONI!$AD:$AD,53)),"")</f>
        <v/>
      </c>
      <c r="M56" s="150" t="str">
        <f t="shared" si="15"/>
        <v/>
      </c>
      <c r="N56" s="35" t="str">
        <f t="shared" si="16"/>
        <v/>
      </c>
      <c r="O56" s="35"/>
      <c r="P56" s="43"/>
      <c r="Q56" s="150" t="str">
        <f t="shared" si="17"/>
        <v/>
      </c>
      <c r="R56" s="34" t="str">
        <f>IFERROR(INDEX(PRENOTAZIONI!$R:$R,SMALL(PRENOTAZIONI!$AD:$AD,53)),"")</f>
        <v/>
      </c>
      <c r="T56" s="77"/>
    </row>
    <row r="57" spans="1:20" ht="22" customHeight="1" x14ac:dyDescent="0.25">
      <c r="A57" s="31" t="str">
        <f>IFERROR(INDEX(PRENOTAZIONI!$A:$A,SMALL(PRENOTAZIONI!$AD:$AD,54)),"")</f>
        <v/>
      </c>
      <c r="B57" s="31" t="str">
        <f>IFERROR(INDEX(PRENOTAZIONI!$B:$B,SMALL(PRENOTAZIONI!$AD:$AD,54)),"")</f>
        <v/>
      </c>
      <c r="C57" s="32" t="str">
        <f t="shared" si="11"/>
        <v/>
      </c>
      <c r="D57" s="34" t="str">
        <f>IFERROR(INDEX(PRENOTAZIONI!$E:$E,SMALL(PRENOTAZIONI!$AD:$AD,54)),"")</f>
        <v/>
      </c>
      <c r="E57" s="34" t="str">
        <f>IFERROR(INDEX(PRENOTAZIONI!$F:$F,SMALL(PRENOTAZIONI!$AD:$AD,54)),"")</f>
        <v/>
      </c>
      <c r="F57" s="34" t="str">
        <f>IFERROR(INDEX(PRENOTAZIONI!$G:$G,SMALL(PRENOTAZIONI!$AD:$AD,54)),"")</f>
        <v/>
      </c>
      <c r="G57" s="35" t="str">
        <f>IFERROR(INDEX(PRENOTAZIONI!$H:$H,SMALL(PRENOTAZIONI!$AD:$AD,54)),"")</f>
        <v/>
      </c>
      <c r="H57" s="146" t="str">
        <f t="shared" si="12"/>
        <v/>
      </c>
      <c r="I57" s="35" t="str">
        <f t="shared" si="13"/>
        <v/>
      </c>
      <c r="J57" s="149" t="str">
        <f t="shared" si="14"/>
        <v/>
      </c>
      <c r="K57" s="34" t="str">
        <f>IFERROR(INDEX(PRENOTAZIONI!$K:$K,SMALL(PRENOTAZIONI!$AD:$AD,54)),"")</f>
        <v/>
      </c>
      <c r="L57" s="35" t="str">
        <f>IFERROR(INDEX(PRENOTAZIONI!$L:$L,SMALL(PRENOTAZIONI!$AD:$AD,54)),"")</f>
        <v/>
      </c>
      <c r="M57" s="150" t="str">
        <f t="shared" si="15"/>
        <v/>
      </c>
      <c r="N57" s="35" t="str">
        <f t="shared" si="16"/>
        <v/>
      </c>
      <c r="O57" s="35"/>
      <c r="P57" s="43"/>
      <c r="Q57" s="150" t="str">
        <f t="shared" si="17"/>
        <v/>
      </c>
      <c r="R57" s="34" t="str">
        <f>IFERROR(INDEX(PRENOTAZIONI!$R:$R,SMALL(PRENOTAZIONI!$AD:$AD,54)),"")</f>
        <v/>
      </c>
      <c r="T57" s="77"/>
    </row>
    <row r="58" spans="1:20" ht="22" customHeight="1" x14ac:dyDescent="0.25">
      <c r="A58" s="31" t="str">
        <f>IFERROR(INDEX(PRENOTAZIONI!$A:$A,SMALL(PRENOTAZIONI!$AD:$AD,55)),"")</f>
        <v/>
      </c>
      <c r="B58" s="31" t="str">
        <f>IFERROR(INDEX(PRENOTAZIONI!$B:$B,SMALL(PRENOTAZIONI!$AD:$AD,55)),"")</f>
        <v/>
      </c>
      <c r="C58" s="32" t="str">
        <f t="shared" si="11"/>
        <v/>
      </c>
      <c r="D58" s="34" t="str">
        <f>IFERROR(INDEX(PRENOTAZIONI!$E:$E,SMALL(PRENOTAZIONI!$AD:$AD,55)),"")</f>
        <v/>
      </c>
      <c r="E58" s="34" t="str">
        <f>IFERROR(INDEX(PRENOTAZIONI!$F:$F,SMALL(PRENOTAZIONI!$AD:$AD,55)),"")</f>
        <v/>
      </c>
      <c r="F58" s="34" t="str">
        <f>IFERROR(INDEX(PRENOTAZIONI!$G:$G,SMALL(PRENOTAZIONI!$AD:$AD,55)),"")</f>
        <v/>
      </c>
      <c r="G58" s="35" t="str">
        <f>IFERROR(INDEX(PRENOTAZIONI!$H:$H,SMALL(PRENOTAZIONI!$AD:$AD,55)),"")</f>
        <v/>
      </c>
      <c r="H58" s="146" t="str">
        <f t="shared" si="12"/>
        <v/>
      </c>
      <c r="I58" s="35" t="str">
        <f t="shared" si="13"/>
        <v/>
      </c>
      <c r="J58" s="149" t="str">
        <f t="shared" si="14"/>
        <v/>
      </c>
      <c r="K58" s="34" t="str">
        <f>IFERROR(INDEX(PRENOTAZIONI!$K:$K,SMALL(PRENOTAZIONI!$AD:$AD,55)),"")</f>
        <v/>
      </c>
      <c r="L58" s="35" t="str">
        <f>IFERROR(INDEX(PRENOTAZIONI!$L:$L,SMALL(PRENOTAZIONI!$AD:$AD,55)),"")</f>
        <v/>
      </c>
      <c r="M58" s="150" t="str">
        <f t="shared" si="15"/>
        <v/>
      </c>
      <c r="N58" s="35" t="str">
        <f t="shared" si="16"/>
        <v/>
      </c>
      <c r="O58" s="35"/>
      <c r="P58" s="43"/>
      <c r="Q58" s="150" t="str">
        <f t="shared" si="17"/>
        <v/>
      </c>
      <c r="R58" s="34" t="str">
        <f>IFERROR(INDEX(PRENOTAZIONI!$R:$R,SMALL(PRENOTAZIONI!$AD:$AD,55)),"")</f>
        <v/>
      </c>
      <c r="T58" s="77"/>
    </row>
    <row r="59" spans="1:20" ht="22" customHeight="1" x14ac:dyDescent="0.25">
      <c r="A59" s="31" t="str">
        <f>IFERROR(INDEX(PRENOTAZIONI!$A:$A,SMALL(PRENOTAZIONI!$AD:$AD,56)),"")</f>
        <v/>
      </c>
      <c r="B59" s="31" t="str">
        <f>IFERROR(INDEX(PRENOTAZIONI!$B:$B,SMALL(PRENOTAZIONI!$AD:$AD,56)),"")</f>
        <v/>
      </c>
      <c r="C59" s="32" t="str">
        <f t="shared" si="11"/>
        <v/>
      </c>
      <c r="D59" s="34" t="str">
        <f>IFERROR(INDEX(PRENOTAZIONI!$E:$E,SMALL(PRENOTAZIONI!$AD:$AD,56)),"")</f>
        <v/>
      </c>
      <c r="E59" s="34" t="str">
        <f>IFERROR(INDEX(PRENOTAZIONI!$F:$F,SMALL(PRENOTAZIONI!$AD:$AD,56)),"")</f>
        <v/>
      </c>
      <c r="F59" s="34" t="str">
        <f>IFERROR(INDEX(PRENOTAZIONI!$G:$G,SMALL(PRENOTAZIONI!$AD:$AD,56)),"")</f>
        <v/>
      </c>
      <c r="G59" s="35" t="str">
        <f>IFERROR(INDEX(PRENOTAZIONI!$H:$H,SMALL(PRENOTAZIONI!$AD:$AD,56)),"")</f>
        <v/>
      </c>
      <c r="H59" s="146" t="str">
        <f t="shared" si="12"/>
        <v/>
      </c>
      <c r="I59" s="35" t="str">
        <f t="shared" si="13"/>
        <v/>
      </c>
      <c r="J59" s="149" t="str">
        <f t="shared" si="14"/>
        <v/>
      </c>
      <c r="K59" s="34" t="str">
        <f>IFERROR(INDEX(PRENOTAZIONI!$K:$K,SMALL(PRENOTAZIONI!$AD:$AD,56)),"")</f>
        <v/>
      </c>
      <c r="L59" s="35" t="str">
        <f>IFERROR(INDEX(PRENOTAZIONI!$L:$L,SMALL(PRENOTAZIONI!$AD:$AD,56)),"")</f>
        <v/>
      </c>
      <c r="M59" s="150" t="str">
        <f t="shared" si="15"/>
        <v/>
      </c>
      <c r="N59" s="35" t="str">
        <f t="shared" si="16"/>
        <v/>
      </c>
      <c r="O59" s="35"/>
      <c r="P59" s="35"/>
      <c r="Q59" s="150" t="str">
        <f t="shared" si="17"/>
        <v/>
      </c>
      <c r="R59" s="34" t="str">
        <f>IFERROR(INDEX(PRENOTAZIONI!$R:$R,SMALL(PRENOTAZIONI!$AD:$AD,56)),"")</f>
        <v/>
      </c>
      <c r="T59" s="77"/>
    </row>
    <row r="60" spans="1:20" ht="22" customHeight="1" x14ac:dyDescent="0.25">
      <c r="A60" s="31" t="str">
        <f>IFERROR(INDEX(PRENOTAZIONI!$A:$A,SMALL(PRENOTAZIONI!$AD:$AD,57)),"")</f>
        <v/>
      </c>
      <c r="B60" s="31" t="str">
        <f>IFERROR(INDEX(PRENOTAZIONI!$B:$B,SMALL(PRENOTAZIONI!$AD:$AD,57)),"")</f>
        <v/>
      </c>
      <c r="C60" s="32" t="str">
        <f t="shared" si="11"/>
        <v/>
      </c>
      <c r="D60" s="34" t="str">
        <f>IFERROR(INDEX(PRENOTAZIONI!$E:$E,SMALL(PRENOTAZIONI!$AD:$AD,57)),"")</f>
        <v/>
      </c>
      <c r="E60" s="34" t="str">
        <f>IFERROR(INDEX(PRENOTAZIONI!$F:$F,SMALL(PRENOTAZIONI!$AD:$AD,57)),"")</f>
        <v/>
      </c>
      <c r="F60" s="34" t="str">
        <f>IFERROR(INDEX(PRENOTAZIONI!$G:$G,SMALL(PRENOTAZIONI!$AD:$AD,57)),"")</f>
        <v/>
      </c>
      <c r="G60" s="35" t="str">
        <f>IFERROR(INDEX(PRENOTAZIONI!$H:$H,SMALL(PRENOTAZIONI!$AD:$AD,57)),"")</f>
        <v/>
      </c>
      <c r="H60" s="146" t="str">
        <f t="shared" si="12"/>
        <v/>
      </c>
      <c r="I60" s="35" t="str">
        <f t="shared" si="13"/>
        <v/>
      </c>
      <c r="J60" s="149" t="str">
        <f t="shared" si="14"/>
        <v/>
      </c>
      <c r="K60" s="34" t="str">
        <f>IFERROR(INDEX(PRENOTAZIONI!$K:$K,SMALL(PRENOTAZIONI!$AD:$AD,57)),"")</f>
        <v/>
      </c>
      <c r="L60" s="35" t="str">
        <f>IFERROR(INDEX(PRENOTAZIONI!$L:$L,SMALL(PRENOTAZIONI!$AD:$AD,57)),"")</f>
        <v/>
      </c>
      <c r="M60" s="150" t="str">
        <f t="shared" si="15"/>
        <v/>
      </c>
      <c r="N60" s="35" t="str">
        <f t="shared" si="16"/>
        <v/>
      </c>
      <c r="O60" s="35"/>
      <c r="P60" s="35"/>
      <c r="Q60" s="150" t="str">
        <f t="shared" si="17"/>
        <v/>
      </c>
      <c r="R60" s="34" t="str">
        <f>IFERROR(INDEX(PRENOTAZIONI!$R:$R,SMALL(PRENOTAZIONI!$AD:$AD,57)),"")</f>
        <v/>
      </c>
      <c r="T60" s="77"/>
    </row>
    <row r="61" spans="1:20" ht="22" customHeight="1" x14ac:dyDescent="0.25">
      <c r="A61" s="31" t="str">
        <f>IFERROR(INDEX(PRENOTAZIONI!$A:$A,SMALL(PRENOTAZIONI!$AD:$AD,58)),"")</f>
        <v/>
      </c>
      <c r="B61" s="31" t="str">
        <f>IFERROR(INDEX(PRENOTAZIONI!$B:$B,SMALL(PRENOTAZIONI!$AD:$AD,58)),"")</f>
        <v/>
      </c>
      <c r="C61" s="32" t="str">
        <f t="shared" si="11"/>
        <v/>
      </c>
      <c r="D61" s="34" t="str">
        <f>IFERROR(INDEX(PRENOTAZIONI!$E:$E,SMALL(PRENOTAZIONI!$AD:$AD,58)),"")</f>
        <v/>
      </c>
      <c r="E61" s="34" t="str">
        <f>IFERROR(INDEX(PRENOTAZIONI!$F:$F,SMALL(PRENOTAZIONI!$AD:$AD,58)),"")</f>
        <v/>
      </c>
      <c r="F61" s="34" t="str">
        <f>IFERROR(INDEX(PRENOTAZIONI!$G:$G,SMALL(PRENOTAZIONI!$AD:$AD,58)),"")</f>
        <v/>
      </c>
      <c r="G61" s="35" t="str">
        <f>IFERROR(INDEX(PRENOTAZIONI!$H:$H,SMALL(PRENOTAZIONI!$AD:$AD,58)),"")</f>
        <v/>
      </c>
      <c r="H61" s="146" t="str">
        <f t="shared" si="12"/>
        <v/>
      </c>
      <c r="I61" s="35" t="str">
        <f t="shared" si="13"/>
        <v/>
      </c>
      <c r="J61" s="149" t="str">
        <f t="shared" si="14"/>
        <v/>
      </c>
      <c r="K61" s="34" t="str">
        <f>IFERROR(INDEX(PRENOTAZIONI!$K:$K,SMALL(PRENOTAZIONI!$AD:$AD,58)),"")</f>
        <v/>
      </c>
      <c r="L61" s="35" t="str">
        <f>IFERROR(INDEX(PRENOTAZIONI!$L:$L,SMALL(PRENOTAZIONI!$AD:$AD,58)),"")</f>
        <v/>
      </c>
      <c r="M61" s="150" t="str">
        <f t="shared" si="15"/>
        <v/>
      </c>
      <c r="N61" s="35" t="str">
        <f t="shared" si="16"/>
        <v/>
      </c>
      <c r="O61" s="35"/>
      <c r="P61" s="35"/>
      <c r="Q61" s="150" t="str">
        <f t="shared" si="17"/>
        <v/>
      </c>
      <c r="R61" s="34" t="str">
        <f>IFERROR(INDEX(PRENOTAZIONI!$R:$R,SMALL(PRENOTAZIONI!$AD:$AD,58)),"")</f>
        <v/>
      </c>
      <c r="T61" s="77"/>
    </row>
    <row r="62" spans="1:20" ht="22" customHeight="1" x14ac:dyDescent="0.25">
      <c r="A62" s="31" t="str">
        <f>IFERROR(INDEX(PRENOTAZIONI!$A:$A,SMALL(PRENOTAZIONI!$AD:$AD,59)),"")</f>
        <v/>
      </c>
      <c r="B62" s="31" t="str">
        <f>IFERROR(INDEX(PRENOTAZIONI!$B:$B,SMALL(PRENOTAZIONI!$AD:$AD,59)),"")</f>
        <v/>
      </c>
      <c r="C62" s="32" t="str">
        <f t="shared" si="11"/>
        <v/>
      </c>
      <c r="D62" s="34" t="str">
        <f>IFERROR(INDEX(PRENOTAZIONI!$E:$E,SMALL(PRENOTAZIONI!$AD:$AD,59)),"")</f>
        <v/>
      </c>
      <c r="E62" s="34" t="str">
        <f>IFERROR(INDEX(PRENOTAZIONI!$F:$F,SMALL(PRENOTAZIONI!$AD:$AD,59)),"")</f>
        <v/>
      </c>
      <c r="F62" s="34" t="str">
        <f>IFERROR(INDEX(PRENOTAZIONI!$G:$G,SMALL(PRENOTAZIONI!$AD:$AD,59)),"")</f>
        <v/>
      </c>
      <c r="G62" s="35" t="str">
        <f>IFERROR(INDEX(PRENOTAZIONI!$H:$H,SMALL(PRENOTAZIONI!$AD:$AD,59)),"")</f>
        <v/>
      </c>
      <c r="H62" s="146" t="str">
        <f t="shared" si="12"/>
        <v/>
      </c>
      <c r="I62" s="35" t="str">
        <f t="shared" si="13"/>
        <v/>
      </c>
      <c r="J62" s="149" t="str">
        <f t="shared" si="14"/>
        <v/>
      </c>
      <c r="K62" s="34" t="str">
        <f>IFERROR(INDEX(PRENOTAZIONI!$K:$K,SMALL(PRENOTAZIONI!$AD:$AD,59)),"")</f>
        <v/>
      </c>
      <c r="L62" s="35" t="str">
        <f>IFERROR(INDEX(PRENOTAZIONI!$L:$L,SMALL(PRENOTAZIONI!$AD:$AD,59)),"")</f>
        <v/>
      </c>
      <c r="M62" s="150" t="str">
        <f t="shared" si="15"/>
        <v/>
      </c>
      <c r="N62" s="35" t="str">
        <f t="shared" si="16"/>
        <v/>
      </c>
      <c r="O62" s="35"/>
      <c r="P62" s="35"/>
      <c r="Q62" s="150" t="str">
        <f t="shared" si="17"/>
        <v/>
      </c>
      <c r="R62" s="34" t="str">
        <f>IFERROR(INDEX(PRENOTAZIONI!$R:$R,SMALL(PRENOTAZIONI!$AD:$AD,59)),"")</f>
        <v/>
      </c>
      <c r="T62" s="77"/>
    </row>
    <row r="63" spans="1:20" ht="22" customHeight="1" x14ac:dyDescent="0.25">
      <c r="A63" s="31" t="str">
        <f>IFERROR(INDEX(PRENOTAZIONI!$A:$A,SMALL(PRENOTAZIONI!$AD:$AD,60)),"")</f>
        <v/>
      </c>
      <c r="B63" s="31" t="str">
        <f>IFERROR(INDEX(PRENOTAZIONI!$B:$B,SMALL(PRENOTAZIONI!$AD:$AD,60)),"")</f>
        <v/>
      </c>
      <c r="C63" s="32" t="str">
        <f t="shared" si="11"/>
        <v/>
      </c>
      <c r="D63" s="34" t="str">
        <f>IFERROR(INDEX(PRENOTAZIONI!$E:$E,SMALL(PRENOTAZIONI!$AD:$AD,60)),"")</f>
        <v/>
      </c>
      <c r="E63" s="34" t="str">
        <f>IFERROR(INDEX(PRENOTAZIONI!$F:$F,SMALL(PRENOTAZIONI!$AD:$AD,60)),"")</f>
        <v/>
      </c>
      <c r="F63" s="34" t="str">
        <f>IFERROR(INDEX(PRENOTAZIONI!$G:$G,SMALL(PRENOTAZIONI!$AD:$AD,60)),"")</f>
        <v/>
      </c>
      <c r="G63" s="35" t="str">
        <f>IFERROR(INDEX(PRENOTAZIONI!$H:$H,SMALL(PRENOTAZIONI!$AD:$AD,60)),"")</f>
        <v/>
      </c>
      <c r="H63" s="146" t="str">
        <f t="shared" si="12"/>
        <v/>
      </c>
      <c r="I63" s="35" t="str">
        <f t="shared" si="13"/>
        <v/>
      </c>
      <c r="J63" s="149" t="str">
        <f t="shared" si="14"/>
        <v/>
      </c>
      <c r="K63" s="34" t="str">
        <f>IFERROR(INDEX(PRENOTAZIONI!$K:$K,SMALL(PRENOTAZIONI!$AD:$AD,60)),"")</f>
        <v/>
      </c>
      <c r="L63" s="35" t="str">
        <f>IFERROR(INDEX(PRENOTAZIONI!$L:$L,SMALL(PRENOTAZIONI!$AD:$AD,60)),"")</f>
        <v/>
      </c>
      <c r="M63" s="150" t="str">
        <f t="shared" si="15"/>
        <v/>
      </c>
      <c r="N63" s="35" t="str">
        <f t="shared" si="16"/>
        <v/>
      </c>
      <c r="O63" s="35"/>
      <c r="P63" s="35"/>
      <c r="Q63" s="150" t="str">
        <f t="shared" si="17"/>
        <v/>
      </c>
      <c r="R63" s="34" t="str">
        <f>IFERROR(INDEX(PRENOTAZIONI!$R:$R,SMALL(PRENOTAZIONI!$AD:$AD,60)),"")</f>
        <v/>
      </c>
      <c r="T63" s="77"/>
    </row>
    <row r="64" spans="1:20" ht="19" customHeight="1" x14ac:dyDescent="0.25">
      <c r="T64" s="77"/>
    </row>
    <row r="65" spans="20:20" ht="19" customHeight="1" x14ac:dyDescent="0.25">
      <c r="T65" s="77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19</vt:i4>
      </vt:variant>
    </vt:vector>
  </HeadingPairs>
  <TitlesOfParts>
    <vt:vector size="19" baseType="lpstr">
      <vt:lpstr>PRENOTAZIONI</vt:lpstr>
      <vt:lpstr>TOTALI</vt:lpstr>
      <vt:lpstr>RIEPILOGO</vt:lpstr>
      <vt:lpstr>MATTEO</vt:lpstr>
      <vt:lpstr>Kit+biancheria</vt:lpstr>
      <vt:lpstr>Nella</vt:lpstr>
      <vt:lpstr>Miramare</vt:lpstr>
      <vt:lpstr>Quercia</vt:lpstr>
      <vt:lpstr>Letizia</vt:lpstr>
      <vt:lpstr>Agantonio</vt:lpstr>
      <vt:lpstr>Verde Oliva</vt:lpstr>
      <vt:lpstr>Nicola</vt:lpstr>
      <vt:lpstr>Lanciano</vt:lpstr>
      <vt:lpstr>Borgo</vt:lpstr>
      <vt:lpstr>Elena</vt:lpstr>
      <vt:lpstr>Bella Gialla</vt:lpstr>
      <vt:lpstr>Via San Rocco</vt:lpstr>
      <vt:lpstr>Via Cavour</vt:lpstr>
      <vt:lpstr>White Cottage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Battistini</cp:lastModifiedBy>
  <cp:lastPrinted>2026-06-25T10:15:23Z</cp:lastPrinted>
  <dcterms:created xsi:type="dcterms:W3CDTF">2026-04-12T10:39:31Z</dcterms:created>
  <dcterms:modified xsi:type="dcterms:W3CDTF">2026-08-13T08:24:23Z</dcterms:modified>
</cp:coreProperties>
</file>